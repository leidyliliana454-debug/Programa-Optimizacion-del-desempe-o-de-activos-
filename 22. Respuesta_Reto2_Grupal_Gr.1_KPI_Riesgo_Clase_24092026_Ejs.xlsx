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tellez/Downloads/"/>
    </mc:Choice>
  </mc:AlternateContent>
  <xr:revisionPtr revIDLastSave="0" documentId="13_ncr:1_{AFF26CA3-269F-2C43-B1DB-3CD1468502CC}" xr6:coauthVersionLast="47" xr6:coauthVersionMax="47" xr10:uidLastSave="{00000000-0000-0000-0000-000000000000}"/>
  <bookViews>
    <workbookView xWindow="0" yWindow="600" windowWidth="37680" windowHeight="19180" xr2:uid="{C40B5E16-B19D-FB45-8F8F-EC7AB31C71B0}"/>
  </bookViews>
  <sheets>
    <sheet name="Ejercicio 1" sheetId="1" r:id="rId1"/>
    <sheet name="Ejercicio 2" sheetId="6" r:id="rId2"/>
    <sheet name="Reto 1" sheetId="8" r:id="rId3"/>
    <sheet name="Ejercicio 3" sheetId="10" r:id="rId4"/>
    <sheet name="Ejercicio 4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" l="1"/>
  <c r="D19" i="6"/>
  <c r="C20" i="6"/>
  <c r="C21" i="6"/>
  <c r="C19" i="6"/>
  <c r="D21" i="6"/>
  <c r="D22" i="6"/>
</calcChain>
</file>

<file path=xl/sharedStrings.xml><?xml version="1.0" encoding="utf-8"?>
<sst xmlns="http://schemas.openxmlformats.org/spreadsheetml/2006/main" count="47" uniqueCount="21">
  <si>
    <t>PROYECTO A</t>
  </si>
  <si>
    <t>PROYECTO B</t>
  </si>
  <si>
    <t>Escoja el mejor proyecto basado en el VPN</t>
  </si>
  <si>
    <t>Escoja el mejor proyecto basado en la TIR</t>
  </si>
  <si>
    <t>Gráficar el valor presente neto como un función de la TIR</t>
  </si>
  <si>
    <t>Teniendo en cuenta los flujos de dos proyectos que se relacionan a continuación</t>
  </si>
  <si>
    <t>PERIODO</t>
  </si>
  <si>
    <t>TIO</t>
  </si>
  <si>
    <t>VPN</t>
  </si>
  <si>
    <t>CAE</t>
  </si>
  <si>
    <t>Teniendo en cuenta los flujos de dos motocicletas:</t>
  </si>
  <si>
    <t>VIDA ÚTIL (AÑOS)</t>
  </si>
  <si>
    <t>INVERSIÓN</t>
  </si>
  <si>
    <t>SALVAMENTO</t>
  </si>
  <si>
    <t>OPERACIÓN Y MANTENIMIENTO</t>
  </si>
  <si>
    <t>O &amp; M</t>
  </si>
  <si>
    <t>FLUJO</t>
  </si>
  <si>
    <t>Calcule el mejor proyecto teniendo en cuenta el mínimo común multiplo de la vida últil de las alternativas</t>
  </si>
  <si>
    <t>MÓDULO 3 - OPTIMIZACIÓN DEL ACTIVO</t>
  </si>
  <si>
    <t>EVALUACIÓN DE PROYECTOS</t>
  </si>
  <si>
    <t>Calcule el mejor proyecto teneindo en cuenta el 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</si>
</sst>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_-* #,##0.00_-;\-* #,##0.00_-;_-* &quot;-&quot;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4" fontId="0" fillId="0" borderId="0" xfId="0" applyNumberFormat="1"/>
    <xf numFmtId="0" fontId="5" fillId="0" borderId="0" xfId="0" applyFont="1"/>
    <xf numFmtId="0" fontId="2" fillId="0" borderId="0" xfId="0" applyFont="1" applyAlignment="1">
      <alignment horizontal="center"/>
    </xf>
    <xf numFmtId="41" fontId="0" fillId="0" borderId="0" xfId="2" applyFont="1"/>
    <xf numFmtId="4" fontId="0" fillId="0" borderId="0" xfId="0" applyNumberFormat="1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9" fontId="0" fillId="0" borderId="0" xfId="0" applyNumberFormat="1" applyFill="1"/>
    <xf numFmtId="3" fontId="0" fillId="0" borderId="0" xfId="0" applyNumberFormat="1" applyFill="1" applyAlignment="1">
      <alignment horizontal="center"/>
    </xf>
    <xf numFmtId="10" fontId="0" fillId="0" borderId="0" xfId="0" applyNumberFormat="1" applyFill="1"/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" fontId="7" fillId="0" borderId="0" xfId="0" applyNumberFormat="1" applyFont="1" applyFill="1" applyAlignment="1">
      <alignment horizontal="right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0" fillId="0" borderId="0" xfId="2" applyNumberFormat="1" applyFont="1" applyFill="1"/>
    <xf numFmtId="43" fontId="0" fillId="0" borderId="0" xfId="0" applyNumberFormat="1" applyFill="1"/>
    <xf numFmtId="2" fontId="0" fillId="0" borderId="0" xfId="0" applyNumberFormat="1" applyFill="1"/>
    <xf numFmtId="0" fontId="4" fillId="0" borderId="0" xfId="0" applyFont="1" applyFill="1" applyAlignment="1">
      <alignment horizontal="center"/>
    </xf>
    <xf numFmtId="165" fontId="0" fillId="0" borderId="0" xfId="0" applyNumberFormat="1" applyFill="1"/>
  </cellXfs>
  <cellStyles count="3">
    <cellStyle name="Millares [0]" xfId="2" builtinId="6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342900</xdr:colOff>
      <xdr:row>37</xdr:row>
      <xdr:rowOff>199540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4817E-D312-F243-ACD1-A6FF852D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812800"/>
          <a:ext cx="7772400" cy="690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713317</xdr:colOff>
      <xdr:row>32</xdr:row>
      <xdr:rowOff>152145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79FB3F-D067-B44D-A493-38F11A1F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889000"/>
          <a:ext cx="7772400" cy="5782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713317</xdr:colOff>
      <xdr:row>60</xdr:row>
      <xdr:rowOff>159542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9E96C8E1-8500-91E5-0A3A-115F4630F38C}"/>
            </a:ext>
          </a:extLst>
        </xdr:cNvPr>
        <xdr:cNvGrpSpPr/>
      </xdr:nvGrpSpPr>
      <xdr:grpSpPr>
        <a:xfrm>
          <a:off x="254000" y="889000"/>
          <a:ext cx="7772400" cy="11420209"/>
          <a:chOff x="254000" y="889000"/>
          <a:chExt cx="7772400" cy="11420209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CAF82D40-A377-5748-856B-FC5267C17C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4000" y="889000"/>
            <a:ext cx="7772400" cy="7452986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B239DE46-985B-2A43-9029-4956EC91CE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54000" y="8329083"/>
            <a:ext cx="7772400" cy="3980126"/>
          </a:xfrm>
          <a:prstGeom prst="rect">
            <a:avLst/>
          </a:prstGeom>
        </xdr:spPr>
      </xdr:pic>
    </xdr:grpSp>
    <xdr:clientData/>
  </xdr:twoCellAnchor>
  <xdr:oneCellAnchor>
    <xdr:from>
      <xdr:col>10</xdr:col>
      <xdr:colOff>0</xdr:colOff>
      <xdr:row>78</xdr:row>
      <xdr:rowOff>31750</xdr:rowOff>
    </xdr:from>
    <xdr:ext cx="776302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02526F5-5F38-5845-A8DE-D572A2FEA48E}"/>
                </a:ext>
              </a:extLst>
            </xdr:cNvPr>
            <xdr:cNvSpPr txBox="1"/>
          </xdr:nvSpPr>
          <xdr:spPr>
            <a:xfrm>
              <a:off x="12149667" y="15800917"/>
              <a:ext cx="776302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𝐷𝑖𝑣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+1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02526F5-5F38-5845-A8DE-D572A2FEA48E}"/>
                </a:ext>
              </a:extLst>
            </xdr:cNvPr>
            <xdr:cNvSpPr txBox="1"/>
          </xdr:nvSpPr>
          <xdr:spPr>
            <a:xfrm>
              <a:off x="12149667" y="15800917"/>
              <a:ext cx="776302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𝑃</a:t>
              </a:r>
              <a:r>
                <a:rPr lang="es-MX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0</a:t>
              </a:r>
              <a:r>
                <a:rPr lang="es-MX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=〖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𝐷𝑖𝑣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〗_(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𝑡+1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𝐾𝑒−𝑔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DB29-7E5C-A744-ACAE-76798A4E7FA6}">
  <dimension ref="B2:G24"/>
  <sheetViews>
    <sheetView showGridLines="0" tabSelected="1" zoomScale="130" zoomScaleNormal="130" workbookViewId="0">
      <selection activeCell="H18" sqref="H18"/>
    </sheetView>
  </sheetViews>
  <sheetFormatPr baseColWidth="10" defaultColWidth="10.83203125" defaultRowHeight="16" x14ac:dyDescent="0.2"/>
  <cols>
    <col min="1" max="1" width="2.83203125" customWidth="1"/>
    <col min="3" max="4" width="11.83203125" customWidth="1"/>
  </cols>
  <sheetData>
    <row r="2" spans="2:7" ht="19" x14ac:dyDescent="0.25">
      <c r="B2" s="9" t="s">
        <v>18</v>
      </c>
    </row>
    <row r="3" spans="2:7" ht="19" x14ac:dyDescent="0.25">
      <c r="B3" s="9" t="s">
        <v>19</v>
      </c>
    </row>
    <row r="5" spans="2:7" x14ac:dyDescent="0.2">
      <c r="B5" t="s">
        <v>5</v>
      </c>
    </row>
    <row r="6" spans="2:7" x14ac:dyDescent="0.2">
      <c r="B6" s="1" t="s">
        <v>2</v>
      </c>
    </row>
    <row r="7" spans="2:7" x14ac:dyDescent="0.2">
      <c r="B7" s="1" t="s">
        <v>3</v>
      </c>
    </row>
    <row r="8" spans="2:7" x14ac:dyDescent="0.2">
      <c r="B8" s="1" t="s">
        <v>4</v>
      </c>
    </row>
    <row r="10" spans="2:7" x14ac:dyDescent="0.2">
      <c r="B10" s="1" t="s">
        <v>7</v>
      </c>
      <c r="C10" s="5">
        <v>0.25</v>
      </c>
    </row>
    <row r="12" spans="2:7" x14ac:dyDescent="0.2">
      <c r="B12" s="3" t="s">
        <v>6</v>
      </c>
      <c r="C12" s="3" t="s">
        <v>0</v>
      </c>
      <c r="D12" s="3" t="s">
        <v>1</v>
      </c>
    </row>
    <row r="13" spans="2:7" x14ac:dyDescent="0.2">
      <c r="B13" s="2">
        <v>0</v>
      </c>
      <c r="C13" s="4">
        <v>-50000</v>
      </c>
      <c r="D13" s="4">
        <v>-50000</v>
      </c>
      <c r="F13" s="11"/>
      <c r="G13" s="11"/>
    </row>
    <row r="14" spans="2:7" x14ac:dyDescent="0.2">
      <c r="B14" s="2">
        <v>1</v>
      </c>
      <c r="C14" s="4">
        <v>15000</v>
      </c>
      <c r="D14" s="4">
        <v>13000</v>
      </c>
      <c r="F14" s="11"/>
      <c r="G14" s="11"/>
    </row>
    <row r="15" spans="2:7" x14ac:dyDescent="0.2">
      <c r="B15" s="2">
        <v>2</v>
      </c>
      <c r="C15" s="4">
        <v>16000</v>
      </c>
      <c r="D15" s="4">
        <v>14000</v>
      </c>
      <c r="F15" s="11"/>
      <c r="G15" s="11"/>
    </row>
    <row r="16" spans="2:7" x14ac:dyDescent="0.2">
      <c r="B16" s="2">
        <v>3</v>
      </c>
      <c r="C16" s="4">
        <v>17000</v>
      </c>
      <c r="D16" s="4">
        <v>15000</v>
      </c>
      <c r="F16" s="11"/>
      <c r="G16" s="11"/>
    </row>
    <row r="17" spans="2:7" x14ac:dyDescent="0.2">
      <c r="B17" s="2">
        <v>4</v>
      </c>
      <c r="C17" s="4">
        <v>18000</v>
      </c>
      <c r="D17" s="4">
        <v>16000</v>
      </c>
      <c r="F17" s="11"/>
      <c r="G17" s="11"/>
    </row>
    <row r="18" spans="2:7" x14ac:dyDescent="0.2">
      <c r="B18" s="2">
        <v>5</v>
      </c>
      <c r="C18" s="4">
        <v>19000</v>
      </c>
      <c r="D18" s="4">
        <v>28000</v>
      </c>
      <c r="F18" s="11"/>
      <c r="G18" s="11"/>
    </row>
    <row r="19" spans="2:7" x14ac:dyDescent="0.2">
      <c r="B19" s="2">
        <v>6</v>
      </c>
      <c r="C19" s="4">
        <v>21000</v>
      </c>
      <c r="D19" s="4">
        <v>21000</v>
      </c>
      <c r="F19" s="11"/>
      <c r="G19" s="11"/>
    </row>
    <row r="20" spans="2:7" x14ac:dyDescent="0.2">
      <c r="B20" s="2">
        <v>7</v>
      </c>
      <c r="C20" s="4">
        <v>20000</v>
      </c>
      <c r="D20" s="4">
        <v>23000</v>
      </c>
      <c r="F20" s="11"/>
      <c r="G20" s="11"/>
    </row>
    <row r="21" spans="2:7" x14ac:dyDescent="0.2">
      <c r="B21" s="2">
        <v>8</v>
      </c>
      <c r="C21" s="4">
        <v>20000</v>
      </c>
      <c r="D21" s="4">
        <v>25000</v>
      </c>
      <c r="F21" s="11"/>
      <c r="G21" s="11"/>
    </row>
    <row r="22" spans="2:7" x14ac:dyDescent="0.2">
      <c r="B22" s="2">
        <v>9</v>
      </c>
      <c r="C22" s="4">
        <v>20000</v>
      </c>
      <c r="D22" s="4">
        <v>27000</v>
      </c>
      <c r="F22" s="11"/>
      <c r="G22" s="11"/>
    </row>
    <row r="23" spans="2:7" x14ac:dyDescent="0.2">
      <c r="B23" s="2">
        <v>10</v>
      </c>
      <c r="C23" s="4">
        <v>20000</v>
      </c>
      <c r="D23" s="4">
        <v>20000</v>
      </c>
      <c r="F23" s="11"/>
      <c r="G23" s="11"/>
    </row>
    <row r="24" spans="2:7" x14ac:dyDescent="0.2">
      <c r="C24" s="2"/>
      <c r="D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7227-37EC-7A4F-8147-3F7F8744A7C8}">
  <dimension ref="B2:J48"/>
  <sheetViews>
    <sheetView showGridLines="0" zoomScale="120" zoomScaleNormal="120" workbookViewId="0">
      <selection activeCell="L25" sqref="L25"/>
    </sheetView>
  </sheetViews>
  <sheetFormatPr baseColWidth="10" defaultColWidth="10.83203125" defaultRowHeight="16" x14ac:dyDescent="0.2"/>
  <cols>
    <col min="1" max="1" width="3.33203125" customWidth="1"/>
    <col min="2" max="2" width="27.6640625" customWidth="1"/>
  </cols>
  <sheetData>
    <row r="2" spans="2:4" ht="19" x14ac:dyDescent="0.25">
      <c r="B2" s="9" t="s">
        <v>18</v>
      </c>
    </row>
    <row r="3" spans="2:4" ht="19" x14ac:dyDescent="0.25">
      <c r="B3" s="9" t="s">
        <v>19</v>
      </c>
    </row>
    <row r="5" spans="2:4" x14ac:dyDescent="0.2">
      <c r="B5" t="s">
        <v>10</v>
      </c>
    </row>
    <row r="6" spans="2:4" x14ac:dyDescent="0.2">
      <c r="B6" s="1" t="s">
        <v>20</v>
      </c>
    </row>
    <row r="7" spans="2:4" x14ac:dyDescent="0.2">
      <c r="B7" s="1" t="s">
        <v>17</v>
      </c>
    </row>
    <row r="8" spans="2:4" x14ac:dyDescent="0.2">
      <c r="B8" s="1"/>
    </row>
    <row r="9" spans="2:4" x14ac:dyDescent="0.2">
      <c r="B9" s="1" t="s">
        <v>7</v>
      </c>
      <c r="C9" s="5">
        <v>0.3</v>
      </c>
    </row>
    <row r="11" spans="2:4" x14ac:dyDescent="0.2">
      <c r="C11" s="3" t="s">
        <v>0</v>
      </c>
      <c r="D11" s="3" t="s">
        <v>1</v>
      </c>
    </row>
    <row r="13" spans="2:4" x14ac:dyDescent="0.2">
      <c r="B13" t="s">
        <v>11</v>
      </c>
      <c r="C13" s="4">
        <v>2</v>
      </c>
      <c r="D13" s="4">
        <v>3</v>
      </c>
    </row>
    <row r="14" spans="2:4" x14ac:dyDescent="0.2">
      <c r="B14" t="s">
        <v>12</v>
      </c>
      <c r="C14" s="4">
        <v>500</v>
      </c>
      <c r="D14" s="4">
        <v>750</v>
      </c>
    </row>
    <row r="15" spans="2:4" x14ac:dyDescent="0.2">
      <c r="B15" t="s">
        <v>14</v>
      </c>
      <c r="C15" s="4">
        <v>125</v>
      </c>
      <c r="D15" s="4">
        <v>175</v>
      </c>
    </row>
    <row r="16" spans="2:4" x14ac:dyDescent="0.2">
      <c r="B16" t="s">
        <v>13</v>
      </c>
      <c r="C16" s="4">
        <v>350</v>
      </c>
      <c r="D16" s="4">
        <v>700</v>
      </c>
    </row>
    <row r="18" spans="2:10" x14ac:dyDescent="0.2">
      <c r="B18" s="3" t="s">
        <v>6</v>
      </c>
      <c r="C18" s="3" t="s">
        <v>0</v>
      </c>
      <c r="D18" s="3" t="s">
        <v>1</v>
      </c>
    </row>
    <row r="19" spans="2:10" x14ac:dyDescent="0.2">
      <c r="B19" s="2">
        <v>0</v>
      </c>
      <c r="C19" s="4">
        <f>-C14</f>
        <v>-500</v>
      </c>
      <c r="D19" s="4">
        <f>-D14</f>
        <v>-750</v>
      </c>
    </row>
    <row r="20" spans="2:10" x14ac:dyDescent="0.2">
      <c r="B20" s="2">
        <v>1</v>
      </c>
      <c r="C20" s="4">
        <f>-C15</f>
        <v>-125</v>
      </c>
      <c r="D20" s="4">
        <f>-D15</f>
        <v>-175</v>
      </c>
    </row>
    <row r="21" spans="2:10" x14ac:dyDescent="0.2">
      <c r="B21" s="2">
        <v>2</v>
      </c>
      <c r="C21" s="4">
        <f>C16-C15</f>
        <v>225</v>
      </c>
      <c r="D21" s="4">
        <f>-D15</f>
        <v>-175</v>
      </c>
    </row>
    <row r="22" spans="2:10" x14ac:dyDescent="0.2">
      <c r="B22" s="2">
        <v>3</v>
      </c>
      <c r="C22" s="4"/>
      <c r="D22" s="4">
        <f>-D15+D16</f>
        <v>525</v>
      </c>
    </row>
    <row r="23" spans="2:10" x14ac:dyDescent="0.2">
      <c r="C23" s="2"/>
      <c r="D23" s="2"/>
    </row>
    <row r="24" spans="2:10" x14ac:dyDescent="0.2">
      <c r="B24" s="2" t="s">
        <v>8</v>
      </c>
      <c r="C24" s="12"/>
      <c r="D24" s="12"/>
    </row>
    <row r="25" spans="2:10" x14ac:dyDescent="0.2">
      <c r="B25" s="10" t="s">
        <v>9</v>
      </c>
      <c r="C25" s="12"/>
      <c r="D25" s="12"/>
    </row>
    <row r="27" spans="2:10" x14ac:dyDescent="0.2">
      <c r="B27" s="6" t="s">
        <v>0</v>
      </c>
    </row>
    <row r="28" spans="2:10" x14ac:dyDescent="0.2">
      <c r="B28" s="3" t="s">
        <v>6</v>
      </c>
      <c r="C28" s="7">
        <v>0</v>
      </c>
      <c r="D28" s="7">
        <v>1</v>
      </c>
      <c r="E28" s="7">
        <v>2</v>
      </c>
      <c r="F28" s="7">
        <v>3</v>
      </c>
      <c r="G28" s="7">
        <v>4</v>
      </c>
      <c r="H28" s="7">
        <v>5</v>
      </c>
      <c r="I28" s="7">
        <v>6</v>
      </c>
    </row>
    <row r="29" spans="2:10" x14ac:dyDescent="0.2">
      <c r="B29" t="s">
        <v>12</v>
      </c>
      <c r="C29" s="12"/>
      <c r="D29" s="12"/>
      <c r="E29" s="12"/>
      <c r="F29" s="12"/>
      <c r="G29" s="12"/>
      <c r="H29" s="12"/>
      <c r="I29" s="12"/>
      <c r="J29" s="13"/>
    </row>
    <row r="30" spans="2:10" x14ac:dyDescent="0.2">
      <c r="B30" t="s">
        <v>15</v>
      </c>
      <c r="C30" s="12"/>
      <c r="D30" s="12"/>
      <c r="E30" s="12"/>
      <c r="F30" s="12"/>
      <c r="G30" s="12"/>
      <c r="H30" s="12"/>
      <c r="I30" s="12"/>
      <c r="J30" s="13"/>
    </row>
    <row r="31" spans="2:10" x14ac:dyDescent="0.2">
      <c r="B31" t="s">
        <v>13</v>
      </c>
      <c r="C31" s="12"/>
      <c r="D31" s="12"/>
      <c r="E31" s="12"/>
      <c r="F31" s="12"/>
      <c r="G31" s="12"/>
      <c r="H31" s="12"/>
      <c r="I31" s="12"/>
      <c r="J31" s="13"/>
    </row>
    <row r="32" spans="2:10" x14ac:dyDescent="0.2">
      <c r="B32" t="s">
        <v>16</v>
      </c>
      <c r="C32" s="12"/>
      <c r="D32" s="12"/>
      <c r="E32" s="12"/>
      <c r="F32" s="12"/>
      <c r="G32" s="12"/>
      <c r="H32" s="12"/>
      <c r="I32" s="12"/>
      <c r="J32" s="13"/>
    </row>
    <row r="33" spans="2:10" x14ac:dyDescent="0.2">
      <c r="B33" t="s">
        <v>8</v>
      </c>
      <c r="C33" s="12"/>
      <c r="D33" s="14"/>
      <c r="E33" s="14"/>
      <c r="F33" s="14"/>
      <c r="G33" s="14"/>
      <c r="H33" s="14"/>
      <c r="I33" s="14"/>
      <c r="J33" s="13"/>
    </row>
    <row r="34" spans="2:10" x14ac:dyDescent="0.2">
      <c r="C34" s="15"/>
      <c r="D34" s="13"/>
      <c r="E34" s="13"/>
      <c r="F34" s="13"/>
      <c r="G34" s="13"/>
      <c r="H34" s="13"/>
      <c r="I34" s="13"/>
      <c r="J34" s="13"/>
    </row>
    <row r="35" spans="2:10" x14ac:dyDescent="0.2">
      <c r="C35" s="13"/>
      <c r="D35" s="13"/>
      <c r="E35" s="13"/>
      <c r="F35" s="13"/>
      <c r="G35" s="13"/>
      <c r="H35" s="13"/>
      <c r="I35" s="13"/>
      <c r="J35" s="13"/>
    </row>
    <row r="36" spans="2:10" x14ac:dyDescent="0.2">
      <c r="B36" s="6" t="s">
        <v>1</v>
      </c>
    </row>
    <row r="37" spans="2:10" x14ac:dyDescent="0.2">
      <c r="B37" s="3" t="s">
        <v>6</v>
      </c>
      <c r="C37" s="7">
        <v>0</v>
      </c>
      <c r="D37" s="7">
        <v>1</v>
      </c>
      <c r="E37" s="7">
        <v>2</v>
      </c>
      <c r="F37" s="7">
        <v>3</v>
      </c>
      <c r="G37" s="7">
        <v>4</v>
      </c>
      <c r="H37" s="7">
        <v>5</v>
      </c>
      <c r="I37" s="7">
        <v>6</v>
      </c>
    </row>
    <row r="38" spans="2:10" x14ac:dyDescent="0.2">
      <c r="B38" t="s">
        <v>12</v>
      </c>
      <c r="C38" s="12"/>
      <c r="D38" s="12"/>
      <c r="E38" s="12"/>
      <c r="F38" s="12"/>
      <c r="G38" s="12"/>
      <c r="H38" s="12"/>
      <c r="I38" s="12"/>
    </row>
    <row r="39" spans="2:10" x14ac:dyDescent="0.2">
      <c r="B39" t="s">
        <v>15</v>
      </c>
      <c r="C39" s="12"/>
      <c r="D39" s="12"/>
      <c r="E39" s="12"/>
      <c r="F39" s="12"/>
      <c r="G39" s="12"/>
      <c r="H39" s="12"/>
      <c r="I39" s="12"/>
    </row>
    <row r="40" spans="2:10" x14ac:dyDescent="0.2">
      <c r="B40" t="s">
        <v>13</v>
      </c>
      <c r="C40" s="12"/>
      <c r="D40" s="12"/>
      <c r="E40" s="12"/>
      <c r="F40" s="12"/>
      <c r="G40" s="12"/>
      <c r="H40" s="12"/>
      <c r="I40" s="12"/>
    </row>
    <row r="41" spans="2:10" x14ac:dyDescent="0.2">
      <c r="B41" t="s">
        <v>16</v>
      </c>
      <c r="C41" s="12"/>
      <c r="D41" s="12"/>
      <c r="E41" s="12"/>
      <c r="F41" s="12"/>
      <c r="G41" s="12"/>
      <c r="H41" s="12"/>
      <c r="I41" s="12"/>
    </row>
    <row r="42" spans="2:10" x14ac:dyDescent="0.2">
      <c r="B42" t="s">
        <v>8</v>
      </c>
      <c r="C42" s="12"/>
      <c r="D42" s="14"/>
      <c r="E42" s="14"/>
      <c r="F42" s="14"/>
      <c r="G42" s="14"/>
      <c r="H42" s="14"/>
      <c r="I42" s="14"/>
    </row>
    <row r="43" spans="2:10" x14ac:dyDescent="0.2">
      <c r="B43" s="2"/>
      <c r="C43" s="16"/>
      <c r="D43" s="13"/>
      <c r="E43" s="13"/>
      <c r="F43" s="13"/>
      <c r="G43" s="13"/>
      <c r="H43" s="13"/>
      <c r="I43" s="13"/>
    </row>
    <row r="44" spans="2:10" x14ac:dyDescent="0.2">
      <c r="B44" s="2"/>
      <c r="C44" s="16"/>
      <c r="D44" s="13"/>
      <c r="E44" s="13"/>
      <c r="F44" s="13"/>
      <c r="G44" s="13"/>
      <c r="H44" s="13"/>
      <c r="I44" s="13"/>
    </row>
    <row r="45" spans="2:10" x14ac:dyDescent="0.2">
      <c r="B45" s="2"/>
      <c r="C45" s="16"/>
      <c r="D45" s="13"/>
      <c r="E45" s="13"/>
      <c r="F45" s="13"/>
      <c r="G45" s="13"/>
      <c r="H45" s="13"/>
      <c r="I45" s="13"/>
    </row>
    <row r="46" spans="2:10" x14ac:dyDescent="0.2">
      <c r="B46" s="2"/>
      <c r="C46" s="4"/>
    </row>
    <row r="48" spans="2:10" x14ac:dyDescent="0.2">
      <c r="C4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3824-69EA-F14C-ACC3-92365E54DEE9}">
  <dimension ref="B2:P17"/>
  <sheetViews>
    <sheetView showGridLines="0" workbookViewId="0">
      <selection activeCell="M1" sqref="M1:O1048576"/>
    </sheetView>
  </sheetViews>
  <sheetFormatPr baseColWidth="10" defaultRowHeight="16" x14ac:dyDescent="0.2"/>
  <cols>
    <col min="1" max="1" width="3.33203125" customWidth="1"/>
    <col min="13" max="15" width="10.83203125" style="13"/>
  </cols>
  <sheetData>
    <row r="2" spans="2:16" ht="19" x14ac:dyDescent="0.25">
      <c r="B2" s="9" t="s">
        <v>18</v>
      </c>
    </row>
    <row r="3" spans="2:16" ht="19" x14ac:dyDescent="0.25">
      <c r="B3" s="9" t="s">
        <v>19</v>
      </c>
    </row>
    <row r="5" spans="2:16" x14ac:dyDescent="0.2">
      <c r="N5" s="17"/>
    </row>
    <row r="8" spans="2:16" x14ac:dyDescent="0.2">
      <c r="M8" s="18"/>
      <c r="N8" s="18"/>
      <c r="O8" s="18"/>
    </row>
    <row r="9" spans="2:16" x14ac:dyDescent="0.2">
      <c r="M9" s="19"/>
      <c r="N9" s="20"/>
      <c r="O9" s="20"/>
    </row>
    <row r="10" spans="2:16" x14ac:dyDescent="0.2">
      <c r="M10" s="19"/>
      <c r="N10" s="20"/>
      <c r="O10" s="20"/>
    </row>
    <row r="11" spans="2:16" x14ac:dyDescent="0.2">
      <c r="M11" s="19"/>
      <c r="N11" s="20"/>
      <c r="O11" s="20"/>
    </row>
    <row r="12" spans="2:16" x14ac:dyDescent="0.2">
      <c r="M12" s="19"/>
      <c r="N12" s="20"/>
      <c r="O12" s="20"/>
    </row>
    <row r="13" spans="2:16" x14ac:dyDescent="0.2">
      <c r="M13" s="19"/>
      <c r="N13" s="20"/>
      <c r="O13" s="20"/>
    </row>
    <row r="14" spans="2:16" x14ac:dyDescent="0.2">
      <c r="M14" s="19"/>
      <c r="N14" s="20"/>
      <c r="O14" s="20"/>
    </row>
    <row r="16" spans="2:16" x14ac:dyDescent="0.2">
      <c r="N16" s="14"/>
      <c r="O16" s="14"/>
      <c r="P16" s="8"/>
    </row>
    <row r="17" spans="14:15" x14ac:dyDescent="0.2">
      <c r="N17" s="17"/>
      <c r="O17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92D9-C14B-5149-B5F7-334EE1A40E6C}">
  <dimension ref="B2:J65"/>
  <sheetViews>
    <sheetView showGridLines="0" zoomScale="120" zoomScaleNormal="120" workbookViewId="0">
      <selection activeCell="J38" sqref="J38"/>
    </sheetView>
  </sheetViews>
  <sheetFormatPr baseColWidth="10" defaultColWidth="10.83203125" defaultRowHeight="16" x14ac:dyDescent="0.2"/>
  <cols>
    <col min="1" max="1" width="3.33203125" customWidth="1"/>
    <col min="2" max="2" width="27.6640625" customWidth="1"/>
  </cols>
  <sheetData>
    <row r="2" spans="2:3" ht="19" x14ac:dyDescent="0.25">
      <c r="B2" s="9" t="s">
        <v>18</v>
      </c>
    </row>
    <row r="3" spans="2:3" ht="19" x14ac:dyDescent="0.25">
      <c r="B3" s="9" t="s">
        <v>19</v>
      </c>
    </row>
    <row r="5" spans="2:3" x14ac:dyDescent="0.2">
      <c r="B5" s="2"/>
      <c r="C5" s="4"/>
    </row>
    <row r="6" spans="2:3" x14ac:dyDescent="0.2">
      <c r="B6" s="2"/>
      <c r="C6" s="4"/>
    </row>
    <row r="7" spans="2:3" x14ac:dyDescent="0.2">
      <c r="B7" s="2"/>
      <c r="C7" s="4"/>
    </row>
    <row r="8" spans="2:3" x14ac:dyDescent="0.2">
      <c r="B8" s="2"/>
      <c r="C8" s="4"/>
    </row>
    <row r="10" spans="2:3" x14ac:dyDescent="0.2">
      <c r="C10" s="4"/>
    </row>
    <row r="35" spans="2:10" s="13" customFormat="1" x14ac:dyDescent="0.2">
      <c r="B35" s="21"/>
      <c r="C35" s="15"/>
      <c r="H35" s="22"/>
      <c r="I35" s="22"/>
      <c r="J35" s="22"/>
    </row>
    <row r="36" spans="2:10" s="13" customFormat="1" x14ac:dyDescent="0.2">
      <c r="B36" s="21"/>
      <c r="C36" s="15"/>
      <c r="I36" s="23"/>
      <c r="J36" s="23"/>
    </row>
    <row r="37" spans="2:10" s="13" customFormat="1" x14ac:dyDescent="0.2">
      <c r="B37" s="21"/>
      <c r="C37" s="17"/>
      <c r="I37" s="23"/>
      <c r="J37" s="23"/>
    </row>
    <row r="38" spans="2:10" s="13" customFormat="1" x14ac:dyDescent="0.2">
      <c r="B38" s="21"/>
      <c r="I38" s="24"/>
      <c r="J38" s="24"/>
    </row>
    <row r="39" spans="2:10" s="13" customFormat="1" x14ac:dyDescent="0.2">
      <c r="B39" s="21"/>
      <c r="C39" s="25"/>
      <c r="I39" s="24"/>
      <c r="J39" s="24"/>
    </row>
    <row r="40" spans="2:10" s="13" customFormat="1" x14ac:dyDescent="0.2">
      <c r="B40" s="21"/>
      <c r="I40" s="24"/>
      <c r="J40" s="24"/>
    </row>
    <row r="41" spans="2:10" s="13" customFormat="1" x14ac:dyDescent="0.2">
      <c r="B41" s="21"/>
      <c r="C41" s="25"/>
    </row>
    <row r="42" spans="2:10" s="13" customFormat="1" x14ac:dyDescent="0.2">
      <c r="B42" s="21"/>
      <c r="C42" s="25"/>
    </row>
    <row r="43" spans="2:10" s="13" customFormat="1" x14ac:dyDescent="0.2">
      <c r="B43" s="21"/>
    </row>
    <row r="44" spans="2:10" s="13" customFormat="1" x14ac:dyDescent="0.2">
      <c r="B44" s="21"/>
      <c r="C44" s="25"/>
    </row>
    <row r="45" spans="2:10" s="13" customFormat="1" x14ac:dyDescent="0.2">
      <c r="B45" s="21"/>
      <c r="C45" s="25"/>
    </row>
    <row r="46" spans="2:10" s="13" customFormat="1" x14ac:dyDescent="0.2">
      <c r="B46" s="21"/>
      <c r="C46" s="17"/>
    </row>
    <row r="47" spans="2:10" s="13" customFormat="1" x14ac:dyDescent="0.2"/>
    <row r="48" spans="2:10" s="13" customFormat="1" x14ac:dyDescent="0.2">
      <c r="B48" s="26"/>
      <c r="C48" s="26"/>
      <c r="D48" s="26"/>
      <c r="E48" s="26"/>
      <c r="F48" s="26"/>
      <c r="G48" s="26"/>
      <c r="H48" s="26"/>
    </row>
    <row r="49" spans="2:9" s="13" customFormat="1" x14ac:dyDescent="0.2">
      <c r="C49" s="23"/>
      <c r="D49" s="23"/>
      <c r="E49" s="23"/>
      <c r="F49" s="23"/>
      <c r="G49" s="23"/>
      <c r="H49" s="23"/>
    </row>
    <row r="50" spans="2:9" s="13" customFormat="1" x14ac:dyDescent="0.2">
      <c r="C50" s="23"/>
      <c r="D50" s="23"/>
      <c r="E50" s="23"/>
      <c r="F50" s="23"/>
      <c r="G50" s="23"/>
      <c r="H50" s="23"/>
    </row>
    <row r="51" spans="2:9" s="13" customFormat="1" x14ac:dyDescent="0.2">
      <c r="C51" s="23"/>
      <c r="D51" s="23"/>
      <c r="E51" s="23"/>
      <c r="F51" s="23"/>
      <c r="G51" s="23"/>
      <c r="H51" s="23"/>
    </row>
    <row r="52" spans="2:9" s="13" customFormat="1" x14ac:dyDescent="0.2">
      <c r="C52" s="23"/>
      <c r="D52" s="23"/>
      <c r="E52" s="23"/>
      <c r="F52" s="23"/>
      <c r="G52" s="23"/>
      <c r="H52" s="23"/>
    </row>
    <row r="53" spans="2:9" s="13" customFormat="1" x14ac:dyDescent="0.2">
      <c r="C53" s="23"/>
      <c r="D53" s="23"/>
      <c r="E53" s="23"/>
      <c r="F53" s="23"/>
      <c r="G53" s="23"/>
      <c r="H53" s="23"/>
    </row>
    <row r="54" spans="2:9" s="13" customFormat="1" x14ac:dyDescent="0.2">
      <c r="C54" s="23"/>
      <c r="D54" s="23"/>
      <c r="E54" s="23"/>
      <c r="F54" s="23"/>
      <c r="G54" s="23"/>
      <c r="H54" s="23"/>
      <c r="I54" s="25"/>
    </row>
    <row r="55" spans="2:9" s="13" customFormat="1" x14ac:dyDescent="0.2">
      <c r="C55" s="23"/>
      <c r="D55" s="23"/>
      <c r="E55" s="23"/>
      <c r="F55" s="23"/>
      <c r="G55" s="23"/>
      <c r="H55" s="23"/>
    </row>
    <row r="56" spans="2:9" s="13" customFormat="1" x14ac:dyDescent="0.2">
      <c r="C56" s="23"/>
      <c r="D56" s="23"/>
      <c r="E56" s="23"/>
      <c r="F56" s="23"/>
      <c r="G56" s="23"/>
      <c r="H56" s="23"/>
    </row>
    <row r="57" spans="2:9" s="13" customFormat="1" x14ac:dyDescent="0.2">
      <c r="C57" s="23"/>
      <c r="D57" s="23"/>
      <c r="E57" s="23"/>
      <c r="F57" s="23"/>
      <c r="G57" s="23"/>
      <c r="H57" s="23"/>
    </row>
    <row r="58" spans="2:9" s="13" customFormat="1" x14ac:dyDescent="0.2">
      <c r="C58" s="23"/>
      <c r="D58" s="23"/>
      <c r="E58" s="23"/>
      <c r="F58" s="23"/>
      <c r="G58" s="23"/>
      <c r="H58" s="23"/>
    </row>
    <row r="59" spans="2:9" s="13" customFormat="1" x14ac:dyDescent="0.2">
      <c r="C59" s="23"/>
      <c r="D59" s="23"/>
      <c r="E59" s="23"/>
      <c r="F59" s="23"/>
      <c r="G59" s="23"/>
      <c r="H59" s="23"/>
    </row>
    <row r="60" spans="2:9" s="13" customFormat="1" x14ac:dyDescent="0.2">
      <c r="C60" s="23"/>
      <c r="D60" s="23"/>
      <c r="E60" s="23"/>
      <c r="F60" s="23"/>
      <c r="G60" s="23"/>
      <c r="H60" s="23"/>
    </row>
    <row r="61" spans="2:9" s="13" customFormat="1" x14ac:dyDescent="0.2">
      <c r="C61" s="23"/>
      <c r="D61" s="23"/>
      <c r="E61" s="23"/>
      <c r="F61" s="23"/>
      <c r="G61" s="23"/>
      <c r="H61" s="23"/>
    </row>
    <row r="62" spans="2:9" s="13" customFormat="1" x14ac:dyDescent="0.2">
      <c r="C62" s="23"/>
      <c r="D62" s="23"/>
      <c r="E62" s="23"/>
      <c r="F62" s="23"/>
      <c r="G62" s="23"/>
      <c r="H62" s="23"/>
    </row>
    <row r="63" spans="2:9" s="13" customFormat="1" x14ac:dyDescent="0.2"/>
    <row r="64" spans="2:9" s="13" customFormat="1" x14ac:dyDescent="0.2">
      <c r="B64" s="21"/>
      <c r="C64" s="27"/>
    </row>
    <row r="65" spans="2:3" s="13" customFormat="1" x14ac:dyDescent="0.2">
      <c r="B65" s="21"/>
      <c r="C65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03C6-C46D-604B-ABCD-735F9BDE83C3}">
  <dimension ref="B2:C10"/>
  <sheetViews>
    <sheetView showGridLines="0" zoomScale="120" zoomScaleNormal="120" workbookViewId="0">
      <selection activeCell="M31" sqref="M31"/>
    </sheetView>
  </sheetViews>
  <sheetFormatPr baseColWidth="10" defaultColWidth="10.83203125" defaultRowHeight="16" x14ac:dyDescent="0.2"/>
  <cols>
    <col min="1" max="1" width="3.33203125" customWidth="1"/>
    <col min="2" max="2" width="27.6640625" customWidth="1"/>
  </cols>
  <sheetData>
    <row r="2" spans="2:3" ht="19" x14ac:dyDescent="0.25">
      <c r="B2" s="9" t="s">
        <v>18</v>
      </c>
    </row>
    <row r="3" spans="2:3" ht="19" x14ac:dyDescent="0.25">
      <c r="B3" s="9" t="s">
        <v>19</v>
      </c>
    </row>
    <row r="5" spans="2:3" x14ac:dyDescent="0.2">
      <c r="B5" s="2"/>
      <c r="C5" s="4"/>
    </row>
    <row r="6" spans="2:3" x14ac:dyDescent="0.2">
      <c r="B6" s="2"/>
      <c r="C6" s="4"/>
    </row>
    <row r="7" spans="2:3" x14ac:dyDescent="0.2">
      <c r="B7" s="2"/>
      <c r="C7" s="4"/>
    </row>
    <row r="8" spans="2:3" x14ac:dyDescent="0.2">
      <c r="B8" s="2"/>
      <c r="C8" s="4"/>
    </row>
    <row r="10" spans="2:3" x14ac:dyDescent="0.2">
      <c r="C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Reto 1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Poveda Valero</dc:creator>
  <cp:lastModifiedBy>Alejandro Téllez Santamaría</cp:lastModifiedBy>
  <dcterms:created xsi:type="dcterms:W3CDTF">2023-01-26T07:01:25Z</dcterms:created>
  <dcterms:modified xsi:type="dcterms:W3CDTF">2026-09-24T04:16:03Z</dcterms:modified>
</cp:coreProperties>
</file>