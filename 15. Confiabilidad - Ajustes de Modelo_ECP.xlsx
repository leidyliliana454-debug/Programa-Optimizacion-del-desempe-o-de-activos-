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drawings/drawing6.xml" ContentType="application/vnd.openxmlformats-officedocument.drawing+xml"/>
  <Override PartName="/xl/tables/table1.xml" ContentType="application/vnd.openxmlformats-officedocument.spreadsheetml.table+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scolenergy-my.sharepoint.com/personal/sergioa_gonzalez_sierracol_com_co/Documents/Documents/Copilot/Created/"/>
    </mc:Choice>
  </mc:AlternateContent>
  <xr:revisionPtr revIDLastSave="550" documentId="11_EE236BC3C8BD826447FAB940B2917AABA64139A0" xr6:coauthVersionLast="47" xr6:coauthVersionMax="47" xr10:uidLastSave="{4A3FE328-99F0-49CB-92FC-12D47BB2AC6E}"/>
  <bookViews>
    <workbookView xWindow="-110" yWindow="-110" windowWidth="19420" windowHeight="11500" tabRatio="915" xr2:uid="{00000000-000D-0000-FFFF-FFFF00000000}"/>
  </bookViews>
  <sheets>
    <sheet name="Datos" sheetId="1" r:id="rId1"/>
    <sheet name="Metodo_Grafico" sheetId="2" r:id="rId2"/>
    <sheet name="Max_Verosimilitud" sheetId="3" r:id="rId3"/>
    <sheet name="Kaplan_Meier" sheetId="4" r:id="rId4"/>
    <sheet name="Comparacion" sheetId="5" r:id="rId5"/>
    <sheet name="Bayes_Simple" sheetId="7" state="hidden" r:id="rId6"/>
    <sheet name="MonteCarlo_Weibull" sheetId="8" state="hidden" r:id="rId7"/>
    <sheet name="Datos Aplicacion" sheetId="6" r:id="rId8"/>
  </sheets>
  <definedNames>
    <definedName name="_xlchart.v1.0" hidden="1">MonteCarlo_Weibull!$D$15</definedName>
    <definedName name="_xlchart.v1.1" hidden="1">MonteCarlo_Weibull!$D$16:$D$1015</definedName>
    <definedName name="_xlchart.v1.2" hidden="1">MonteCarlo_Weibull!$E$15</definedName>
    <definedName name="_xlchart.v1.3" hidden="1">MonteCarlo_Weibull!$E$16:$E$1015</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9" i="8" l="1"/>
  <c r="C9" i="8"/>
  <c r="D9" i="8"/>
  <c r="E9" i="8"/>
  <c r="B10" i="8"/>
  <c r="C10" i="8"/>
  <c r="D10" i="8"/>
  <c r="E10" i="8"/>
  <c r="C16" i="8"/>
  <c r="E16" i="8" s="1" a="1"/>
  <c r="E16" i="8" s="1"/>
  <c r="C1015" i="8"/>
  <c r="E1015" i="8" s="1" a="1"/>
  <c r="E1015" i="8" s="1"/>
  <c r="C1014" i="8"/>
  <c r="E1014" i="8" s="1" a="1"/>
  <c r="E1014" i="8" s="1"/>
  <c r="C1013" i="8"/>
  <c r="E1013" i="8" s="1" a="1"/>
  <c r="E1013" i="8" s="1"/>
  <c r="C1012" i="8"/>
  <c r="E1012" i="8" s="1" a="1"/>
  <c r="E1012" i="8" s="1"/>
  <c r="C1011" i="8"/>
  <c r="E1011" i="8" s="1" a="1"/>
  <c r="E1011" i="8" s="1"/>
  <c r="C1010" i="8"/>
  <c r="E1010" i="8" s="1" a="1"/>
  <c r="E1010" i="8" s="1"/>
  <c r="C1009" i="8"/>
  <c r="E1009" i="8" s="1" a="1"/>
  <c r="E1009" i="8" s="1"/>
  <c r="C1008" i="8"/>
  <c r="E1008" i="8" s="1" a="1"/>
  <c r="E1008" i="8" s="1"/>
  <c r="C1007" i="8"/>
  <c r="E1007" i="8" s="1" a="1"/>
  <c r="E1007" i="8" s="1"/>
  <c r="C1006" i="8"/>
  <c r="E1006" i="8" s="1" a="1"/>
  <c r="E1006" i="8" s="1"/>
  <c r="C1005" i="8"/>
  <c r="E1005" i="8" s="1" a="1"/>
  <c r="E1005" i="8" s="1"/>
  <c r="C1004" i="8"/>
  <c r="E1004" i="8" s="1" a="1"/>
  <c r="E1004" i="8" s="1"/>
  <c r="C1003" i="8"/>
  <c r="E1003" i="8" s="1" a="1"/>
  <c r="E1003" i="8" s="1"/>
  <c r="C1002" i="8"/>
  <c r="E1002" i="8" s="1" a="1"/>
  <c r="E1002" i="8" s="1"/>
  <c r="C1001" i="8"/>
  <c r="E1001" i="8" s="1" a="1"/>
  <c r="E1001" i="8" s="1"/>
  <c r="C1000" i="8"/>
  <c r="E1000" i="8" s="1" a="1"/>
  <c r="E1000" i="8" s="1"/>
  <c r="C999" i="8"/>
  <c r="E999" i="8" s="1" a="1"/>
  <c r="E999" i="8" s="1"/>
  <c r="C998" i="8"/>
  <c r="E998" i="8" s="1" a="1"/>
  <c r="E998" i="8" s="1"/>
  <c r="C997" i="8"/>
  <c r="E997" i="8" s="1" a="1"/>
  <c r="E997" i="8" s="1"/>
  <c r="C996" i="8"/>
  <c r="E996" i="8" s="1" a="1"/>
  <c r="E996" i="8" s="1"/>
  <c r="C995" i="8"/>
  <c r="E995" i="8" s="1" a="1"/>
  <c r="E995" i="8" s="1"/>
  <c r="C994" i="8"/>
  <c r="E994" i="8" s="1" a="1"/>
  <c r="E994" i="8" s="1"/>
  <c r="C993" i="8"/>
  <c r="E993" i="8" s="1" a="1"/>
  <c r="E993" i="8" s="1"/>
  <c r="C992" i="8"/>
  <c r="E992" i="8" s="1" a="1"/>
  <c r="E992" i="8" s="1"/>
  <c r="C991" i="8"/>
  <c r="E991" i="8" s="1" a="1"/>
  <c r="E991" i="8" s="1"/>
  <c r="C990" i="8"/>
  <c r="E990" i="8" s="1" a="1"/>
  <c r="E990" i="8" s="1"/>
  <c r="C989" i="8"/>
  <c r="E989" i="8" s="1" a="1"/>
  <c r="E989" i="8" s="1"/>
  <c r="C988" i="8"/>
  <c r="E988" i="8" s="1" a="1"/>
  <c r="E988" i="8" s="1"/>
  <c r="C987" i="8"/>
  <c r="E987" i="8" s="1" a="1"/>
  <c r="E987" i="8" s="1"/>
  <c r="C986" i="8"/>
  <c r="E986" i="8" s="1" a="1"/>
  <c r="E986" i="8" s="1"/>
  <c r="C985" i="8"/>
  <c r="E985" i="8" s="1" a="1"/>
  <c r="E985" i="8" s="1"/>
  <c r="C984" i="8"/>
  <c r="E984" i="8" s="1" a="1"/>
  <c r="E984" i="8" s="1"/>
  <c r="C983" i="8"/>
  <c r="E983" i="8" s="1" a="1"/>
  <c r="E983" i="8" s="1"/>
  <c r="C982" i="8"/>
  <c r="E982" i="8" s="1" a="1"/>
  <c r="E982" i="8" s="1"/>
  <c r="C981" i="8"/>
  <c r="E981" i="8" s="1" a="1"/>
  <c r="E981" i="8" s="1"/>
  <c r="C980" i="8"/>
  <c r="E980" i="8" s="1" a="1"/>
  <c r="E980" i="8" s="1"/>
  <c r="C979" i="8"/>
  <c r="E979" i="8" s="1" a="1"/>
  <c r="E979" i="8" s="1"/>
  <c r="C978" i="8"/>
  <c r="E978" i="8" s="1" a="1"/>
  <c r="E978" i="8" s="1"/>
  <c r="C977" i="8"/>
  <c r="E977" i="8" s="1" a="1"/>
  <c r="E977" i="8" s="1"/>
  <c r="C976" i="8"/>
  <c r="E976" i="8" s="1" a="1"/>
  <c r="E976" i="8" s="1"/>
  <c r="C975" i="8"/>
  <c r="E975" i="8" s="1" a="1"/>
  <c r="E975" i="8" s="1"/>
  <c r="C974" i="8"/>
  <c r="E974" i="8" s="1" a="1"/>
  <c r="E974" i="8" s="1"/>
  <c r="C973" i="8"/>
  <c r="E973" i="8" s="1" a="1"/>
  <c r="E973" i="8" s="1"/>
  <c r="C972" i="8"/>
  <c r="E972" i="8" s="1" a="1"/>
  <c r="E972" i="8" s="1"/>
  <c r="C971" i="8"/>
  <c r="E971" i="8" s="1" a="1"/>
  <c r="E971" i="8" s="1"/>
  <c r="C970" i="8"/>
  <c r="E970" i="8" s="1" a="1"/>
  <c r="E970" i="8" s="1"/>
  <c r="C969" i="8"/>
  <c r="E969" i="8" s="1" a="1"/>
  <c r="E969" i="8" s="1"/>
  <c r="C968" i="8"/>
  <c r="E968" i="8" s="1" a="1"/>
  <c r="E968" i="8" s="1"/>
  <c r="C967" i="8"/>
  <c r="E967" i="8" s="1" a="1"/>
  <c r="E967" i="8" s="1"/>
  <c r="C966" i="8"/>
  <c r="E966" i="8" s="1" a="1"/>
  <c r="E966" i="8" s="1"/>
  <c r="C965" i="8"/>
  <c r="E965" i="8" s="1" a="1"/>
  <c r="E965" i="8" s="1"/>
  <c r="C964" i="8"/>
  <c r="E964" i="8" s="1" a="1"/>
  <c r="E964" i="8" s="1"/>
  <c r="C963" i="8"/>
  <c r="E963" i="8" s="1" a="1"/>
  <c r="E963" i="8" s="1"/>
  <c r="C962" i="8"/>
  <c r="E962" i="8" s="1" a="1"/>
  <c r="E962" i="8" s="1"/>
  <c r="C961" i="8"/>
  <c r="E961" i="8" s="1" a="1"/>
  <c r="E961" i="8" s="1"/>
  <c r="C960" i="8"/>
  <c r="E960" i="8" s="1" a="1"/>
  <c r="E960" i="8" s="1"/>
  <c r="C959" i="8"/>
  <c r="E959" i="8" s="1" a="1"/>
  <c r="E959" i="8" s="1"/>
  <c r="C958" i="8"/>
  <c r="E958" i="8" s="1" a="1"/>
  <c r="E958" i="8" s="1"/>
  <c r="C957" i="8"/>
  <c r="E957" i="8" s="1" a="1"/>
  <c r="E957" i="8" s="1"/>
  <c r="C956" i="8"/>
  <c r="E956" i="8" s="1" a="1"/>
  <c r="E956" i="8" s="1"/>
  <c r="C955" i="8"/>
  <c r="E955" i="8" s="1" a="1"/>
  <c r="E955" i="8" s="1"/>
  <c r="C954" i="8"/>
  <c r="E954" i="8" s="1" a="1"/>
  <c r="E954" i="8" s="1"/>
  <c r="C953" i="8"/>
  <c r="E953" i="8" s="1" a="1"/>
  <c r="E953" i="8" s="1"/>
  <c r="C952" i="8"/>
  <c r="E952" i="8" s="1" a="1"/>
  <c r="E952" i="8" s="1"/>
  <c r="C951" i="8"/>
  <c r="E951" i="8" s="1" a="1"/>
  <c r="E951" i="8" s="1"/>
  <c r="C950" i="8"/>
  <c r="E950" i="8" s="1" a="1"/>
  <c r="E950" i="8" s="1"/>
  <c r="C949" i="8"/>
  <c r="E949" i="8" s="1" a="1"/>
  <c r="E949" i="8" s="1"/>
  <c r="C948" i="8"/>
  <c r="E948" i="8" s="1" a="1"/>
  <c r="E948" i="8" s="1"/>
  <c r="C947" i="8"/>
  <c r="E947" i="8" s="1" a="1"/>
  <c r="E947" i="8" s="1"/>
  <c r="C946" i="8"/>
  <c r="E946" i="8" s="1" a="1"/>
  <c r="E946" i="8" s="1"/>
  <c r="C945" i="8"/>
  <c r="E945" i="8" s="1" a="1"/>
  <c r="E945" i="8" s="1"/>
  <c r="C944" i="8"/>
  <c r="E944" i="8" s="1" a="1"/>
  <c r="E944" i="8" s="1"/>
  <c r="C943" i="8"/>
  <c r="E943" i="8" s="1" a="1"/>
  <c r="E943" i="8" s="1"/>
  <c r="C942" i="8"/>
  <c r="E942" i="8" s="1" a="1"/>
  <c r="E942" i="8" s="1"/>
  <c r="C941" i="8"/>
  <c r="E941" i="8" s="1" a="1"/>
  <c r="E941" i="8" s="1"/>
  <c r="C940" i="8"/>
  <c r="E940" i="8" s="1" a="1"/>
  <c r="E940" i="8" s="1"/>
  <c r="C939" i="8"/>
  <c r="E939" i="8" s="1" a="1"/>
  <c r="E939" i="8" s="1"/>
  <c r="C938" i="8"/>
  <c r="E938" i="8" s="1" a="1"/>
  <c r="E938" i="8" s="1"/>
  <c r="C937" i="8"/>
  <c r="E937" i="8" s="1" a="1"/>
  <c r="E937" i="8" s="1"/>
  <c r="C936" i="8"/>
  <c r="E936" i="8" s="1" a="1"/>
  <c r="E936" i="8" s="1"/>
  <c r="C935" i="8"/>
  <c r="E935" i="8" s="1" a="1"/>
  <c r="E935" i="8" s="1"/>
  <c r="C934" i="8"/>
  <c r="E934" i="8" s="1" a="1"/>
  <c r="E934" i="8" s="1"/>
  <c r="C933" i="8"/>
  <c r="E933" i="8" s="1" a="1"/>
  <c r="E933" i="8" s="1"/>
  <c r="C932" i="8"/>
  <c r="E932" i="8" s="1" a="1"/>
  <c r="E932" i="8" s="1"/>
  <c r="C931" i="8"/>
  <c r="E931" i="8" s="1" a="1"/>
  <c r="E931" i="8" s="1"/>
  <c r="C930" i="8"/>
  <c r="E930" i="8" s="1" a="1"/>
  <c r="E930" i="8" s="1"/>
  <c r="C929" i="8"/>
  <c r="E929" i="8" s="1" a="1"/>
  <c r="E929" i="8" s="1"/>
  <c r="C928" i="8"/>
  <c r="E928" i="8" s="1" a="1"/>
  <c r="E928" i="8" s="1"/>
  <c r="C927" i="8"/>
  <c r="E927" i="8" s="1" a="1"/>
  <c r="E927" i="8" s="1"/>
  <c r="C926" i="8"/>
  <c r="E926" i="8" s="1" a="1"/>
  <c r="E926" i="8" s="1"/>
  <c r="C925" i="8"/>
  <c r="E925" i="8" s="1" a="1"/>
  <c r="E925" i="8" s="1"/>
  <c r="C924" i="8"/>
  <c r="E924" i="8" s="1" a="1"/>
  <c r="E924" i="8" s="1"/>
  <c r="C923" i="8"/>
  <c r="E923" i="8" s="1" a="1"/>
  <c r="E923" i="8" s="1"/>
  <c r="C922" i="8"/>
  <c r="E922" i="8" s="1" a="1"/>
  <c r="E922" i="8" s="1"/>
  <c r="C921" i="8"/>
  <c r="E921" i="8" s="1" a="1"/>
  <c r="E921" i="8" s="1"/>
  <c r="C920" i="8"/>
  <c r="E920" i="8" s="1" a="1"/>
  <c r="E920" i="8" s="1"/>
  <c r="C919" i="8"/>
  <c r="E919" i="8" s="1" a="1"/>
  <c r="E919" i="8" s="1"/>
  <c r="C918" i="8"/>
  <c r="E918" i="8" s="1" a="1"/>
  <c r="E918" i="8" s="1"/>
  <c r="C917" i="8"/>
  <c r="E917" i="8" s="1" a="1"/>
  <c r="E917" i="8" s="1"/>
  <c r="C916" i="8"/>
  <c r="E916" i="8" s="1" a="1"/>
  <c r="E916" i="8" s="1"/>
  <c r="C915" i="8"/>
  <c r="E915" i="8" s="1" a="1"/>
  <c r="E915" i="8" s="1"/>
  <c r="C914" i="8"/>
  <c r="E914" i="8" s="1" a="1"/>
  <c r="E914" i="8" s="1"/>
  <c r="C913" i="8"/>
  <c r="E913" i="8" s="1" a="1"/>
  <c r="E913" i="8" s="1"/>
  <c r="C912" i="8"/>
  <c r="E912" i="8" s="1" a="1"/>
  <c r="E912" i="8" s="1"/>
  <c r="C911" i="8"/>
  <c r="E911" i="8" s="1" a="1"/>
  <c r="E911" i="8" s="1"/>
  <c r="C910" i="8"/>
  <c r="E910" i="8" s="1" a="1"/>
  <c r="E910" i="8" s="1"/>
  <c r="C909" i="8"/>
  <c r="E909" i="8" s="1" a="1"/>
  <c r="E909" i="8" s="1"/>
  <c r="C908" i="8"/>
  <c r="E908" i="8" s="1" a="1"/>
  <c r="E908" i="8" s="1"/>
  <c r="C907" i="8"/>
  <c r="E907" i="8" s="1" a="1"/>
  <c r="E907" i="8" s="1"/>
  <c r="C906" i="8"/>
  <c r="E906" i="8" s="1" a="1"/>
  <c r="E906" i="8" s="1"/>
  <c r="C905" i="8"/>
  <c r="E905" i="8" s="1" a="1"/>
  <c r="E905" i="8" s="1"/>
  <c r="C904" i="8"/>
  <c r="E904" i="8" s="1" a="1"/>
  <c r="E904" i="8" s="1"/>
  <c r="C903" i="8"/>
  <c r="E903" i="8" s="1" a="1"/>
  <c r="E903" i="8" s="1"/>
  <c r="C902" i="8"/>
  <c r="E902" i="8" s="1" a="1"/>
  <c r="E902" i="8" s="1"/>
  <c r="C901" i="8"/>
  <c r="E901" i="8" s="1" a="1"/>
  <c r="E901" i="8" s="1"/>
  <c r="C900" i="8"/>
  <c r="E900" i="8" s="1" a="1"/>
  <c r="E900" i="8" s="1"/>
  <c r="C899" i="8"/>
  <c r="E899" i="8" s="1" a="1"/>
  <c r="E899" i="8" s="1"/>
  <c r="C898" i="8"/>
  <c r="E898" i="8" s="1" a="1"/>
  <c r="E898" i="8" s="1"/>
  <c r="C897" i="8"/>
  <c r="E897" i="8" s="1" a="1"/>
  <c r="E897" i="8" s="1"/>
  <c r="C896" i="8"/>
  <c r="E896" i="8" s="1" a="1"/>
  <c r="E896" i="8" s="1"/>
  <c r="C895" i="8"/>
  <c r="E895" i="8" s="1" a="1"/>
  <c r="E895" i="8" s="1"/>
  <c r="C894" i="8"/>
  <c r="E894" i="8" s="1" a="1"/>
  <c r="E894" i="8" s="1"/>
  <c r="C893" i="8"/>
  <c r="E893" i="8" s="1" a="1"/>
  <c r="E893" i="8" s="1"/>
  <c r="C892" i="8"/>
  <c r="E892" i="8" s="1" a="1"/>
  <c r="E892" i="8" s="1"/>
  <c r="C891" i="8"/>
  <c r="E891" i="8" s="1" a="1"/>
  <c r="E891" i="8" s="1"/>
  <c r="C890" i="8"/>
  <c r="E890" i="8" s="1" a="1"/>
  <c r="E890" i="8" s="1"/>
  <c r="C889" i="8"/>
  <c r="E889" i="8" s="1" a="1"/>
  <c r="E889" i="8" s="1"/>
  <c r="C888" i="8"/>
  <c r="E888" i="8" s="1" a="1"/>
  <c r="E888" i="8" s="1"/>
  <c r="C887" i="8"/>
  <c r="E887" i="8" s="1" a="1"/>
  <c r="E887" i="8" s="1"/>
  <c r="C886" i="8"/>
  <c r="E886" i="8" s="1" a="1"/>
  <c r="E886" i="8" s="1"/>
  <c r="C885" i="8"/>
  <c r="E885" i="8" s="1" a="1"/>
  <c r="E885" i="8" s="1"/>
  <c r="C884" i="8"/>
  <c r="E884" i="8" s="1" a="1"/>
  <c r="E884" i="8" s="1"/>
  <c r="C883" i="8"/>
  <c r="E883" i="8" s="1" a="1"/>
  <c r="E883" i="8" s="1"/>
  <c r="C882" i="8"/>
  <c r="E882" i="8" s="1" a="1"/>
  <c r="E882" i="8" s="1"/>
  <c r="C881" i="8"/>
  <c r="E881" i="8" s="1" a="1"/>
  <c r="E881" i="8" s="1"/>
  <c r="C880" i="8"/>
  <c r="E880" i="8" s="1" a="1"/>
  <c r="E880" i="8" s="1"/>
  <c r="C879" i="8"/>
  <c r="E879" i="8" s="1" a="1"/>
  <c r="E879" i="8" s="1"/>
  <c r="C878" i="8"/>
  <c r="E878" i="8" s="1" a="1"/>
  <c r="E878" i="8" s="1"/>
  <c r="C877" i="8"/>
  <c r="E877" i="8" s="1" a="1"/>
  <c r="E877" i="8" s="1"/>
  <c r="C876" i="8"/>
  <c r="E876" i="8" s="1" a="1"/>
  <c r="E876" i="8" s="1"/>
  <c r="C875" i="8"/>
  <c r="E875" i="8" s="1" a="1"/>
  <c r="E875" i="8" s="1"/>
  <c r="C874" i="8"/>
  <c r="E874" i="8" s="1" a="1"/>
  <c r="E874" i="8" s="1"/>
  <c r="C873" i="8"/>
  <c r="E873" i="8" s="1" a="1"/>
  <c r="E873" i="8" s="1"/>
  <c r="C872" i="8"/>
  <c r="E872" i="8" s="1" a="1"/>
  <c r="E872" i="8" s="1"/>
  <c r="C871" i="8"/>
  <c r="E871" i="8" s="1" a="1"/>
  <c r="E871" i="8" s="1"/>
  <c r="C870" i="8"/>
  <c r="E870" i="8" s="1" a="1"/>
  <c r="E870" i="8" s="1"/>
  <c r="C869" i="8"/>
  <c r="E869" i="8" s="1" a="1"/>
  <c r="E869" i="8" s="1"/>
  <c r="C868" i="8"/>
  <c r="E868" i="8" s="1" a="1"/>
  <c r="E868" i="8" s="1"/>
  <c r="C867" i="8"/>
  <c r="E867" i="8" s="1" a="1"/>
  <c r="E867" i="8" s="1"/>
  <c r="C866" i="8"/>
  <c r="E866" i="8" s="1" a="1"/>
  <c r="E866" i="8" s="1"/>
  <c r="C865" i="8"/>
  <c r="E865" i="8" s="1" a="1"/>
  <c r="E865" i="8" s="1"/>
  <c r="C864" i="8"/>
  <c r="E864" i="8" s="1" a="1"/>
  <c r="E864" i="8" s="1"/>
  <c r="C863" i="8"/>
  <c r="E863" i="8" s="1" a="1"/>
  <c r="E863" i="8" s="1"/>
  <c r="C862" i="8"/>
  <c r="E862" i="8" s="1" a="1"/>
  <c r="E862" i="8" s="1"/>
  <c r="C861" i="8"/>
  <c r="E861" i="8" s="1" a="1"/>
  <c r="E861" i="8" s="1"/>
  <c r="C860" i="8"/>
  <c r="E860" i="8" s="1" a="1"/>
  <c r="E860" i="8" s="1"/>
  <c r="C859" i="8"/>
  <c r="E859" i="8" s="1" a="1"/>
  <c r="E859" i="8" s="1"/>
  <c r="C858" i="8"/>
  <c r="E858" i="8" s="1" a="1"/>
  <c r="E858" i="8" s="1"/>
  <c r="C857" i="8"/>
  <c r="E857" i="8" s="1" a="1"/>
  <c r="E857" i="8" s="1"/>
  <c r="C856" i="8"/>
  <c r="E856" i="8" s="1" a="1"/>
  <c r="E856" i="8" s="1"/>
  <c r="C855" i="8"/>
  <c r="E855" i="8" s="1" a="1"/>
  <c r="E855" i="8" s="1"/>
  <c r="C854" i="8"/>
  <c r="E854" i="8" s="1" a="1"/>
  <c r="E854" i="8" s="1"/>
  <c r="C853" i="8"/>
  <c r="E853" i="8" s="1" a="1"/>
  <c r="E853" i="8" s="1"/>
  <c r="C852" i="8"/>
  <c r="E852" i="8" s="1" a="1"/>
  <c r="E852" i="8" s="1"/>
  <c r="C851" i="8"/>
  <c r="E851" i="8" s="1" a="1"/>
  <c r="E851" i="8" s="1"/>
  <c r="C850" i="8"/>
  <c r="E850" i="8" s="1" a="1"/>
  <c r="E850" i="8" s="1"/>
  <c r="C849" i="8"/>
  <c r="E849" i="8" s="1" a="1"/>
  <c r="E849" i="8" s="1"/>
  <c r="C848" i="8"/>
  <c r="E848" i="8" s="1" a="1"/>
  <c r="E848" i="8" s="1"/>
  <c r="C847" i="8"/>
  <c r="E847" i="8" s="1" a="1"/>
  <c r="E847" i="8" s="1"/>
  <c r="C846" i="8"/>
  <c r="E846" i="8" s="1" a="1"/>
  <c r="E846" i="8" s="1"/>
  <c r="C845" i="8"/>
  <c r="E845" i="8" s="1" a="1"/>
  <c r="E845" i="8" s="1"/>
  <c r="C844" i="8"/>
  <c r="E844" i="8" s="1" a="1"/>
  <c r="E844" i="8" s="1"/>
  <c r="C843" i="8"/>
  <c r="E843" i="8" s="1" a="1"/>
  <c r="E843" i="8" s="1"/>
  <c r="C842" i="8"/>
  <c r="E842" i="8" s="1" a="1"/>
  <c r="E842" i="8" s="1"/>
  <c r="C841" i="8"/>
  <c r="E841" i="8" s="1" a="1"/>
  <c r="E841" i="8" s="1"/>
  <c r="C840" i="8"/>
  <c r="E840" i="8" s="1" a="1"/>
  <c r="E840" i="8" s="1"/>
  <c r="C839" i="8"/>
  <c r="E839" i="8" s="1" a="1"/>
  <c r="E839" i="8" s="1"/>
  <c r="C838" i="8"/>
  <c r="E838" i="8" s="1" a="1"/>
  <c r="E838" i="8" s="1"/>
  <c r="C837" i="8"/>
  <c r="E837" i="8" s="1" a="1"/>
  <c r="E837" i="8" s="1"/>
  <c r="C836" i="8"/>
  <c r="E836" i="8" s="1" a="1"/>
  <c r="E836" i="8" s="1"/>
  <c r="C835" i="8"/>
  <c r="E835" i="8" s="1" a="1"/>
  <c r="E835" i="8" s="1"/>
  <c r="C834" i="8"/>
  <c r="E834" i="8" s="1" a="1"/>
  <c r="E834" i="8" s="1"/>
  <c r="C833" i="8"/>
  <c r="E833" i="8" s="1" a="1"/>
  <c r="E833" i="8" s="1"/>
  <c r="C832" i="8"/>
  <c r="E832" i="8" s="1" a="1"/>
  <c r="E832" i="8" s="1"/>
  <c r="C831" i="8"/>
  <c r="E831" i="8" s="1" a="1"/>
  <c r="E831" i="8" s="1"/>
  <c r="C830" i="8"/>
  <c r="E830" i="8" s="1" a="1"/>
  <c r="E830" i="8" s="1"/>
  <c r="C829" i="8"/>
  <c r="E829" i="8" s="1" a="1"/>
  <c r="E829" i="8" s="1"/>
  <c r="C828" i="8"/>
  <c r="E828" i="8" s="1" a="1"/>
  <c r="E828" i="8" s="1"/>
  <c r="C827" i="8"/>
  <c r="E827" i="8" s="1" a="1"/>
  <c r="E827" i="8" s="1"/>
  <c r="C826" i="8"/>
  <c r="E826" i="8" s="1" a="1"/>
  <c r="E826" i="8" s="1"/>
  <c r="C825" i="8"/>
  <c r="E825" i="8" s="1" a="1"/>
  <c r="E825" i="8" s="1"/>
  <c r="C824" i="8"/>
  <c r="E824" i="8" s="1" a="1"/>
  <c r="E824" i="8" s="1"/>
  <c r="C823" i="8"/>
  <c r="E823" i="8" s="1" a="1"/>
  <c r="E823" i="8" s="1"/>
  <c r="C822" i="8"/>
  <c r="E822" i="8" s="1" a="1"/>
  <c r="E822" i="8" s="1"/>
  <c r="C821" i="8"/>
  <c r="E821" i="8" s="1" a="1"/>
  <c r="E821" i="8" s="1"/>
  <c r="C820" i="8"/>
  <c r="E820" i="8" s="1" a="1"/>
  <c r="E820" i="8" s="1"/>
  <c r="C819" i="8"/>
  <c r="E819" i="8" s="1" a="1"/>
  <c r="E819" i="8" s="1"/>
  <c r="C818" i="8"/>
  <c r="E818" i="8" s="1" a="1"/>
  <c r="E818" i="8" s="1"/>
  <c r="C817" i="8"/>
  <c r="E817" i="8" s="1" a="1"/>
  <c r="E817" i="8" s="1"/>
  <c r="C816" i="8"/>
  <c r="E816" i="8" s="1" a="1"/>
  <c r="E816" i="8" s="1"/>
  <c r="C815" i="8"/>
  <c r="E815" i="8" s="1" a="1"/>
  <c r="E815" i="8" s="1"/>
  <c r="C814" i="8"/>
  <c r="E814" i="8" s="1" a="1"/>
  <c r="E814" i="8" s="1"/>
  <c r="C813" i="8"/>
  <c r="E813" i="8" s="1" a="1"/>
  <c r="E813" i="8" s="1"/>
  <c r="C812" i="8"/>
  <c r="E812" i="8" s="1" a="1"/>
  <c r="E812" i="8" s="1"/>
  <c r="C811" i="8"/>
  <c r="E811" i="8" s="1" a="1"/>
  <c r="E811" i="8" s="1"/>
  <c r="C810" i="8"/>
  <c r="E810" i="8" s="1" a="1"/>
  <c r="E810" i="8" s="1"/>
  <c r="C809" i="8"/>
  <c r="E809" i="8" s="1" a="1"/>
  <c r="E809" i="8" s="1"/>
  <c r="C808" i="8"/>
  <c r="E808" i="8" s="1" a="1"/>
  <c r="E808" i="8" s="1"/>
  <c r="C807" i="8"/>
  <c r="E807" i="8" s="1" a="1"/>
  <c r="E807" i="8" s="1"/>
  <c r="C806" i="8"/>
  <c r="E806" i="8" s="1" a="1"/>
  <c r="E806" i="8" s="1"/>
  <c r="C805" i="8"/>
  <c r="E805" i="8" s="1" a="1"/>
  <c r="E805" i="8" s="1"/>
  <c r="C804" i="8"/>
  <c r="E804" i="8" s="1" a="1"/>
  <c r="E804" i="8" s="1"/>
  <c r="C803" i="8"/>
  <c r="E803" i="8" s="1" a="1"/>
  <c r="E803" i="8" s="1"/>
  <c r="C802" i="8"/>
  <c r="E802" i="8" s="1" a="1"/>
  <c r="E802" i="8" s="1"/>
  <c r="C801" i="8"/>
  <c r="E801" i="8" s="1" a="1"/>
  <c r="E801" i="8" s="1"/>
  <c r="C800" i="8"/>
  <c r="E800" i="8" s="1" a="1"/>
  <c r="E800" i="8" s="1"/>
  <c r="C799" i="8"/>
  <c r="E799" i="8" s="1" a="1"/>
  <c r="E799" i="8" s="1"/>
  <c r="C798" i="8"/>
  <c r="E798" i="8" s="1" a="1"/>
  <c r="E798" i="8" s="1"/>
  <c r="C797" i="8"/>
  <c r="E797" i="8" s="1" a="1"/>
  <c r="E797" i="8" s="1"/>
  <c r="C796" i="8"/>
  <c r="E796" i="8" s="1" a="1"/>
  <c r="E796" i="8" s="1"/>
  <c r="C795" i="8"/>
  <c r="E795" i="8" s="1" a="1"/>
  <c r="E795" i="8" s="1"/>
  <c r="C794" i="8"/>
  <c r="E794" i="8" s="1" a="1"/>
  <c r="E794" i="8" s="1"/>
  <c r="C793" i="8"/>
  <c r="E793" i="8" s="1" a="1"/>
  <c r="E793" i="8" s="1"/>
  <c r="C792" i="8"/>
  <c r="E792" i="8" s="1" a="1"/>
  <c r="E792" i="8" s="1"/>
  <c r="C791" i="8"/>
  <c r="E791" i="8" s="1" a="1"/>
  <c r="E791" i="8" s="1"/>
  <c r="C790" i="8"/>
  <c r="E790" i="8" s="1" a="1"/>
  <c r="E790" i="8" s="1"/>
  <c r="C789" i="8"/>
  <c r="E789" i="8" s="1" a="1"/>
  <c r="E789" i="8" s="1"/>
  <c r="C788" i="8"/>
  <c r="E788" i="8" s="1" a="1"/>
  <c r="E788" i="8" s="1"/>
  <c r="C787" i="8"/>
  <c r="E787" i="8" s="1" a="1"/>
  <c r="E787" i="8" s="1"/>
  <c r="C786" i="8"/>
  <c r="E786" i="8" s="1" a="1"/>
  <c r="E786" i="8" s="1"/>
  <c r="C785" i="8"/>
  <c r="E785" i="8" s="1" a="1"/>
  <c r="E785" i="8" s="1"/>
  <c r="C784" i="8"/>
  <c r="E784" i="8" s="1" a="1"/>
  <c r="E784" i="8" s="1"/>
  <c r="C783" i="8"/>
  <c r="E783" i="8" s="1" a="1"/>
  <c r="E783" i="8" s="1"/>
  <c r="C782" i="8"/>
  <c r="E782" i="8" s="1" a="1"/>
  <c r="E782" i="8" s="1"/>
  <c r="C781" i="8"/>
  <c r="E781" i="8" s="1" a="1"/>
  <c r="E781" i="8" s="1"/>
  <c r="C780" i="8"/>
  <c r="E780" i="8" s="1" a="1"/>
  <c r="E780" i="8" s="1"/>
  <c r="C779" i="8"/>
  <c r="E779" i="8" s="1" a="1"/>
  <c r="E779" i="8" s="1"/>
  <c r="C778" i="8"/>
  <c r="E778" i="8" s="1" a="1"/>
  <c r="E778" i="8" s="1"/>
  <c r="C777" i="8"/>
  <c r="E777" i="8" s="1" a="1"/>
  <c r="E777" i="8" s="1"/>
  <c r="C776" i="8"/>
  <c r="E776" i="8" s="1" a="1"/>
  <c r="E776" i="8" s="1"/>
  <c r="C775" i="8"/>
  <c r="E775" i="8" s="1" a="1"/>
  <c r="E775" i="8" s="1"/>
  <c r="C774" i="8"/>
  <c r="E774" i="8" s="1" a="1"/>
  <c r="E774" i="8" s="1"/>
  <c r="C773" i="8"/>
  <c r="E773" i="8" s="1" a="1"/>
  <c r="E773" i="8" s="1"/>
  <c r="C772" i="8"/>
  <c r="E772" i="8" s="1" a="1"/>
  <c r="E772" i="8" s="1"/>
  <c r="C771" i="8"/>
  <c r="E771" i="8" s="1" a="1"/>
  <c r="E771" i="8" s="1"/>
  <c r="C770" i="8"/>
  <c r="E770" i="8" s="1" a="1"/>
  <c r="E770" i="8" s="1"/>
  <c r="C769" i="8"/>
  <c r="E769" i="8" s="1" a="1"/>
  <c r="E769" i="8" s="1"/>
  <c r="C768" i="8"/>
  <c r="E768" i="8" s="1" a="1"/>
  <c r="E768" i="8" s="1"/>
  <c r="C767" i="8"/>
  <c r="E767" i="8" s="1" a="1"/>
  <c r="E767" i="8" s="1"/>
  <c r="C766" i="8"/>
  <c r="E766" i="8" s="1" a="1"/>
  <c r="E766" i="8" s="1"/>
  <c r="C765" i="8"/>
  <c r="E765" i="8" s="1" a="1"/>
  <c r="E765" i="8" s="1"/>
  <c r="C764" i="8"/>
  <c r="E764" i="8" s="1" a="1"/>
  <c r="E764" i="8" s="1"/>
  <c r="C763" i="8"/>
  <c r="E763" i="8" s="1" a="1"/>
  <c r="E763" i="8" s="1"/>
  <c r="C762" i="8"/>
  <c r="E762" i="8" s="1" a="1"/>
  <c r="E762" i="8" s="1"/>
  <c r="C761" i="8"/>
  <c r="E761" i="8" s="1" a="1"/>
  <c r="E761" i="8" s="1"/>
  <c r="C760" i="8"/>
  <c r="E760" i="8" s="1" a="1"/>
  <c r="E760" i="8" s="1"/>
  <c r="C759" i="8"/>
  <c r="E759" i="8" s="1" a="1"/>
  <c r="E759" i="8" s="1"/>
  <c r="C758" i="8"/>
  <c r="E758" i="8" s="1" a="1"/>
  <c r="E758" i="8" s="1"/>
  <c r="C757" i="8"/>
  <c r="E757" i="8" s="1" a="1"/>
  <c r="E757" i="8" s="1"/>
  <c r="C756" i="8"/>
  <c r="E756" i="8" s="1" a="1"/>
  <c r="E756" i="8" s="1"/>
  <c r="C755" i="8"/>
  <c r="E755" i="8" s="1" a="1"/>
  <c r="E755" i="8" s="1"/>
  <c r="C754" i="8"/>
  <c r="E754" i="8" s="1" a="1"/>
  <c r="E754" i="8" s="1"/>
  <c r="C753" i="8"/>
  <c r="E753" i="8" s="1" a="1"/>
  <c r="E753" i="8" s="1"/>
  <c r="C752" i="8"/>
  <c r="E752" i="8" s="1" a="1"/>
  <c r="E752" i="8" s="1"/>
  <c r="C751" i="8"/>
  <c r="E751" i="8" s="1" a="1"/>
  <c r="E751" i="8" s="1"/>
  <c r="C750" i="8"/>
  <c r="E750" i="8" s="1" a="1"/>
  <c r="E750" i="8" s="1"/>
  <c r="C749" i="8"/>
  <c r="E749" i="8" s="1" a="1"/>
  <c r="E749" i="8" s="1"/>
  <c r="C748" i="8"/>
  <c r="E748" i="8" s="1" a="1"/>
  <c r="E748" i="8" s="1"/>
  <c r="C747" i="8"/>
  <c r="E747" i="8" s="1" a="1"/>
  <c r="E747" i="8" s="1"/>
  <c r="C746" i="8"/>
  <c r="E746" i="8" s="1" a="1"/>
  <c r="E746" i="8" s="1"/>
  <c r="C745" i="8"/>
  <c r="E745" i="8" s="1" a="1"/>
  <c r="E745" i="8" s="1"/>
  <c r="C744" i="8"/>
  <c r="E744" i="8" s="1" a="1"/>
  <c r="E744" i="8" s="1"/>
  <c r="C743" i="8"/>
  <c r="E743" i="8" s="1" a="1"/>
  <c r="E743" i="8" s="1"/>
  <c r="C742" i="8"/>
  <c r="E742" i="8" s="1" a="1"/>
  <c r="E742" i="8" s="1"/>
  <c r="C741" i="8"/>
  <c r="E741" i="8" s="1" a="1"/>
  <c r="E741" i="8" s="1"/>
  <c r="C740" i="8"/>
  <c r="E740" i="8" s="1" a="1"/>
  <c r="E740" i="8" s="1"/>
  <c r="C739" i="8"/>
  <c r="E739" i="8" s="1" a="1"/>
  <c r="E739" i="8" s="1"/>
  <c r="C738" i="8"/>
  <c r="E738" i="8" s="1" a="1"/>
  <c r="E738" i="8" s="1"/>
  <c r="C737" i="8"/>
  <c r="E737" i="8" s="1" a="1"/>
  <c r="E737" i="8" s="1"/>
  <c r="C736" i="8"/>
  <c r="E736" i="8" s="1" a="1"/>
  <c r="E736" i="8" s="1"/>
  <c r="C735" i="8"/>
  <c r="E735" i="8" s="1" a="1"/>
  <c r="E735" i="8" s="1"/>
  <c r="C734" i="8"/>
  <c r="E734" i="8" s="1" a="1"/>
  <c r="E734" i="8" s="1"/>
  <c r="C733" i="8"/>
  <c r="E733" i="8" s="1" a="1"/>
  <c r="E733" i="8" s="1"/>
  <c r="C732" i="8"/>
  <c r="E732" i="8" s="1" a="1"/>
  <c r="E732" i="8" s="1"/>
  <c r="C731" i="8"/>
  <c r="E731" i="8" s="1" a="1"/>
  <c r="E731" i="8" s="1"/>
  <c r="C730" i="8"/>
  <c r="E730" i="8" s="1" a="1"/>
  <c r="E730" i="8" s="1"/>
  <c r="C729" i="8"/>
  <c r="E729" i="8" s="1" a="1"/>
  <c r="E729" i="8" s="1"/>
  <c r="C728" i="8"/>
  <c r="E728" i="8" s="1" a="1"/>
  <c r="E728" i="8" s="1"/>
  <c r="C727" i="8"/>
  <c r="E727" i="8" s="1" a="1"/>
  <c r="E727" i="8" s="1"/>
  <c r="C726" i="8"/>
  <c r="E726" i="8" s="1" a="1"/>
  <c r="E726" i="8" s="1"/>
  <c r="C725" i="8"/>
  <c r="E725" i="8" s="1" a="1"/>
  <c r="E725" i="8" s="1"/>
  <c r="C724" i="8"/>
  <c r="E724" i="8" s="1" a="1"/>
  <c r="E724" i="8" s="1"/>
  <c r="C723" i="8"/>
  <c r="E723" i="8" s="1" a="1"/>
  <c r="E723" i="8" s="1"/>
  <c r="C722" i="8"/>
  <c r="E722" i="8" s="1" a="1"/>
  <c r="E722" i="8" s="1"/>
  <c r="C721" i="8"/>
  <c r="E721" i="8" s="1" a="1"/>
  <c r="E721" i="8" s="1"/>
  <c r="C720" i="8"/>
  <c r="E720" i="8" s="1" a="1"/>
  <c r="E720" i="8" s="1"/>
  <c r="C719" i="8"/>
  <c r="E719" i="8" s="1" a="1"/>
  <c r="E719" i="8" s="1"/>
  <c r="C718" i="8"/>
  <c r="E718" i="8" s="1" a="1"/>
  <c r="E718" i="8" s="1"/>
  <c r="C717" i="8"/>
  <c r="E717" i="8" s="1" a="1"/>
  <c r="E717" i="8" s="1"/>
  <c r="C716" i="8"/>
  <c r="E716" i="8" s="1" a="1"/>
  <c r="E716" i="8" s="1"/>
  <c r="C715" i="8"/>
  <c r="E715" i="8" s="1" a="1"/>
  <c r="E715" i="8" s="1"/>
  <c r="C714" i="8"/>
  <c r="E714" i="8" s="1" a="1"/>
  <c r="E714" i="8" s="1"/>
  <c r="C713" i="8"/>
  <c r="E713" i="8" s="1" a="1"/>
  <c r="E713" i="8" s="1"/>
  <c r="C712" i="8"/>
  <c r="E712" i="8" s="1" a="1"/>
  <c r="E712" i="8" s="1"/>
  <c r="C711" i="8"/>
  <c r="E711" i="8" s="1" a="1"/>
  <c r="E711" i="8" s="1"/>
  <c r="C710" i="8"/>
  <c r="E710" i="8" s="1" a="1"/>
  <c r="E710" i="8" s="1"/>
  <c r="C709" i="8"/>
  <c r="E709" i="8" s="1" a="1"/>
  <c r="E709" i="8" s="1"/>
  <c r="C708" i="8"/>
  <c r="E708" i="8" s="1" a="1"/>
  <c r="E708" i="8" s="1"/>
  <c r="C707" i="8"/>
  <c r="E707" i="8" s="1" a="1"/>
  <c r="E707" i="8" s="1"/>
  <c r="C706" i="8"/>
  <c r="E706" i="8" s="1" a="1"/>
  <c r="E706" i="8" s="1"/>
  <c r="C705" i="8"/>
  <c r="E705" i="8" s="1" a="1"/>
  <c r="E705" i="8" s="1"/>
  <c r="C704" i="8"/>
  <c r="E704" i="8" s="1" a="1"/>
  <c r="E704" i="8" s="1"/>
  <c r="C703" i="8"/>
  <c r="E703" i="8" s="1" a="1"/>
  <c r="E703" i="8" s="1"/>
  <c r="C702" i="8"/>
  <c r="E702" i="8" s="1" a="1"/>
  <c r="E702" i="8" s="1"/>
  <c r="C701" i="8"/>
  <c r="E701" i="8" s="1" a="1"/>
  <c r="E701" i="8" s="1"/>
  <c r="C700" i="8"/>
  <c r="E700" i="8" s="1" a="1"/>
  <c r="E700" i="8" s="1"/>
  <c r="C699" i="8"/>
  <c r="E699" i="8" s="1" a="1"/>
  <c r="E699" i="8" s="1"/>
  <c r="C698" i="8"/>
  <c r="E698" i="8" s="1" a="1"/>
  <c r="E698" i="8" s="1"/>
  <c r="C697" i="8"/>
  <c r="E697" i="8" s="1" a="1"/>
  <c r="E697" i="8" s="1"/>
  <c r="C696" i="8"/>
  <c r="E696" i="8" s="1" a="1"/>
  <c r="E696" i="8" s="1"/>
  <c r="C695" i="8"/>
  <c r="E695" i="8" s="1" a="1"/>
  <c r="E695" i="8" s="1"/>
  <c r="C694" i="8"/>
  <c r="E694" i="8" s="1" a="1"/>
  <c r="E694" i="8" s="1"/>
  <c r="C693" i="8"/>
  <c r="E693" i="8" s="1" a="1"/>
  <c r="E693" i="8" s="1"/>
  <c r="C692" i="8"/>
  <c r="E692" i="8" s="1" a="1"/>
  <c r="E692" i="8" s="1"/>
  <c r="C691" i="8"/>
  <c r="E691" i="8" s="1" a="1"/>
  <c r="E691" i="8" s="1"/>
  <c r="C690" i="8"/>
  <c r="E690" i="8" s="1" a="1"/>
  <c r="E690" i="8" s="1"/>
  <c r="C689" i="8"/>
  <c r="E689" i="8" s="1" a="1"/>
  <c r="E689" i="8" s="1"/>
  <c r="C688" i="8"/>
  <c r="E688" i="8" s="1" a="1"/>
  <c r="E688" i="8" s="1"/>
  <c r="C687" i="8"/>
  <c r="E687" i="8" s="1" a="1"/>
  <c r="E687" i="8" s="1"/>
  <c r="C686" i="8"/>
  <c r="E686" i="8" s="1" a="1"/>
  <c r="E686" i="8" s="1"/>
  <c r="C685" i="8"/>
  <c r="E685" i="8" s="1" a="1"/>
  <c r="E685" i="8" s="1"/>
  <c r="C684" i="8"/>
  <c r="E684" i="8" s="1" a="1"/>
  <c r="E684" i="8" s="1"/>
  <c r="C683" i="8"/>
  <c r="E683" i="8" s="1" a="1"/>
  <c r="E683" i="8" s="1"/>
  <c r="C682" i="8"/>
  <c r="E682" i="8" s="1" a="1"/>
  <c r="E682" i="8" s="1"/>
  <c r="C681" i="8"/>
  <c r="E681" i="8" s="1" a="1"/>
  <c r="E681" i="8" s="1"/>
  <c r="C680" i="8"/>
  <c r="E680" i="8" s="1" a="1"/>
  <c r="E680" i="8" s="1"/>
  <c r="C679" i="8"/>
  <c r="E679" i="8" s="1" a="1"/>
  <c r="E679" i="8" s="1"/>
  <c r="C678" i="8"/>
  <c r="E678" i="8" s="1" a="1"/>
  <c r="E678" i="8" s="1"/>
  <c r="C677" i="8"/>
  <c r="E677" i="8" s="1" a="1"/>
  <c r="E677" i="8" s="1"/>
  <c r="C676" i="8"/>
  <c r="E676" i="8" s="1" a="1"/>
  <c r="E676" i="8" s="1"/>
  <c r="C675" i="8"/>
  <c r="E675" i="8" s="1" a="1"/>
  <c r="E675" i="8" s="1"/>
  <c r="C674" i="8"/>
  <c r="E674" i="8" s="1" a="1"/>
  <c r="E674" i="8" s="1"/>
  <c r="C673" i="8"/>
  <c r="E673" i="8" s="1" a="1"/>
  <c r="E673" i="8" s="1"/>
  <c r="C672" i="8"/>
  <c r="E672" i="8" s="1" a="1"/>
  <c r="E672" i="8" s="1"/>
  <c r="C671" i="8"/>
  <c r="E671" i="8" s="1" a="1"/>
  <c r="E671" i="8" s="1"/>
  <c r="C670" i="8"/>
  <c r="E670" i="8" s="1" a="1"/>
  <c r="E670" i="8" s="1"/>
  <c r="C669" i="8"/>
  <c r="E669" i="8" s="1" a="1"/>
  <c r="E669" i="8" s="1"/>
  <c r="C668" i="8"/>
  <c r="E668" i="8" s="1" a="1"/>
  <c r="E668" i="8" s="1"/>
  <c r="C667" i="8"/>
  <c r="E667" i="8" s="1" a="1"/>
  <c r="E667" i="8" s="1"/>
  <c r="C666" i="8"/>
  <c r="E666" i="8" s="1" a="1"/>
  <c r="E666" i="8" s="1"/>
  <c r="C665" i="8"/>
  <c r="E665" i="8" s="1" a="1"/>
  <c r="E665" i="8" s="1"/>
  <c r="C664" i="8"/>
  <c r="E664" i="8" s="1" a="1"/>
  <c r="E664" i="8" s="1"/>
  <c r="C663" i="8"/>
  <c r="E663" i="8" s="1" a="1"/>
  <c r="E663" i="8" s="1"/>
  <c r="C662" i="8"/>
  <c r="E662" i="8" s="1" a="1"/>
  <c r="E662" i="8" s="1"/>
  <c r="C661" i="8"/>
  <c r="E661" i="8" s="1" a="1"/>
  <c r="E661" i="8" s="1"/>
  <c r="C660" i="8"/>
  <c r="E660" i="8" s="1" a="1"/>
  <c r="E660" i="8" s="1"/>
  <c r="C659" i="8"/>
  <c r="E659" i="8" s="1" a="1"/>
  <c r="E659" i="8" s="1"/>
  <c r="C658" i="8"/>
  <c r="E658" i="8" s="1" a="1"/>
  <c r="E658" i="8" s="1"/>
  <c r="C657" i="8"/>
  <c r="E657" i="8" s="1" a="1"/>
  <c r="E657" i="8" s="1"/>
  <c r="C656" i="8"/>
  <c r="E656" i="8" s="1" a="1"/>
  <c r="E656" i="8" s="1"/>
  <c r="C655" i="8"/>
  <c r="E655" i="8" s="1" a="1"/>
  <c r="E655" i="8" s="1"/>
  <c r="C654" i="8"/>
  <c r="E654" i="8" s="1" a="1"/>
  <c r="E654" i="8" s="1"/>
  <c r="C653" i="8"/>
  <c r="E653" i="8" s="1" a="1"/>
  <c r="E653" i="8" s="1"/>
  <c r="C652" i="8"/>
  <c r="E652" i="8" s="1" a="1"/>
  <c r="E652" i="8" s="1"/>
  <c r="C651" i="8"/>
  <c r="E651" i="8" s="1" a="1"/>
  <c r="E651" i="8" s="1"/>
  <c r="C650" i="8"/>
  <c r="E650" i="8" s="1" a="1"/>
  <c r="E650" i="8" s="1"/>
  <c r="C649" i="8"/>
  <c r="E649" i="8" s="1" a="1"/>
  <c r="E649" i="8" s="1"/>
  <c r="C648" i="8"/>
  <c r="E648" i="8" s="1" a="1"/>
  <c r="E648" i="8" s="1"/>
  <c r="C647" i="8"/>
  <c r="E647" i="8" s="1" a="1"/>
  <c r="E647" i="8" s="1"/>
  <c r="C646" i="8"/>
  <c r="E646" i="8" s="1" a="1"/>
  <c r="E646" i="8" s="1"/>
  <c r="C645" i="8"/>
  <c r="E645" i="8" s="1" a="1"/>
  <c r="E645" i="8" s="1"/>
  <c r="C644" i="8"/>
  <c r="E644" i="8" s="1" a="1"/>
  <c r="E644" i="8" s="1"/>
  <c r="C643" i="8"/>
  <c r="E643" i="8" s="1" a="1"/>
  <c r="E643" i="8" s="1"/>
  <c r="C642" i="8"/>
  <c r="E642" i="8" s="1" a="1"/>
  <c r="E642" i="8" s="1"/>
  <c r="C641" i="8"/>
  <c r="E641" i="8" s="1" a="1"/>
  <c r="E641" i="8" s="1"/>
  <c r="C640" i="8"/>
  <c r="E640" i="8" s="1" a="1"/>
  <c r="E640" i="8" s="1"/>
  <c r="C639" i="8"/>
  <c r="E639" i="8" s="1" a="1"/>
  <c r="E639" i="8" s="1"/>
  <c r="C638" i="8"/>
  <c r="E638" i="8" s="1" a="1"/>
  <c r="E638" i="8" s="1"/>
  <c r="C637" i="8"/>
  <c r="E637" i="8" s="1" a="1"/>
  <c r="E637" i="8" s="1"/>
  <c r="C636" i="8"/>
  <c r="E636" i="8" s="1" a="1"/>
  <c r="E636" i="8" s="1"/>
  <c r="C635" i="8"/>
  <c r="E635" i="8" s="1" a="1"/>
  <c r="E635" i="8" s="1"/>
  <c r="C634" i="8"/>
  <c r="E634" i="8" s="1" a="1"/>
  <c r="E634" i="8" s="1"/>
  <c r="C633" i="8"/>
  <c r="E633" i="8" s="1" a="1"/>
  <c r="E633" i="8" s="1"/>
  <c r="C632" i="8"/>
  <c r="E632" i="8" s="1" a="1"/>
  <c r="E632" i="8" s="1"/>
  <c r="C631" i="8"/>
  <c r="E631" i="8" s="1" a="1"/>
  <c r="E631" i="8" s="1"/>
  <c r="C630" i="8"/>
  <c r="E630" i="8" s="1" a="1"/>
  <c r="E630" i="8" s="1"/>
  <c r="C629" i="8"/>
  <c r="E629" i="8" s="1" a="1"/>
  <c r="E629" i="8" s="1"/>
  <c r="C628" i="8"/>
  <c r="E628" i="8" s="1" a="1"/>
  <c r="E628" i="8" s="1"/>
  <c r="C627" i="8"/>
  <c r="E627" i="8" s="1" a="1"/>
  <c r="E627" i="8" s="1"/>
  <c r="C626" i="8"/>
  <c r="E626" i="8" s="1" a="1"/>
  <c r="E626" i="8" s="1"/>
  <c r="C625" i="8"/>
  <c r="E625" i="8" s="1" a="1"/>
  <c r="E625" i="8" s="1"/>
  <c r="C624" i="8"/>
  <c r="E624" i="8" s="1" a="1"/>
  <c r="E624" i="8" s="1"/>
  <c r="C623" i="8"/>
  <c r="E623" i="8" s="1" a="1"/>
  <c r="E623" i="8" s="1"/>
  <c r="C622" i="8"/>
  <c r="E622" i="8" s="1" a="1"/>
  <c r="E622" i="8" s="1"/>
  <c r="C621" i="8"/>
  <c r="E621" i="8" s="1" a="1"/>
  <c r="E621" i="8" s="1"/>
  <c r="C620" i="8"/>
  <c r="E620" i="8" s="1" a="1"/>
  <c r="E620" i="8" s="1"/>
  <c r="C619" i="8"/>
  <c r="E619" i="8" s="1" a="1"/>
  <c r="E619" i="8" s="1"/>
  <c r="C618" i="8"/>
  <c r="E618" i="8" s="1" a="1"/>
  <c r="E618" i="8" s="1"/>
  <c r="C617" i="8"/>
  <c r="E617" i="8" s="1" a="1"/>
  <c r="E617" i="8" s="1"/>
  <c r="C616" i="8"/>
  <c r="E616" i="8" s="1" a="1"/>
  <c r="E616" i="8" s="1"/>
  <c r="C615" i="8"/>
  <c r="E615" i="8" s="1" a="1"/>
  <c r="E615" i="8" s="1"/>
  <c r="C614" i="8"/>
  <c r="E614" i="8" s="1" a="1"/>
  <c r="E614" i="8" s="1"/>
  <c r="C613" i="8"/>
  <c r="E613" i="8" s="1" a="1"/>
  <c r="E613" i="8" s="1"/>
  <c r="C612" i="8"/>
  <c r="E612" i="8" s="1" a="1"/>
  <c r="E612" i="8" s="1"/>
  <c r="C611" i="8"/>
  <c r="E611" i="8" s="1" a="1"/>
  <c r="E611" i="8" s="1"/>
  <c r="C610" i="8"/>
  <c r="E610" i="8" s="1" a="1"/>
  <c r="E610" i="8" s="1"/>
  <c r="C609" i="8"/>
  <c r="E609" i="8" s="1" a="1"/>
  <c r="E609" i="8" s="1"/>
  <c r="C608" i="8"/>
  <c r="E608" i="8" s="1" a="1"/>
  <c r="E608" i="8" s="1"/>
  <c r="C607" i="8"/>
  <c r="E607" i="8" s="1" a="1"/>
  <c r="E607" i="8" s="1"/>
  <c r="C606" i="8"/>
  <c r="E606" i="8" s="1" a="1"/>
  <c r="E606" i="8" s="1"/>
  <c r="C605" i="8"/>
  <c r="E605" i="8" s="1" a="1"/>
  <c r="E605" i="8" s="1"/>
  <c r="C604" i="8"/>
  <c r="E604" i="8" s="1" a="1"/>
  <c r="E604" i="8" s="1"/>
  <c r="C603" i="8"/>
  <c r="E603" i="8" s="1" a="1"/>
  <c r="E603" i="8" s="1"/>
  <c r="C602" i="8"/>
  <c r="E602" i="8" s="1" a="1"/>
  <c r="E602" i="8" s="1"/>
  <c r="C601" i="8"/>
  <c r="E601" i="8" s="1" a="1"/>
  <c r="E601" i="8" s="1"/>
  <c r="C600" i="8"/>
  <c r="E600" i="8" s="1" a="1"/>
  <c r="E600" i="8" s="1"/>
  <c r="C599" i="8"/>
  <c r="E599" i="8" s="1" a="1"/>
  <c r="E599" i="8" s="1"/>
  <c r="C598" i="8"/>
  <c r="E598" i="8" s="1" a="1"/>
  <c r="E598" i="8" s="1"/>
  <c r="C597" i="8"/>
  <c r="E597" i="8" s="1" a="1"/>
  <c r="E597" i="8" s="1"/>
  <c r="C596" i="8"/>
  <c r="E596" i="8" s="1" a="1"/>
  <c r="E596" i="8" s="1"/>
  <c r="C595" i="8"/>
  <c r="E595" i="8" s="1" a="1"/>
  <c r="E595" i="8" s="1"/>
  <c r="C594" i="8"/>
  <c r="E594" i="8" s="1" a="1"/>
  <c r="E594" i="8" s="1"/>
  <c r="C593" i="8"/>
  <c r="E593" i="8" s="1" a="1"/>
  <c r="E593" i="8" s="1"/>
  <c r="C592" i="8"/>
  <c r="E592" i="8" s="1" a="1"/>
  <c r="E592" i="8" s="1"/>
  <c r="C591" i="8"/>
  <c r="E591" i="8" s="1" a="1"/>
  <c r="E591" i="8" s="1"/>
  <c r="C590" i="8"/>
  <c r="E590" i="8" s="1" a="1"/>
  <c r="E590" i="8" s="1"/>
  <c r="C589" i="8"/>
  <c r="E589" i="8" s="1" a="1"/>
  <c r="E589" i="8" s="1"/>
  <c r="C588" i="8"/>
  <c r="E588" i="8" s="1" a="1"/>
  <c r="E588" i="8" s="1"/>
  <c r="C587" i="8"/>
  <c r="E587" i="8" s="1" a="1"/>
  <c r="E587" i="8" s="1"/>
  <c r="C586" i="8"/>
  <c r="E586" i="8" s="1" a="1"/>
  <c r="E586" i="8" s="1"/>
  <c r="C585" i="8"/>
  <c r="E585" i="8" s="1" a="1"/>
  <c r="E585" i="8" s="1"/>
  <c r="C584" i="8"/>
  <c r="E584" i="8" s="1" a="1"/>
  <c r="E584" i="8" s="1"/>
  <c r="C583" i="8"/>
  <c r="E583" i="8" s="1" a="1"/>
  <c r="E583" i="8" s="1"/>
  <c r="C582" i="8"/>
  <c r="E582" i="8" s="1" a="1"/>
  <c r="E582" i="8" s="1"/>
  <c r="C581" i="8"/>
  <c r="E581" i="8" s="1" a="1"/>
  <c r="E581" i="8" s="1"/>
  <c r="C580" i="8"/>
  <c r="E580" i="8" s="1" a="1"/>
  <c r="E580" i="8" s="1"/>
  <c r="C579" i="8"/>
  <c r="E579" i="8" s="1" a="1"/>
  <c r="E579" i="8" s="1"/>
  <c r="C578" i="8"/>
  <c r="E578" i="8" s="1" a="1"/>
  <c r="E578" i="8" s="1"/>
  <c r="C577" i="8"/>
  <c r="E577" i="8" s="1" a="1"/>
  <c r="E577" i="8" s="1"/>
  <c r="C576" i="8"/>
  <c r="E576" i="8" s="1" a="1"/>
  <c r="E576" i="8" s="1"/>
  <c r="C575" i="8"/>
  <c r="E575" i="8" s="1" a="1"/>
  <c r="E575" i="8" s="1"/>
  <c r="C574" i="8"/>
  <c r="E574" i="8" s="1" a="1"/>
  <c r="E574" i="8" s="1"/>
  <c r="C573" i="8"/>
  <c r="E573" i="8" s="1" a="1"/>
  <c r="E573" i="8" s="1"/>
  <c r="C572" i="8"/>
  <c r="E572" i="8" s="1" a="1"/>
  <c r="E572" i="8" s="1"/>
  <c r="C571" i="8"/>
  <c r="E571" i="8" s="1" a="1"/>
  <c r="E571" i="8" s="1"/>
  <c r="C570" i="8"/>
  <c r="E570" i="8" s="1" a="1"/>
  <c r="E570" i="8" s="1"/>
  <c r="C569" i="8"/>
  <c r="E569" i="8" s="1" a="1"/>
  <c r="E569" i="8" s="1"/>
  <c r="C568" i="8"/>
  <c r="E568" i="8" s="1" a="1"/>
  <c r="E568" i="8" s="1"/>
  <c r="C567" i="8"/>
  <c r="E567" i="8" s="1" a="1"/>
  <c r="E567" i="8" s="1"/>
  <c r="C566" i="8"/>
  <c r="E566" i="8" s="1" a="1"/>
  <c r="E566" i="8" s="1"/>
  <c r="C565" i="8"/>
  <c r="E565" i="8" s="1" a="1"/>
  <c r="E565" i="8" s="1"/>
  <c r="C564" i="8"/>
  <c r="E564" i="8" s="1" a="1"/>
  <c r="E564" i="8" s="1"/>
  <c r="C563" i="8"/>
  <c r="E563" i="8" s="1" a="1"/>
  <c r="E563" i="8" s="1"/>
  <c r="C562" i="8"/>
  <c r="E562" i="8" s="1" a="1"/>
  <c r="E562" i="8" s="1"/>
  <c r="C561" i="8"/>
  <c r="E561" i="8" s="1" a="1"/>
  <c r="E561" i="8" s="1"/>
  <c r="C560" i="8"/>
  <c r="E560" i="8" s="1" a="1"/>
  <c r="E560" i="8" s="1"/>
  <c r="C559" i="8"/>
  <c r="E559" i="8" s="1" a="1"/>
  <c r="E559" i="8" s="1"/>
  <c r="C558" i="8"/>
  <c r="E558" i="8" s="1" a="1"/>
  <c r="E558" i="8" s="1"/>
  <c r="C557" i="8"/>
  <c r="E557" i="8" s="1" a="1"/>
  <c r="E557" i="8" s="1"/>
  <c r="C556" i="8"/>
  <c r="E556" i="8" s="1" a="1"/>
  <c r="E556" i="8" s="1"/>
  <c r="C555" i="8"/>
  <c r="E555" i="8" s="1" a="1"/>
  <c r="E555" i="8" s="1"/>
  <c r="C554" i="8"/>
  <c r="E554" i="8" s="1" a="1"/>
  <c r="E554" i="8" s="1"/>
  <c r="C553" i="8"/>
  <c r="E553" i="8" s="1" a="1"/>
  <c r="E553" i="8" s="1"/>
  <c r="C552" i="8"/>
  <c r="E552" i="8" s="1" a="1"/>
  <c r="E552" i="8" s="1"/>
  <c r="C551" i="8"/>
  <c r="E551" i="8" s="1" a="1"/>
  <c r="E551" i="8" s="1"/>
  <c r="C550" i="8"/>
  <c r="E550" i="8" s="1" a="1"/>
  <c r="E550" i="8" s="1"/>
  <c r="C549" i="8"/>
  <c r="E549" i="8" s="1" a="1"/>
  <c r="E549" i="8" s="1"/>
  <c r="C548" i="8"/>
  <c r="E548" i="8" s="1" a="1"/>
  <c r="E548" i="8" s="1"/>
  <c r="C547" i="8"/>
  <c r="E547" i="8" s="1" a="1"/>
  <c r="E547" i="8" s="1"/>
  <c r="C546" i="8"/>
  <c r="E546" i="8" s="1" a="1"/>
  <c r="E546" i="8" s="1"/>
  <c r="C545" i="8"/>
  <c r="E545" i="8" s="1" a="1"/>
  <c r="E545" i="8" s="1"/>
  <c r="C544" i="8"/>
  <c r="E544" i="8" s="1" a="1"/>
  <c r="E544" i="8" s="1"/>
  <c r="C543" i="8"/>
  <c r="E543" i="8" s="1" a="1"/>
  <c r="E543" i="8" s="1"/>
  <c r="C542" i="8"/>
  <c r="E542" i="8" s="1" a="1"/>
  <c r="E542" i="8" s="1"/>
  <c r="C541" i="8"/>
  <c r="E541" i="8" s="1" a="1"/>
  <c r="E541" i="8" s="1"/>
  <c r="C540" i="8"/>
  <c r="E540" i="8" s="1" a="1"/>
  <c r="E540" i="8" s="1"/>
  <c r="C539" i="8"/>
  <c r="E539" i="8" s="1" a="1"/>
  <c r="E539" i="8" s="1"/>
  <c r="C538" i="8"/>
  <c r="E538" i="8" s="1" a="1"/>
  <c r="E538" i="8" s="1"/>
  <c r="C537" i="8"/>
  <c r="E537" i="8" s="1" a="1"/>
  <c r="E537" i="8" s="1"/>
  <c r="C536" i="8"/>
  <c r="E536" i="8" s="1" a="1"/>
  <c r="E536" i="8" s="1"/>
  <c r="C535" i="8"/>
  <c r="E535" i="8" s="1" a="1"/>
  <c r="E535" i="8" s="1"/>
  <c r="C534" i="8"/>
  <c r="E534" i="8" s="1" a="1"/>
  <c r="E534" i="8" s="1"/>
  <c r="C533" i="8"/>
  <c r="E533" i="8" s="1" a="1"/>
  <c r="E533" i="8" s="1"/>
  <c r="C532" i="8"/>
  <c r="E532" i="8" s="1" a="1"/>
  <c r="E532" i="8" s="1"/>
  <c r="C531" i="8"/>
  <c r="E531" i="8" s="1" a="1"/>
  <c r="E531" i="8" s="1"/>
  <c r="C530" i="8"/>
  <c r="E530" i="8" s="1" a="1"/>
  <c r="E530" i="8" s="1"/>
  <c r="C529" i="8"/>
  <c r="E529" i="8" s="1" a="1"/>
  <c r="E529" i="8" s="1"/>
  <c r="C528" i="8"/>
  <c r="E528" i="8" s="1" a="1"/>
  <c r="E528" i="8" s="1"/>
  <c r="C527" i="8"/>
  <c r="E527" i="8" s="1" a="1"/>
  <c r="E527" i="8" s="1"/>
  <c r="C526" i="8"/>
  <c r="E526" i="8" s="1" a="1"/>
  <c r="E526" i="8" s="1"/>
  <c r="C525" i="8"/>
  <c r="E525" i="8" s="1" a="1"/>
  <c r="E525" i="8" s="1"/>
  <c r="C524" i="8"/>
  <c r="E524" i="8" s="1" a="1"/>
  <c r="E524" i="8" s="1"/>
  <c r="C523" i="8"/>
  <c r="E523" i="8" s="1" a="1"/>
  <c r="E523" i="8" s="1"/>
  <c r="C522" i="8"/>
  <c r="E522" i="8" s="1" a="1"/>
  <c r="E522" i="8" s="1"/>
  <c r="C521" i="8"/>
  <c r="E521" i="8" s="1" a="1"/>
  <c r="E521" i="8" s="1"/>
  <c r="C520" i="8"/>
  <c r="E520" i="8" s="1" a="1"/>
  <c r="E520" i="8" s="1"/>
  <c r="C519" i="8"/>
  <c r="E519" i="8" s="1" a="1"/>
  <c r="E519" i="8" s="1"/>
  <c r="C518" i="8"/>
  <c r="E518" i="8" s="1" a="1"/>
  <c r="E518" i="8" s="1"/>
  <c r="C517" i="8"/>
  <c r="E517" i="8" s="1" a="1"/>
  <c r="E517" i="8" s="1"/>
  <c r="C516" i="8"/>
  <c r="E516" i="8" s="1" a="1"/>
  <c r="E516" i="8" s="1"/>
  <c r="C515" i="8"/>
  <c r="E515" i="8" s="1" a="1"/>
  <c r="E515" i="8" s="1"/>
  <c r="C514" i="8"/>
  <c r="E514" i="8" s="1" a="1"/>
  <c r="E514" i="8" s="1"/>
  <c r="C513" i="8"/>
  <c r="E513" i="8" s="1" a="1"/>
  <c r="E513" i="8" s="1"/>
  <c r="C512" i="8"/>
  <c r="E512" i="8" s="1" a="1"/>
  <c r="E512" i="8" s="1"/>
  <c r="C511" i="8"/>
  <c r="E511" i="8" s="1" a="1"/>
  <c r="E511" i="8" s="1"/>
  <c r="C510" i="8"/>
  <c r="E510" i="8" s="1" a="1"/>
  <c r="E510" i="8" s="1"/>
  <c r="C509" i="8"/>
  <c r="E509" i="8" s="1" a="1"/>
  <c r="E509" i="8" s="1"/>
  <c r="C508" i="8"/>
  <c r="E508" i="8" s="1" a="1"/>
  <c r="E508" i="8" s="1"/>
  <c r="C507" i="8"/>
  <c r="E507" i="8" s="1" a="1"/>
  <c r="E507" i="8" s="1"/>
  <c r="C506" i="8"/>
  <c r="E506" i="8" s="1" a="1"/>
  <c r="E506" i="8" s="1"/>
  <c r="C505" i="8"/>
  <c r="E505" i="8" s="1" a="1"/>
  <c r="E505" i="8" s="1"/>
  <c r="C504" i="8"/>
  <c r="E504" i="8" s="1" a="1"/>
  <c r="E504" i="8" s="1"/>
  <c r="C503" i="8"/>
  <c r="E503" i="8" s="1" a="1"/>
  <c r="E503" i="8" s="1"/>
  <c r="C502" i="8"/>
  <c r="E502" i="8" s="1" a="1"/>
  <c r="E502" i="8" s="1"/>
  <c r="C501" i="8"/>
  <c r="E501" i="8" s="1" a="1"/>
  <c r="E501" i="8" s="1"/>
  <c r="C500" i="8"/>
  <c r="E500" i="8" s="1" a="1"/>
  <c r="E500" i="8" s="1"/>
  <c r="C499" i="8"/>
  <c r="E499" i="8" s="1" a="1"/>
  <c r="E499" i="8" s="1"/>
  <c r="C498" i="8"/>
  <c r="E498" i="8" s="1" a="1"/>
  <c r="E498" i="8" s="1"/>
  <c r="C497" i="8"/>
  <c r="E497" i="8" s="1" a="1"/>
  <c r="E497" i="8" s="1"/>
  <c r="C496" i="8"/>
  <c r="E496" i="8" s="1" a="1"/>
  <c r="E496" i="8" s="1"/>
  <c r="C495" i="8"/>
  <c r="E495" i="8" s="1" a="1"/>
  <c r="E495" i="8" s="1"/>
  <c r="C494" i="8"/>
  <c r="E494" i="8" s="1" a="1"/>
  <c r="E494" i="8" s="1"/>
  <c r="C493" i="8"/>
  <c r="E493" i="8" s="1" a="1"/>
  <c r="E493" i="8" s="1"/>
  <c r="C492" i="8"/>
  <c r="E492" i="8" s="1" a="1"/>
  <c r="E492" i="8" s="1"/>
  <c r="C491" i="8"/>
  <c r="E491" i="8" s="1" a="1"/>
  <c r="E491" i="8" s="1"/>
  <c r="C490" i="8"/>
  <c r="E490" i="8" s="1" a="1"/>
  <c r="E490" i="8" s="1"/>
  <c r="C489" i="8"/>
  <c r="E489" i="8" s="1" a="1"/>
  <c r="E489" i="8" s="1"/>
  <c r="C488" i="8"/>
  <c r="E488" i="8" s="1" a="1"/>
  <c r="E488" i="8" s="1"/>
  <c r="C487" i="8"/>
  <c r="E487" i="8" s="1" a="1"/>
  <c r="E487" i="8" s="1"/>
  <c r="C486" i="8"/>
  <c r="E486" i="8" s="1" a="1"/>
  <c r="E486" i="8" s="1"/>
  <c r="C485" i="8"/>
  <c r="E485" i="8" s="1" a="1"/>
  <c r="E485" i="8" s="1"/>
  <c r="C484" i="8"/>
  <c r="E484" i="8" s="1" a="1"/>
  <c r="E484" i="8" s="1"/>
  <c r="C483" i="8"/>
  <c r="E483" i="8" s="1" a="1"/>
  <c r="E483" i="8" s="1"/>
  <c r="C482" i="8"/>
  <c r="E482" i="8" s="1" a="1"/>
  <c r="E482" i="8" s="1"/>
  <c r="C481" i="8"/>
  <c r="E481" i="8" s="1" a="1"/>
  <c r="E481" i="8" s="1"/>
  <c r="C480" i="8"/>
  <c r="E480" i="8" s="1" a="1"/>
  <c r="E480" i="8" s="1"/>
  <c r="C479" i="8"/>
  <c r="E479" i="8" s="1" a="1"/>
  <c r="E479" i="8" s="1"/>
  <c r="C478" i="8"/>
  <c r="E478" i="8" s="1" a="1"/>
  <c r="E478" i="8" s="1"/>
  <c r="C477" i="8"/>
  <c r="E477" i="8" s="1" a="1"/>
  <c r="E477" i="8" s="1"/>
  <c r="C476" i="8"/>
  <c r="E476" i="8" s="1" a="1"/>
  <c r="E476" i="8" s="1"/>
  <c r="C475" i="8"/>
  <c r="E475" i="8" s="1" a="1"/>
  <c r="E475" i="8" s="1"/>
  <c r="C474" i="8"/>
  <c r="E474" i="8" s="1" a="1"/>
  <c r="E474" i="8" s="1"/>
  <c r="C473" i="8"/>
  <c r="E473" i="8" s="1" a="1"/>
  <c r="E473" i="8" s="1"/>
  <c r="C472" i="8"/>
  <c r="E472" i="8" s="1" a="1"/>
  <c r="E472" i="8" s="1"/>
  <c r="C471" i="8"/>
  <c r="E471" i="8" s="1" a="1"/>
  <c r="E471" i="8" s="1"/>
  <c r="C470" i="8"/>
  <c r="E470" i="8" s="1" a="1"/>
  <c r="E470" i="8" s="1"/>
  <c r="C469" i="8"/>
  <c r="E469" i="8" s="1" a="1"/>
  <c r="E469" i="8" s="1"/>
  <c r="C468" i="8"/>
  <c r="E468" i="8" s="1" a="1"/>
  <c r="E468" i="8" s="1"/>
  <c r="C467" i="8"/>
  <c r="E467" i="8" s="1" a="1"/>
  <c r="E467" i="8" s="1"/>
  <c r="C466" i="8"/>
  <c r="E466" i="8" s="1" a="1"/>
  <c r="E466" i="8" s="1"/>
  <c r="C465" i="8"/>
  <c r="E465" i="8" s="1" a="1"/>
  <c r="E465" i="8" s="1"/>
  <c r="C464" i="8"/>
  <c r="E464" i="8" s="1" a="1"/>
  <c r="E464" i="8" s="1"/>
  <c r="C463" i="8"/>
  <c r="E463" i="8" s="1" a="1"/>
  <c r="E463" i="8" s="1"/>
  <c r="C462" i="8"/>
  <c r="E462" i="8" s="1" a="1"/>
  <c r="E462" i="8" s="1"/>
  <c r="C461" i="8"/>
  <c r="E461" i="8" s="1" a="1"/>
  <c r="E461" i="8" s="1"/>
  <c r="C460" i="8"/>
  <c r="E460" i="8" s="1" a="1"/>
  <c r="E460" i="8" s="1"/>
  <c r="C459" i="8"/>
  <c r="E459" i="8" s="1" a="1"/>
  <c r="E459" i="8" s="1"/>
  <c r="C458" i="8"/>
  <c r="E458" i="8" s="1" a="1"/>
  <c r="E458" i="8" s="1"/>
  <c r="C457" i="8"/>
  <c r="E457" i="8" s="1" a="1"/>
  <c r="E457" i="8" s="1"/>
  <c r="C456" i="8"/>
  <c r="E456" i="8" s="1" a="1"/>
  <c r="E456" i="8" s="1"/>
  <c r="C455" i="8"/>
  <c r="E455" i="8" s="1" a="1"/>
  <c r="E455" i="8" s="1"/>
  <c r="C454" i="8"/>
  <c r="E454" i="8" s="1" a="1"/>
  <c r="E454" i="8" s="1"/>
  <c r="C453" i="8"/>
  <c r="E453" i="8" s="1" a="1"/>
  <c r="E453" i="8" s="1"/>
  <c r="C452" i="8"/>
  <c r="E452" i="8" s="1" a="1"/>
  <c r="E452" i="8" s="1"/>
  <c r="C451" i="8"/>
  <c r="E451" i="8" s="1" a="1"/>
  <c r="E451" i="8" s="1"/>
  <c r="C450" i="8"/>
  <c r="E450" i="8" s="1" a="1"/>
  <c r="E450" i="8" s="1"/>
  <c r="C449" i="8"/>
  <c r="E449" i="8" s="1" a="1"/>
  <c r="E449" i="8" s="1"/>
  <c r="C448" i="8"/>
  <c r="E448" i="8" s="1" a="1"/>
  <c r="E448" i="8" s="1"/>
  <c r="C447" i="8"/>
  <c r="E447" i="8" s="1" a="1"/>
  <c r="E447" i="8" s="1"/>
  <c r="C446" i="8"/>
  <c r="E446" i="8" s="1" a="1"/>
  <c r="E446" i="8" s="1"/>
  <c r="C445" i="8"/>
  <c r="E445" i="8" s="1" a="1"/>
  <c r="E445" i="8" s="1"/>
  <c r="C444" i="8"/>
  <c r="E444" i="8" s="1" a="1"/>
  <c r="E444" i="8" s="1"/>
  <c r="C443" i="8"/>
  <c r="E443" i="8" s="1" a="1"/>
  <c r="E443" i="8" s="1"/>
  <c r="C442" i="8"/>
  <c r="E442" i="8" s="1" a="1"/>
  <c r="E442" i="8" s="1"/>
  <c r="C441" i="8"/>
  <c r="E441" i="8" s="1" a="1"/>
  <c r="E441" i="8" s="1"/>
  <c r="C440" i="8"/>
  <c r="E440" i="8" s="1" a="1"/>
  <c r="E440" i="8" s="1"/>
  <c r="C439" i="8"/>
  <c r="E439" i="8" s="1" a="1"/>
  <c r="E439" i="8" s="1"/>
  <c r="C438" i="8"/>
  <c r="E438" i="8" s="1" a="1"/>
  <c r="E438" i="8" s="1"/>
  <c r="C437" i="8"/>
  <c r="E437" i="8" s="1" a="1"/>
  <c r="E437" i="8" s="1"/>
  <c r="C436" i="8"/>
  <c r="E436" i="8" s="1" a="1"/>
  <c r="E436" i="8" s="1"/>
  <c r="C435" i="8"/>
  <c r="E435" i="8" s="1" a="1"/>
  <c r="E435" i="8" s="1"/>
  <c r="C434" i="8"/>
  <c r="E434" i="8" s="1" a="1"/>
  <c r="E434" i="8" s="1"/>
  <c r="C433" i="8"/>
  <c r="E433" i="8" s="1" a="1"/>
  <c r="E433" i="8" s="1"/>
  <c r="C432" i="8"/>
  <c r="E432" i="8" s="1" a="1"/>
  <c r="E432" i="8" s="1"/>
  <c r="C431" i="8"/>
  <c r="E431" i="8" s="1" a="1"/>
  <c r="E431" i="8" s="1"/>
  <c r="C430" i="8"/>
  <c r="E430" i="8" s="1" a="1"/>
  <c r="E430" i="8" s="1"/>
  <c r="C429" i="8"/>
  <c r="E429" i="8" s="1" a="1"/>
  <c r="E429" i="8" s="1"/>
  <c r="C428" i="8"/>
  <c r="E428" i="8" s="1" a="1"/>
  <c r="E428" i="8" s="1"/>
  <c r="C427" i="8"/>
  <c r="E427" i="8" s="1" a="1"/>
  <c r="E427" i="8" s="1"/>
  <c r="C426" i="8"/>
  <c r="E426" i="8" s="1" a="1"/>
  <c r="E426" i="8" s="1"/>
  <c r="C425" i="8"/>
  <c r="E425" i="8" s="1" a="1"/>
  <c r="E425" i="8" s="1"/>
  <c r="C424" i="8"/>
  <c r="E424" i="8" s="1" a="1"/>
  <c r="E424" i="8" s="1"/>
  <c r="C423" i="8"/>
  <c r="E423" i="8" s="1" a="1"/>
  <c r="E423" i="8" s="1"/>
  <c r="C422" i="8"/>
  <c r="E422" i="8" s="1" a="1"/>
  <c r="E422" i="8" s="1"/>
  <c r="C421" i="8"/>
  <c r="E421" i="8" s="1" a="1"/>
  <c r="E421" i="8" s="1"/>
  <c r="C420" i="8"/>
  <c r="E420" i="8" s="1" a="1"/>
  <c r="E420" i="8" s="1"/>
  <c r="C419" i="8"/>
  <c r="E419" i="8" s="1" a="1"/>
  <c r="E419" i="8" s="1"/>
  <c r="C418" i="8"/>
  <c r="E418" i="8" s="1" a="1"/>
  <c r="E418" i="8" s="1"/>
  <c r="C417" i="8"/>
  <c r="E417" i="8" s="1" a="1"/>
  <c r="E417" i="8" s="1"/>
  <c r="C416" i="8"/>
  <c r="E416" i="8" s="1" a="1"/>
  <c r="E416" i="8" s="1"/>
  <c r="C415" i="8"/>
  <c r="E415" i="8" s="1" a="1"/>
  <c r="E415" i="8" s="1"/>
  <c r="C414" i="8"/>
  <c r="E414" i="8" s="1" a="1"/>
  <c r="E414" i="8" s="1"/>
  <c r="C413" i="8"/>
  <c r="E413" i="8" s="1" a="1"/>
  <c r="E413" i="8" s="1"/>
  <c r="C412" i="8"/>
  <c r="E412" i="8" s="1" a="1"/>
  <c r="E412" i="8" s="1"/>
  <c r="C411" i="8"/>
  <c r="E411" i="8" s="1" a="1"/>
  <c r="E411" i="8" s="1"/>
  <c r="C410" i="8"/>
  <c r="E410" i="8" s="1" a="1"/>
  <c r="E410" i="8" s="1"/>
  <c r="C409" i="8"/>
  <c r="E409" i="8" s="1" a="1"/>
  <c r="E409" i="8" s="1"/>
  <c r="C408" i="8"/>
  <c r="E408" i="8" s="1" a="1"/>
  <c r="E408" i="8" s="1"/>
  <c r="C407" i="8"/>
  <c r="E407" i="8" s="1" a="1"/>
  <c r="E407" i="8" s="1"/>
  <c r="C406" i="8"/>
  <c r="E406" i="8" s="1" a="1"/>
  <c r="E406" i="8" s="1"/>
  <c r="C405" i="8"/>
  <c r="E405" i="8" s="1" a="1"/>
  <c r="E405" i="8" s="1"/>
  <c r="C404" i="8"/>
  <c r="E404" i="8" s="1" a="1"/>
  <c r="E404" i="8" s="1"/>
  <c r="C403" i="8"/>
  <c r="E403" i="8" s="1" a="1"/>
  <c r="E403" i="8" s="1"/>
  <c r="C402" i="8"/>
  <c r="E402" i="8" s="1" a="1"/>
  <c r="E402" i="8" s="1"/>
  <c r="C401" i="8"/>
  <c r="E401" i="8" s="1" a="1"/>
  <c r="E401" i="8" s="1"/>
  <c r="C400" i="8"/>
  <c r="E400" i="8" s="1" a="1"/>
  <c r="E400" i="8" s="1"/>
  <c r="C399" i="8"/>
  <c r="E399" i="8" s="1" a="1"/>
  <c r="E399" i="8" s="1"/>
  <c r="C398" i="8"/>
  <c r="E398" i="8" s="1" a="1"/>
  <c r="E398" i="8" s="1"/>
  <c r="C397" i="8"/>
  <c r="E397" i="8" s="1" a="1"/>
  <c r="E397" i="8" s="1"/>
  <c r="C396" i="8"/>
  <c r="E396" i="8" s="1" a="1"/>
  <c r="E396" i="8" s="1"/>
  <c r="C395" i="8"/>
  <c r="E395" i="8" s="1" a="1"/>
  <c r="E395" i="8" s="1"/>
  <c r="C394" i="8"/>
  <c r="E394" i="8" s="1" a="1"/>
  <c r="E394" i="8" s="1"/>
  <c r="C393" i="8"/>
  <c r="E393" i="8" s="1" a="1"/>
  <c r="E393" i="8" s="1"/>
  <c r="C392" i="8"/>
  <c r="E392" i="8" s="1" a="1"/>
  <c r="E392" i="8" s="1"/>
  <c r="C391" i="8"/>
  <c r="E391" i="8" s="1" a="1"/>
  <c r="E391" i="8" s="1"/>
  <c r="C390" i="8"/>
  <c r="E390" i="8" s="1" a="1"/>
  <c r="E390" i="8" s="1"/>
  <c r="C389" i="8"/>
  <c r="E389" i="8" s="1" a="1"/>
  <c r="E389" i="8" s="1"/>
  <c r="C388" i="8"/>
  <c r="E388" i="8" s="1" a="1"/>
  <c r="E388" i="8" s="1"/>
  <c r="C387" i="8"/>
  <c r="E387" i="8" s="1" a="1"/>
  <c r="E387" i="8" s="1"/>
  <c r="C386" i="8"/>
  <c r="E386" i="8" s="1" a="1"/>
  <c r="E386" i="8" s="1"/>
  <c r="C385" i="8"/>
  <c r="E385" i="8" s="1" a="1"/>
  <c r="E385" i="8" s="1"/>
  <c r="C384" i="8"/>
  <c r="E384" i="8" s="1" a="1"/>
  <c r="E384" i="8" s="1"/>
  <c r="C383" i="8"/>
  <c r="E383" i="8" s="1" a="1"/>
  <c r="E383" i="8" s="1"/>
  <c r="C382" i="8"/>
  <c r="E382" i="8" s="1" a="1"/>
  <c r="E382" i="8" s="1"/>
  <c r="C381" i="8"/>
  <c r="E381" i="8" s="1" a="1"/>
  <c r="E381" i="8" s="1"/>
  <c r="C380" i="8"/>
  <c r="E380" i="8" s="1" a="1"/>
  <c r="E380" i="8" s="1"/>
  <c r="C379" i="8"/>
  <c r="E379" i="8" s="1" a="1"/>
  <c r="E379" i="8" s="1"/>
  <c r="C378" i="8"/>
  <c r="E378" i="8" s="1" a="1"/>
  <c r="E378" i="8" s="1"/>
  <c r="C377" i="8"/>
  <c r="E377" i="8" s="1" a="1"/>
  <c r="E377" i="8" s="1"/>
  <c r="C376" i="8"/>
  <c r="E376" i="8" s="1" a="1"/>
  <c r="E376" i="8" s="1"/>
  <c r="C375" i="8"/>
  <c r="E375" i="8" s="1" a="1"/>
  <c r="E375" i="8" s="1"/>
  <c r="C374" i="8"/>
  <c r="E374" i="8" s="1" a="1"/>
  <c r="E374" i="8" s="1"/>
  <c r="C373" i="8"/>
  <c r="E373" i="8" s="1" a="1"/>
  <c r="E373" i="8" s="1"/>
  <c r="C372" i="8"/>
  <c r="E372" i="8" s="1" a="1"/>
  <c r="E372" i="8" s="1"/>
  <c r="C371" i="8"/>
  <c r="E371" i="8" s="1" a="1"/>
  <c r="E371" i="8" s="1"/>
  <c r="C370" i="8"/>
  <c r="E370" i="8" s="1" a="1"/>
  <c r="E370" i="8" s="1"/>
  <c r="C369" i="8"/>
  <c r="E369" i="8" s="1" a="1"/>
  <c r="E369" i="8" s="1"/>
  <c r="C368" i="8"/>
  <c r="E368" i="8" s="1" a="1"/>
  <c r="E368" i="8" s="1"/>
  <c r="C367" i="8"/>
  <c r="E367" i="8" s="1" a="1"/>
  <c r="E367" i="8" s="1"/>
  <c r="C366" i="8"/>
  <c r="E366" i="8" s="1" a="1"/>
  <c r="E366" i="8" s="1"/>
  <c r="C365" i="8"/>
  <c r="E365" i="8" s="1" a="1"/>
  <c r="E365" i="8" s="1"/>
  <c r="C364" i="8"/>
  <c r="E364" i="8" s="1" a="1"/>
  <c r="E364" i="8" s="1"/>
  <c r="C363" i="8"/>
  <c r="E363" i="8" s="1" a="1"/>
  <c r="E363" i="8" s="1"/>
  <c r="C362" i="8"/>
  <c r="E362" i="8" s="1" a="1"/>
  <c r="E362" i="8" s="1"/>
  <c r="C361" i="8"/>
  <c r="E361" i="8" s="1" a="1"/>
  <c r="E361" i="8" s="1"/>
  <c r="C360" i="8"/>
  <c r="E360" i="8" s="1" a="1"/>
  <c r="E360" i="8" s="1"/>
  <c r="C359" i="8"/>
  <c r="E359" i="8" s="1" a="1"/>
  <c r="E359" i="8" s="1"/>
  <c r="C358" i="8"/>
  <c r="E358" i="8" s="1" a="1"/>
  <c r="E358" i="8" s="1"/>
  <c r="C357" i="8"/>
  <c r="E357" i="8" s="1" a="1"/>
  <c r="E357" i="8" s="1"/>
  <c r="C356" i="8"/>
  <c r="E356" i="8" s="1" a="1"/>
  <c r="E356" i="8" s="1"/>
  <c r="C355" i="8"/>
  <c r="E355" i="8" s="1" a="1"/>
  <c r="E355" i="8" s="1"/>
  <c r="C354" i="8"/>
  <c r="E354" i="8" s="1" a="1"/>
  <c r="E354" i="8" s="1"/>
  <c r="C353" i="8"/>
  <c r="E353" i="8" s="1" a="1"/>
  <c r="E353" i="8" s="1"/>
  <c r="C352" i="8"/>
  <c r="E352" i="8" s="1" a="1"/>
  <c r="E352" i="8" s="1"/>
  <c r="C351" i="8"/>
  <c r="E351" i="8" s="1" a="1"/>
  <c r="E351" i="8" s="1"/>
  <c r="C350" i="8"/>
  <c r="E350" i="8" s="1" a="1"/>
  <c r="E350" i="8" s="1"/>
  <c r="C349" i="8"/>
  <c r="E349" i="8" s="1" a="1"/>
  <c r="E349" i="8" s="1"/>
  <c r="C348" i="8"/>
  <c r="E348" i="8" s="1" a="1"/>
  <c r="E348" i="8" s="1"/>
  <c r="C347" i="8"/>
  <c r="E347" i="8" s="1" a="1"/>
  <c r="E347" i="8" s="1"/>
  <c r="C346" i="8"/>
  <c r="E346" i="8" s="1" a="1"/>
  <c r="E346" i="8" s="1"/>
  <c r="C345" i="8"/>
  <c r="E345" i="8" s="1" a="1"/>
  <c r="E345" i="8" s="1"/>
  <c r="C344" i="8"/>
  <c r="E344" i="8" s="1" a="1"/>
  <c r="E344" i="8" s="1"/>
  <c r="C343" i="8"/>
  <c r="E343" i="8" s="1" a="1"/>
  <c r="E343" i="8" s="1"/>
  <c r="C342" i="8"/>
  <c r="E342" i="8" s="1" a="1"/>
  <c r="E342" i="8" s="1"/>
  <c r="C341" i="8"/>
  <c r="E341" i="8" s="1" a="1"/>
  <c r="E341" i="8" s="1"/>
  <c r="C340" i="8"/>
  <c r="E340" i="8" s="1" a="1"/>
  <c r="E340" i="8" s="1"/>
  <c r="C339" i="8"/>
  <c r="E339" i="8" s="1" a="1"/>
  <c r="E339" i="8" s="1"/>
  <c r="C338" i="8"/>
  <c r="E338" i="8" s="1" a="1"/>
  <c r="E338" i="8" s="1"/>
  <c r="C337" i="8"/>
  <c r="E337" i="8" s="1" a="1"/>
  <c r="E337" i="8" s="1"/>
  <c r="C336" i="8"/>
  <c r="E336" i="8" s="1" a="1"/>
  <c r="E336" i="8" s="1"/>
  <c r="C335" i="8"/>
  <c r="E335" i="8" s="1" a="1"/>
  <c r="E335" i="8" s="1"/>
  <c r="C334" i="8"/>
  <c r="E334" i="8" s="1" a="1"/>
  <c r="E334" i="8" s="1"/>
  <c r="C333" i="8"/>
  <c r="E333" i="8" s="1" a="1"/>
  <c r="E333" i="8" s="1"/>
  <c r="C332" i="8"/>
  <c r="E332" i="8" s="1" a="1"/>
  <c r="E332" i="8" s="1"/>
  <c r="C331" i="8"/>
  <c r="E331" i="8" s="1" a="1"/>
  <c r="E331" i="8" s="1"/>
  <c r="C330" i="8"/>
  <c r="E330" i="8" s="1" a="1"/>
  <c r="E330" i="8" s="1"/>
  <c r="C329" i="8"/>
  <c r="E329" i="8" s="1" a="1"/>
  <c r="E329" i="8" s="1"/>
  <c r="C328" i="8"/>
  <c r="E328" i="8" s="1" a="1"/>
  <c r="E328" i="8" s="1"/>
  <c r="C327" i="8"/>
  <c r="E327" i="8" s="1" a="1"/>
  <c r="E327" i="8" s="1"/>
  <c r="C326" i="8"/>
  <c r="E326" i="8" s="1" a="1"/>
  <c r="E326" i="8" s="1"/>
  <c r="C325" i="8"/>
  <c r="E325" i="8" s="1" a="1"/>
  <c r="E325" i="8" s="1"/>
  <c r="C324" i="8"/>
  <c r="E324" i="8" s="1" a="1"/>
  <c r="E324" i="8" s="1"/>
  <c r="C323" i="8"/>
  <c r="E323" i="8" s="1" a="1"/>
  <c r="E323" i="8" s="1"/>
  <c r="C322" i="8"/>
  <c r="E322" i="8" s="1" a="1"/>
  <c r="E322" i="8" s="1"/>
  <c r="C321" i="8"/>
  <c r="E321" i="8" s="1" a="1"/>
  <c r="E321" i="8" s="1"/>
  <c r="C320" i="8"/>
  <c r="E320" i="8" s="1" a="1"/>
  <c r="E320" i="8" s="1"/>
  <c r="C319" i="8"/>
  <c r="E319" i="8" s="1" a="1"/>
  <c r="E319" i="8" s="1"/>
  <c r="C318" i="8"/>
  <c r="E318" i="8" s="1" a="1"/>
  <c r="E318" i="8" s="1"/>
  <c r="C317" i="8"/>
  <c r="E317" i="8" s="1" a="1"/>
  <c r="E317" i="8" s="1"/>
  <c r="C316" i="8"/>
  <c r="E316" i="8" s="1" a="1"/>
  <c r="E316" i="8" s="1"/>
  <c r="C315" i="8"/>
  <c r="E315" i="8" s="1" a="1"/>
  <c r="E315" i="8" s="1"/>
  <c r="C314" i="8"/>
  <c r="E314" i="8" s="1" a="1"/>
  <c r="E314" i="8" s="1"/>
  <c r="C313" i="8"/>
  <c r="E313" i="8" s="1" a="1"/>
  <c r="E313" i="8" s="1"/>
  <c r="C312" i="8"/>
  <c r="E312" i="8" s="1" a="1"/>
  <c r="E312" i="8" s="1"/>
  <c r="C311" i="8"/>
  <c r="E311" i="8" s="1" a="1"/>
  <c r="E311" i="8" s="1"/>
  <c r="C310" i="8"/>
  <c r="E310" i="8" s="1" a="1"/>
  <c r="E310" i="8" s="1"/>
  <c r="C309" i="8"/>
  <c r="E309" i="8" s="1" a="1"/>
  <c r="E309" i="8" s="1"/>
  <c r="C308" i="8"/>
  <c r="E308" i="8" s="1" a="1"/>
  <c r="E308" i="8" s="1"/>
  <c r="C307" i="8"/>
  <c r="E307" i="8" s="1" a="1"/>
  <c r="E307" i="8" s="1"/>
  <c r="C306" i="8"/>
  <c r="E306" i="8" s="1" a="1"/>
  <c r="E306" i="8" s="1"/>
  <c r="C305" i="8"/>
  <c r="E305" i="8" s="1" a="1"/>
  <c r="E305" i="8" s="1"/>
  <c r="C304" i="8"/>
  <c r="E304" i="8" s="1" a="1"/>
  <c r="E304" i="8" s="1"/>
  <c r="C303" i="8"/>
  <c r="E303" i="8" s="1" a="1"/>
  <c r="E303" i="8" s="1"/>
  <c r="C302" i="8"/>
  <c r="E302" i="8" s="1" a="1"/>
  <c r="E302" i="8" s="1"/>
  <c r="C301" i="8"/>
  <c r="E301" i="8" s="1" a="1"/>
  <c r="E301" i="8" s="1"/>
  <c r="C300" i="8"/>
  <c r="E300" i="8" s="1" a="1"/>
  <c r="E300" i="8" s="1"/>
  <c r="C299" i="8"/>
  <c r="E299" i="8" s="1" a="1"/>
  <c r="E299" i="8" s="1"/>
  <c r="C298" i="8"/>
  <c r="E298" i="8" s="1" a="1"/>
  <c r="E298" i="8" s="1"/>
  <c r="C297" i="8"/>
  <c r="E297" i="8" s="1" a="1"/>
  <c r="E297" i="8" s="1"/>
  <c r="C296" i="8"/>
  <c r="E296" i="8" s="1" a="1"/>
  <c r="E296" i="8" s="1"/>
  <c r="C295" i="8"/>
  <c r="E295" i="8" s="1" a="1"/>
  <c r="E295" i="8" s="1"/>
  <c r="C294" i="8"/>
  <c r="E294" i="8" s="1" a="1"/>
  <c r="E294" i="8" s="1"/>
  <c r="C293" i="8"/>
  <c r="E293" i="8" s="1" a="1"/>
  <c r="E293" i="8" s="1"/>
  <c r="C292" i="8"/>
  <c r="E292" i="8" s="1" a="1"/>
  <c r="E292" i="8" s="1"/>
  <c r="C291" i="8"/>
  <c r="E291" i="8" s="1" a="1"/>
  <c r="E291" i="8" s="1"/>
  <c r="C290" i="8"/>
  <c r="E290" i="8" s="1" a="1"/>
  <c r="E290" i="8" s="1"/>
  <c r="C289" i="8"/>
  <c r="E289" i="8" s="1" a="1"/>
  <c r="E289" i="8" s="1"/>
  <c r="C288" i="8"/>
  <c r="E288" i="8" s="1" a="1"/>
  <c r="E288" i="8" s="1"/>
  <c r="C287" i="8"/>
  <c r="E287" i="8" s="1" a="1"/>
  <c r="E287" i="8" s="1"/>
  <c r="C286" i="8"/>
  <c r="E286" i="8" s="1" a="1"/>
  <c r="E286" i="8" s="1"/>
  <c r="C285" i="8"/>
  <c r="E285" i="8" s="1" a="1"/>
  <c r="E285" i="8" s="1"/>
  <c r="C284" i="8"/>
  <c r="E284" i="8" s="1" a="1"/>
  <c r="E284" i="8" s="1"/>
  <c r="C283" i="8"/>
  <c r="E283" i="8" s="1" a="1"/>
  <c r="E283" i="8" s="1"/>
  <c r="C282" i="8"/>
  <c r="E282" i="8" s="1" a="1"/>
  <c r="E282" i="8" s="1"/>
  <c r="C281" i="8"/>
  <c r="E281" i="8" s="1" a="1"/>
  <c r="E281" i="8" s="1"/>
  <c r="C280" i="8"/>
  <c r="E280" i="8" s="1" a="1"/>
  <c r="E280" i="8" s="1"/>
  <c r="C279" i="8"/>
  <c r="E279" i="8" s="1" a="1"/>
  <c r="E279" i="8" s="1"/>
  <c r="C278" i="8"/>
  <c r="E278" i="8" s="1" a="1"/>
  <c r="E278" i="8" s="1"/>
  <c r="C277" i="8"/>
  <c r="E277" i="8" s="1" a="1"/>
  <c r="E277" i="8" s="1"/>
  <c r="C276" i="8"/>
  <c r="E276" i="8" s="1" a="1"/>
  <c r="E276" i="8" s="1"/>
  <c r="C275" i="8"/>
  <c r="E275" i="8" s="1" a="1"/>
  <c r="E275" i="8" s="1"/>
  <c r="C274" i="8"/>
  <c r="E274" i="8" s="1" a="1"/>
  <c r="E274" i="8" s="1"/>
  <c r="C273" i="8"/>
  <c r="E273" i="8" s="1" a="1"/>
  <c r="E273" i="8" s="1"/>
  <c r="C272" i="8"/>
  <c r="E272" i="8" s="1" a="1"/>
  <c r="E272" i="8" s="1"/>
  <c r="C271" i="8"/>
  <c r="E271" i="8" s="1" a="1"/>
  <c r="E271" i="8" s="1"/>
  <c r="C270" i="8"/>
  <c r="E270" i="8" s="1" a="1"/>
  <c r="E270" i="8" s="1"/>
  <c r="C269" i="8"/>
  <c r="E269" i="8" s="1" a="1"/>
  <c r="E269" i="8" s="1"/>
  <c r="C268" i="8"/>
  <c r="E268" i="8" s="1" a="1"/>
  <c r="E268" i="8" s="1"/>
  <c r="C267" i="8"/>
  <c r="E267" i="8" s="1" a="1"/>
  <c r="E267" i="8" s="1"/>
  <c r="C266" i="8"/>
  <c r="E266" i="8" s="1" a="1"/>
  <c r="E266" i="8" s="1"/>
  <c r="C265" i="8"/>
  <c r="E265" i="8" s="1" a="1"/>
  <c r="E265" i="8" s="1"/>
  <c r="C264" i="8"/>
  <c r="E264" i="8" s="1" a="1"/>
  <c r="E264" i="8" s="1"/>
  <c r="C263" i="8"/>
  <c r="E263" i="8" s="1" a="1"/>
  <c r="E263" i="8" s="1"/>
  <c r="C262" i="8"/>
  <c r="E262" i="8" s="1" a="1"/>
  <c r="E262" i="8" s="1"/>
  <c r="C261" i="8"/>
  <c r="E261" i="8" s="1" a="1"/>
  <c r="E261" i="8" s="1"/>
  <c r="C260" i="8"/>
  <c r="E260" i="8" s="1" a="1"/>
  <c r="E260" i="8" s="1"/>
  <c r="C259" i="8"/>
  <c r="E259" i="8" s="1" a="1"/>
  <c r="E259" i="8" s="1"/>
  <c r="C258" i="8"/>
  <c r="E258" i="8" s="1" a="1"/>
  <c r="E258" i="8" s="1"/>
  <c r="C257" i="8"/>
  <c r="E257" i="8" s="1" a="1"/>
  <c r="E257" i="8" s="1"/>
  <c r="C256" i="8"/>
  <c r="E256" i="8" s="1" a="1"/>
  <c r="E256" i="8" s="1"/>
  <c r="C255" i="8"/>
  <c r="E255" i="8" s="1" a="1"/>
  <c r="E255" i="8" s="1"/>
  <c r="C254" i="8"/>
  <c r="E254" i="8" s="1" a="1"/>
  <c r="E254" i="8" s="1"/>
  <c r="C253" i="8"/>
  <c r="E253" i="8" s="1" a="1"/>
  <c r="E253" i="8" s="1"/>
  <c r="C252" i="8"/>
  <c r="E252" i="8" s="1" a="1"/>
  <c r="E252" i="8" s="1"/>
  <c r="C251" i="8"/>
  <c r="E251" i="8" s="1" a="1"/>
  <c r="E251" i="8" s="1"/>
  <c r="C250" i="8"/>
  <c r="E250" i="8" s="1" a="1"/>
  <c r="E250" i="8" s="1"/>
  <c r="C249" i="8"/>
  <c r="E249" i="8" s="1" a="1"/>
  <c r="E249" i="8" s="1"/>
  <c r="C248" i="8"/>
  <c r="E248" i="8" s="1" a="1"/>
  <c r="E248" i="8" s="1"/>
  <c r="C247" i="8"/>
  <c r="E247" i="8" s="1" a="1"/>
  <c r="E247" i="8" s="1"/>
  <c r="C246" i="8"/>
  <c r="E246" i="8" s="1" a="1"/>
  <c r="E246" i="8" s="1"/>
  <c r="C245" i="8"/>
  <c r="E245" i="8" s="1" a="1"/>
  <c r="E245" i="8" s="1"/>
  <c r="C244" i="8"/>
  <c r="E244" i="8" s="1" a="1"/>
  <c r="E244" i="8" s="1"/>
  <c r="C243" i="8"/>
  <c r="E243" i="8" s="1" a="1"/>
  <c r="E243" i="8" s="1"/>
  <c r="C242" i="8"/>
  <c r="E242" i="8" s="1" a="1"/>
  <c r="E242" i="8" s="1"/>
  <c r="C241" i="8"/>
  <c r="E241" i="8" s="1" a="1"/>
  <c r="E241" i="8" s="1"/>
  <c r="C240" i="8"/>
  <c r="E240" i="8" s="1" a="1"/>
  <c r="E240" i="8" s="1"/>
  <c r="C239" i="8"/>
  <c r="E239" i="8" s="1" a="1"/>
  <c r="E239" i="8" s="1"/>
  <c r="C238" i="8"/>
  <c r="E238" i="8" s="1" a="1"/>
  <c r="E238" i="8" s="1"/>
  <c r="C237" i="8"/>
  <c r="E237" i="8" s="1" a="1"/>
  <c r="E237" i="8" s="1"/>
  <c r="C236" i="8"/>
  <c r="E236" i="8" s="1" a="1"/>
  <c r="E236" i="8" s="1"/>
  <c r="C235" i="8"/>
  <c r="E235" i="8" s="1" a="1"/>
  <c r="E235" i="8" s="1"/>
  <c r="C234" i="8"/>
  <c r="E234" i="8" s="1" a="1"/>
  <c r="E234" i="8" s="1"/>
  <c r="C233" i="8"/>
  <c r="E233" i="8" s="1" a="1"/>
  <c r="E233" i="8" s="1"/>
  <c r="C232" i="8"/>
  <c r="E232" i="8" s="1" a="1"/>
  <c r="E232" i="8" s="1"/>
  <c r="C231" i="8"/>
  <c r="E231" i="8" s="1" a="1"/>
  <c r="E231" i="8" s="1"/>
  <c r="C230" i="8"/>
  <c r="E230" i="8" s="1" a="1"/>
  <c r="E230" i="8" s="1"/>
  <c r="C229" i="8"/>
  <c r="E229" i="8" s="1" a="1"/>
  <c r="E229" i="8" s="1"/>
  <c r="C228" i="8"/>
  <c r="E228" i="8" s="1" a="1"/>
  <c r="E228" i="8" s="1"/>
  <c r="C227" i="8"/>
  <c r="E227" i="8" s="1" a="1"/>
  <c r="E227" i="8" s="1"/>
  <c r="C226" i="8"/>
  <c r="E226" i="8" s="1" a="1"/>
  <c r="E226" i="8" s="1"/>
  <c r="C225" i="8"/>
  <c r="E225" i="8" s="1" a="1"/>
  <c r="E225" i="8" s="1"/>
  <c r="C224" i="8"/>
  <c r="E224" i="8" s="1" a="1"/>
  <c r="E224" i="8" s="1"/>
  <c r="C223" i="8"/>
  <c r="E223" i="8" s="1" a="1"/>
  <c r="E223" i="8" s="1"/>
  <c r="C222" i="8"/>
  <c r="E222" i="8" s="1" a="1"/>
  <c r="E222" i="8" s="1"/>
  <c r="C221" i="8"/>
  <c r="E221" i="8" s="1" a="1"/>
  <c r="E221" i="8" s="1"/>
  <c r="C220" i="8"/>
  <c r="E220" i="8" s="1" a="1"/>
  <c r="E220" i="8" s="1"/>
  <c r="C219" i="8"/>
  <c r="E219" i="8" s="1" a="1"/>
  <c r="E219" i="8" s="1"/>
  <c r="C218" i="8"/>
  <c r="E218" i="8" s="1" a="1"/>
  <c r="E218" i="8" s="1"/>
  <c r="C217" i="8"/>
  <c r="E217" i="8" s="1" a="1"/>
  <c r="E217" i="8" s="1"/>
  <c r="C216" i="8"/>
  <c r="E216" i="8" s="1" a="1"/>
  <c r="E216" i="8" s="1"/>
  <c r="C215" i="8"/>
  <c r="E215" i="8" s="1" a="1"/>
  <c r="E215" i="8" s="1"/>
  <c r="C214" i="8"/>
  <c r="E214" i="8" s="1" a="1"/>
  <c r="E214" i="8" s="1"/>
  <c r="C213" i="8"/>
  <c r="E213" i="8" s="1" a="1"/>
  <c r="E213" i="8" s="1"/>
  <c r="C212" i="8"/>
  <c r="E212" i="8" s="1" a="1"/>
  <c r="E212" i="8" s="1"/>
  <c r="C211" i="8"/>
  <c r="E211" i="8" s="1" a="1"/>
  <c r="E211" i="8" s="1"/>
  <c r="C210" i="8"/>
  <c r="E210" i="8" s="1" a="1"/>
  <c r="E210" i="8" s="1"/>
  <c r="C209" i="8"/>
  <c r="E209" i="8" s="1" a="1"/>
  <c r="E209" i="8" s="1"/>
  <c r="C208" i="8"/>
  <c r="E208" i="8" s="1" a="1"/>
  <c r="E208" i="8" s="1"/>
  <c r="C207" i="8"/>
  <c r="E207" i="8" s="1" a="1"/>
  <c r="E207" i="8" s="1"/>
  <c r="C206" i="8"/>
  <c r="E206" i="8" s="1" a="1"/>
  <c r="E206" i="8" s="1"/>
  <c r="C205" i="8"/>
  <c r="E205" i="8" s="1" a="1"/>
  <c r="E205" i="8" s="1"/>
  <c r="C204" i="8"/>
  <c r="E204" i="8" s="1" a="1"/>
  <c r="E204" i="8" s="1"/>
  <c r="C203" i="8"/>
  <c r="E203" i="8" s="1" a="1"/>
  <c r="E203" i="8" s="1"/>
  <c r="C202" i="8"/>
  <c r="E202" i="8" s="1" a="1"/>
  <c r="E202" i="8" s="1"/>
  <c r="C201" i="8"/>
  <c r="E201" i="8" s="1" a="1"/>
  <c r="E201" i="8" s="1"/>
  <c r="C200" i="8"/>
  <c r="E200" i="8" s="1" a="1"/>
  <c r="E200" i="8" s="1"/>
  <c r="C199" i="8"/>
  <c r="E199" i="8" s="1" a="1"/>
  <c r="E199" i="8" s="1"/>
  <c r="C198" i="8"/>
  <c r="E198" i="8" s="1" a="1"/>
  <c r="E198" i="8" s="1"/>
  <c r="C197" i="8"/>
  <c r="E197" i="8" s="1" a="1"/>
  <c r="E197" i="8" s="1"/>
  <c r="C196" i="8"/>
  <c r="E196" i="8" s="1" a="1"/>
  <c r="E196" i="8" s="1"/>
  <c r="C195" i="8"/>
  <c r="E195" i="8" s="1" a="1"/>
  <c r="E195" i="8" s="1"/>
  <c r="C194" i="8"/>
  <c r="E194" i="8" s="1" a="1"/>
  <c r="E194" i="8" s="1"/>
  <c r="C193" i="8"/>
  <c r="E193" i="8" s="1" a="1"/>
  <c r="E193" i="8" s="1"/>
  <c r="C192" i="8"/>
  <c r="E192" i="8" s="1" a="1"/>
  <c r="E192" i="8" s="1"/>
  <c r="C191" i="8"/>
  <c r="E191" i="8" s="1" a="1"/>
  <c r="E191" i="8" s="1"/>
  <c r="C190" i="8"/>
  <c r="E190" i="8" s="1" a="1"/>
  <c r="E190" i="8" s="1"/>
  <c r="C189" i="8"/>
  <c r="E189" i="8" s="1" a="1"/>
  <c r="E189" i="8" s="1"/>
  <c r="C188" i="8"/>
  <c r="E188" i="8" s="1" a="1"/>
  <c r="E188" i="8" s="1"/>
  <c r="C187" i="8"/>
  <c r="E187" i="8" s="1" a="1"/>
  <c r="E187" i="8" s="1"/>
  <c r="C186" i="8"/>
  <c r="E186" i="8" s="1" a="1"/>
  <c r="E186" i="8" s="1"/>
  <c r="C185" i="8"/>
  <c r="E185" i="8" s="1" a="1"/>
  <c r="E185" i="8" s="1"/>
  <c r="C184" i="8"/>
  <c r="E184" i="8" s="1" a="1"/>
  <c r="E184" i="8" s="1"/>
  <c r="C183" i="8"/>
  <c r="E183" i="8" s="1" a="1"/>
  <c r="E183" i="8" s="1"/>
  <c r="C182" i="8"/>
  <c r="E182" i="8" s="1" a="1"/>
  <c r="E182" i="8" s="1"/>
  <c r="C181" i="8"/>
  <c r="E181" i="8" s="1" a="1"/>
  <c r="E181" i="8" s="1"/>
  <c r="C180" i="8"/>
  <c r="E180" i="8" s="1" a="1"/>
  <c r="E180" i="8" s="1"/>
  <c r="C179" i="8"/>
  <c r="E179" i="8" s="1" a="1"/>
  <c r="E179" i="8" s="1"/>
  <c r="C178" i="8"/>
  <c r="E178" i="8" s="1" a="1"/>
  <c r="E178" i="8" s="1"/>
  <c r="C177" i="8"/>
  <c r="E177" i="8" s="1" a="1"/>
  <c r="E177" i="8" s="1"/>
  <c r="C176" i="8"/>
  <c r="E176" i="8" s="1" a="1"/>
  <c r="E176" i="8" s="1"/>
  <c r="C175" i="8"/>
  <c r="E175" i="8" s="1" a="1"/>
  <c r="E175" i="8" s="1"/>
  <c r="C174" i="8"/>
  <c r="E174" i="8" s="1" a="1"/>
  <c r="E174" i="8" s="1"/>
  <c r="C173" i="8"/>
  <c r="E173" i="8" s="1" a="1"/>
  <c r="E173" i="8" s="1"/>
  <c r="C172" i="8"/>
  <c r="E172" i="8" s="1" a="1"/>
  <c r="E172" i="8" s="1"/>
  <c r="C171" i="8"/>
  <c r="E171" i="8" s="1" a="1"/>
  <c r="E171" i="8" s="1"/>
  <c r="C170" i="8"/>
  <c r="E170" i="8" s="1" a="1"/>
  <c r="E170" i="8" s="1"/>
  <c r="C169" i="8"/>
  <c r="E169" i="8" s="1" a="1"/>
  <c r="E169" i="8" s="1"/>
  <c r="C168" i="8"/>
  <c r="E168" i="8" s="1" a="1"/>
  <c r="E168" i="8" s="1"/>
  <c r="C167" i="8"/>
  <c r="E167" i="8" s="1" a="1"/>
  <c r="E167" i="8" s="1"/>
  <c r="C166" i="8"/>
  <c r="E166" i="8" s="1" a="1"/>
  <c r="E166" i="8" s="1"/>
  <c r="C165" i="8"/>
  <c r="E165" i="8" s="1" a="1"/>
  <c r="E165" i="8" s="1"/>
  <c r="C164" i="8"/>
  <c r="E164" i="8" s="1" a="1"/>
  <c r="E164" i="8" s="1"/>
  <c r="C163" i="8"/>
  <c r="E163" i="8" s="1" a="1"/>
  <c r="E163" i="8" s="1"/>
  <c r="C162" i="8"/>
  <c r="E162" i="8" s="1" a="1"/>
  <c r="E162" i="8" s="1"/>
  <c r="C161" i="8"/>
  <c r="E161" i="8" s="1" a="1"/>
  <c r="E161" i="8" s="1"/>
  <c r="C160" i="8"/>
  <c r="E160" i="8" s="1" a="1"/>
  <c r="E160" i="8" s="1"/>
  <c r="C159" i="8"/>
  <c r="E159" i="8" s="1" a="1"/>
  <c r="E159" i="8" s="1"/>
  <c r="C158" i="8"/>
  <c r="E158" i="8" s="1" a="1"/>
  <c r="E158" i="8" s="1"/>
  <c r="C157" i="8"/>
  <c r="E157" i="8" s="1" a="1"/>
  <c r="E157" i="8" s="1"/>
  <c r="C156" i="8"/>
  <c r="E156" i="8" s="1" a="1"/>
  <c r="E156" i="8" s="1"/>
  <c r="C155" i="8"/>
  <c r="E155" i="8" s="1" a="1"/>
  <c r="E155" i="8" s="1"/>
  <c r="C154" i="8"/>
  <c r="E154" i="8" s="1" a="1"/>
  <c r="E154" i="8" s="1"/>
  <c r="C153" i="8"/>
  <c r="E153" i="8" s="1" a="1"/>
  <c r="E153" i="8" s="1"/>
  <c r="C152" i="8"/>
  <c r="E152" i="8" s="1" a="1"/>
  <c r="E152" i="8" s="1"/>
  <c r="C151" i="8"/>
  <c r="E151" i="8" s="1" a="1"/>
  <c r="E151" i="8" s="1"/>
  <c r="C150" i="8"/>
  <c r="E150" i="8" s="1" a="1"/>
  <c r="E150" i="8" s="1"/>
  <c r="C149" i="8"/>
  <c r="E149" i="8" s="1" a="1"/>
  <c r="E149" i="8" s="1"/>
  <c r="C148" i="8"/>
  <c r="E148" i="8" s="1" a="1"/>
  <c r="E148" i="8" s="1"/>
  <c r="C147" i="8"/>
  <c r="E147" i="8" s="1" a="1"/>
  <c r="E147" i="8" s="1"/>
  <c r="C146" i="8"/>
  <c r="E146" i="8" s="1" a="1"/>
  <c r="E146" i="8" s="1"/>
  <c r="C145" i="8"/>
  <c r="E145" i="8" s="1" a="1"/>
  <c r="E145" i="8" s="1"/>
  <c r="C144" i="8"/>
  <c r="E144" i="8" s="1" a="1"/>
  <c r="E144" i="8" s="1"/>
  <c r="C143" i="8"/>
  <c r="E143" i="8" s="1" a="1"/>
  <c r="E143" i="8" s="1"/>
  <c r="C142" i="8"/>
  <c r="E142" i="8" s="1" a="1"/>
  <c r="E142" i="8" s="1"/>
  <c r="C141" i="8"/>
  <c r="E141" i="8" s="1" a="1"/>
  <c r="E141" i="8" s="1"/>
  <c r="C140" i="8"/>
  <c r="E140" i="8" s="1" a="1"/>
  <c r="E140" i="8" s="1"/>
  <c r="C139" i="8"/>
  <c r="E139" i="8" s="1" a="1"/>
  <c r="E139" i="8" s="1"/>
  <c r="C138" i="8"/>
  <c r="E138" i="8" s="1" a="1"/>
  <c r="E138" i="8" s="1"/>
  <c r="C137" i="8"/>
  <c r="E137" i="8" s="1" a="1"/>
  <c r="E137" i="8" s="1"/>
  <c r="C136" i="8"/>
  <c r="E136" i="8" s="1" a="1"/>
  <c r="E136" i="8" s="1"/>
  <c r="C135" i="8"/>
  <c r="E135" i="8" s="1" a="1"/>
  <c r="E135" i="8" s="1"/>
  <c r="C134" i="8"/>
  <c r="E134" i="8" s="1" a="1"/>
  <c r="E134" i="8" s="1"/>
  <c r="C133" i="8"/>
  <c r="E133" i="8" s="1" a="1"/>
  <c r="E133" i="8" s="1"/>
  <c r="C132" i="8"/>
  <c r="E132" i="8" s="1" a="1"/>
  <c r="E132" i="8" s="1"/>
  <c r="C131" i="8"/>
  <c r="E131" i="8" s="1" a="1"/>
  <c r="E131" i="8" s="1"/>
  <c r="C130" i="8"/>
  <c r="E130" i="8" s="1" a="1"/>
  <c r="E130" i="8" s="1"/>
  <c r="C129" i="8"/>
  <c r="E129" i="8" s="1" a="1"/>
  <c r="E129" i="8" s="1"/>
  <c r="C128" i="8"/>
  <c r="E128" i="8" s="1" a="1"/>
  <c r="E128" i="8" s="1"/>
  <c r="C127" i="8"/>
  <c r="E127" i="8" s="1" a="1"/>
  <c r="E127" i="8" s="1"/>
  <c r="C126" i="8"/>
  <c r="E126" i="8" s="1" a="1"/>
  <c r="E126" i="8" s="1"/>
  <c r="C125" i="8"/>
  <c r="E125" i="8" s="1" a="1"/>
  <c r="E125" i="8" s="1"/>
  <c r="C124" i="8"/>
  <c r="E124" i="8" s="1" a="1"/>
  <c r="E124" i="8" s="1"/>
  <c r="C123" i="8"/>
  <c r="E123" i="8" s="1" a="1"/>
  <c r="E123" i="8" s="1"/>
  <c r="C122" i="8"/>
  <c r="E122" i="8" s="1" a="1"/>
  <c r="E122" i="8" s="1"/>
  <c r="C121" i="8"/>
  <c r="E121" i="8" s="1" a="1"/>
  <c r="E121" i="8" s="1"/>
  <c r="C120" i="8"/>
  <c r="E120" i="8" s="1" a="1"/>
  <c r="E120" i="8" s="1"/>
  <c r="C119" i="8"/>
  <c r="E119" i="8" s="1" a="1"/>
  <c r="E119" i="8" s="1"/>
  <c r="C118" i="8"/>
  <c r="E118" i="8" s="1" a="1"/>
  <c r="E118" i="8" s="1"/>
  <c r="C117" i="8"/>
  <c r="E117" i="8" s="1" a="1"/>
  <c r="E117" i="8" s="1"/>
  <c r="C116" i="8"/>
  <c r="E116" i="8" s="1" a="1"/>
  <c r="E116" i="8" s="1"/>
  <c r="C115" i="8"/>
  <c r="E115" i="8" s="1" a="1"/>
  <c r="E115" i="8" s="1"/>
  <c r="C114" i="8"/>
  <c r="E114" i="8" s="1" a="1"/>
  <c r="E114" i="8" s="1"/>
  <c r="C113" i="8"/>
  <c r="E113" i="8" s="1" a="1"/>
  <c r="E113" i="8" s="1"/>
  <c r="C112" i="8"/>
  <c r="E112" i="8" s="1" a="1"/>
  <c r="E112" i="8" s="1"/>
  <c r="C111" i="8"/>
  <c r="E111" i="8" s="1" a="1"/>
  <c r="E111" i="8" s="1"/>
  <c r="C110" i="8"/>
  <c r="E110" i="8" s="1" a="1"/>
  <c r="E110" i="8" s="1"/>
  <c r="C109" i="8"/>
  <c r="E109" i="8" s="1" a="1"/>
  <c r="E109" i="8" s="1"/>
  <c r="C108" i="8"/>
  <c r="E108" i="8" s="1" a="1"/>
  <c r="E108" i="8" s="1"/>
  <c r="C107" i="8"/>
  <c r="E107" i="8" s="1" a="1"/>
  <c r="E107" i="8" s="1"/>
  <c r="C106" i="8"/>
  <c r="E106" i="8" s="1" a="1"/>
  <c r="E106" i="8" s="1"/>
  <c r="C105" i="8"/>
  <c r="E105" i="8" s="1" a="1"/>
  <c r="E105" i="8" s="1"/>
  <c r="C104" i="8"/>
  <c r="E104" i="8" s="1" a="1"/>
  <c r="E104" i="8" s="1"/>
  <c r="C103" i="8"/>
  <c r="E103" i="8" s="1" a="1"/>
  <c r="E103" i="8" s="1"/>
  <c r="C102" i="8"/>
  <c r="E102" i="8" s="1" a="1"/>
  <c r="E102" i="8" s="1"/>
  <c r="C101" i="8"/>
  <c r="E101" i="8" s="1" a="1"/>
  <c r="E101" i="8" s="1"/>
  <c r="C100" i="8"/>
  <c r="E100" i="8" s="1" a="1"/>
  <c r="E100" i="8" s="1"/>
  <c r="C99" i="8"/>
  <c r="E99" i="8" s="1" a="1"/>
  <c r="E99" i="8" s="1"/>
  <c r="C98" i="8"/>
  <c r="E98" i="8" s="1" a="1"/>
  <c r="E98" i="8" s="1"/>
  <c r="C97" i="8"/>
  <c r="E97" i="8" s="1" a="1"/>
  <c r="E97" i="8" s="1"/>
  <c r="C96" i="8"/>
  <c r="E96" i="8" s="1" a="1"/>
  <c r="E96" i="8" s="1"/>
  <c r="C95" i="8"/>
  <c r="E95" i="8" s="1" a="1"/>
  <c r="E95" i="8" s="1"/>
  <c r="C94" i="8"/>
  <c r="E94" i="8" s="1" a="1"/>
  <c r="E94" i="8" s="1"/>
  <c r="C93" i="8"/>
  <c r="E93" i="8" s="1" a="1"/>
  <c r="E93" i="8" s="1"/>
  <c r="C92" i="8"/>
  <c r="E92" i="8" s="1" a="1"/>
  <c r="E92" i="8" s="1"/>
  <c r="C91" i="8"/>
  <c r="E91" i="8" s="1" a="1"/>
  <c r="E91" i="8" s="1"/>
  <c r="C90" i="8"/>
  <c r="E90" i="8" s="1" a="1"/>
  <c r="E90" i="8" s="1"/>
  <c r="C89" i="8"/>
  <c r="E89" i="8" s="1" a="1"/>
  <c r="E89" i="8" s="1"/>
  <c r="C88" i="8"/>
  <c r="E88" i="8" s="1" a="1"/>
  <c r="E88" i="8" s="1"/>
  <c r="C87" i="8"/>
  <c r="E87" i="8" s="1" a="1"/>
  <c r="E87" i="8" s="1"/>
  <c r="C86" i="8"/>
  <c r="E86" i="8" s="1" a="1"/>
  <c r="E86" i="8" s="1"/>
  <c r="C85" i="8"/>
  <c r="E85" i="8" s="1" a="1"/>
  <c r="E85" i="8" s="1"/>
  <c r="C84" i="8"/>
  <c r="E84" i="8" s="1" a="1"/>
  <c r="E84" i="8" s="1"/>
  <c r="C83" i="8"/>
  <c r="E83" i="8" s="1" a="1"/>
  <c r="E83" i="8" s="1"/>
  <c r="C82" i="8"/>
  <c r="E82" i="8" s="1" a="1"/>
  <c r="E82" i="8" s="1"/>
  <c r="C81" i="8"/>
  <c r="E81" i="8" s="1" a="1"/>
  <c r="E81" i="8" s="1"/>
  <c r="C80" i="8"/>
  <c r="E80" i="8" s="1" a="1"/>
  <c r="E80" i="8" s="1"/>
  <c r="C79" i="8"/>
  <c r="E79" i="8" s="1" a="1"/>
  <c r="E79" i="8" s="1"/>
  <c r="C78" i="8"/>
  <c r="E78" i="8" s="1" a="1"/>
  <c r="E78" i="8" s="1"/>
  <c r="C77" i="8"/>
  <c r="E77" i="8" s="1" a="1"/>
  <c r="E77" i="8" s="1"/>
  <c r="C76" i="8"/>
  <c r="E76" i="8" s="1" a="1"/>
  <c r="E76" i="8" s="1"/>
  <c r="C75" i="8"/>
  <c r="E75" i="8" s="1" a="1"/>
  <c r="E75" i="8" s="1"/>
  <c r="C74" i="8"/>
  <c r="E74" i="8" s="1" a="1"/>
  <c r="E74" i="8" s="1"/>
  <c r="C73" i="8"/>
  <c r="E73" i="8" s="1" a="1"/>
  <c r="E73" i="8" s="1"/>
  <c r="C72" i="8"/>
  <c r="E72" i="8" s="1" a="1"/>
  <c r="E72" i="8" s="1"/>
  <c r="C71" i="8"/>
  <c r="E71" i="8" s="1" a="1"/>
  <c r="E71" i="8" s="1"/>
  <c r="C70" i="8"/>
  <c r="E70" i="8" s="1" a="1"/>
  <c r="E70" i="8" s="1"/>
  <c r="C69" i="8"/>
  <c r="E69" i="8" s="1" a="1"/>
  <c r="E69" i="8" s="1"/>
  <c r="C68" i="8"/>
  <c r="E68" i="8" s="1" a="1"/>
  <c r="E68" i="8" s="1"/>
  <c r="C67" i="8"/>
  <c r="E67" i="8" s="1" a="1"/>
  <c r="E67" i="8" s="1"/>
  <c r="C66" i="8"/>
  <c r="E66" i="8" s="1" a="1"/>
  <c r="E66" i="8" s="1"/>
  <c r="C65" i="8"/>
  <c r="E65" i="8" s="1" a="1"/>
  <c r="E65" i="8" s="1"/>
  <c r="C64" i="8"/>
  <c r="E64" i="8" s="1" a="1"/>
  <c r="E64" i="8" s="1"/>
  <c r="C63" i="8"/>
  <c r="E63" i="8" s="1" a="1"/>
  <c r="E63" i="8" s="1"/>
  <c r="C62" i="8"/>
  <c r="E62" i="8" s="1" a="1"/>
  <c r="E62" i="8" s="1"/>
  <c r="C61" i="8"/>
  <c r="E61" i="8" s="1" a="1"/>
  <c r="E61" i="8" s="1"/>
  <c r="C60" i="8"/>
  <c r="E60" i="8" s="1" a="1"/>
  <c r="E60" i="8" s="1"/>
  <c r="C59" i="8"/>
  <c r="E59" i="8" s="1" a="1"/>
  <c r="E59" i="8" s="1"/>
  <c r="C58" i="8"/>
  <c r="E58" i="8" s="1" a="1"/>
  <c r="E58" i="8" s="1"/>
  <c r="C57" i="8"/>
  <c r="E57" i="8" s="1" a="1"/>
  <c r="E57" i="8" s="1"/>
  <c r="C56" i="8"/>
  <c r="E56" i="8" s="1" a="1"/>
  <c r="E56" i="8" s="1"/>
  <c r="C55" i="8"/>
  <c r="E55" i="8" s="1" a="1"/>
  <c r="E55" i="8" s="1"/>
  <c r="C54" i="8"/>
  <c r="E54" i="8" s="1" a="1"/>
  <c r="E54" i="8" s="1"/>
  <c r="C53" i="8"/>
  <c r="E53" i="8" s="1" a="1"/>
  <c r="E53" i="8" s="1"/>
  <c r="C52" i="8"/>
  <c r="E52" i="8" s="1" a="1"/>
  <c r="E52" i="8" s="1"/>
  <c r="C51" i="8"/>
  <c r="E51" i="8" s="1" a="1"/>
  <c r="E51" i="8" s="1"/>
  <c r="C50" i="8"/>
  <c r="E50" i="8" s="1" a="1"/>
  <c r="E50" i="8" s="1"/>
  <c r="C49" i="8"/>
  <c r="E49" i="8" s="1" a="1"/>
  <c r="E49" i="8" s="1"/>
  <c r="C48" i="8"/>
  <c r="E48" i="8" s="1" a="1"/>
  <c r="E48" i="8" s="1"/>
  <c r="C47" i="8"/>
  <c r="E47" i="8" s="1" a="1"/>
  <c r="E47" i="8" s="1"/>
  <c r="C46" i="8"/>
  <c r="E46" i="8" s="1" a="1"/>
  <c r="E46" i="8" s="1"/>
  <c r="C45" i="8"/>
  <c r="E45" i="8" s="1" a="1"/>
  <c r="E45" i="8" s="1"/>
  <c r="C44" i="8"/>
  <c r="E44" i="8" s="1" a="1"/>
  <c r="E44" i="8" s="1"/>
  <c r="C43" i="8"/>
  <c r="E43" i="8" s="1" a="1"/>
  <c r="E43" i="8" s="1"/>
  <c r="C42" i="8"/>
  <c r="E42" i="8" s="1" a="1"/>
  <c r="E42" i="8" s="1"/>
  <c r="C41" i="8"/>
  <c r="E41" i="8" s="1" a="1"/>
  <c r="E41" i="8" s="1"/>
  <c r="C40" i="8"/>
  <c r="E40" i="8" s="1" a="1"/>
  <c r="E40" i="8" s="1"/>
  <c r="C39" i="8"/>
  <c r="E39" i="8" s="1" a="1"/>
  <c r="E39" i="8" s="1"/>
  <c r="C38" i="8"/>
  <c r="E38" i="8" s="1" a="1"/>
  <c r="E38" i="8" s="1"/>
  <c r="C37" i="8"/>
  <c r="E37" i="8" s="1" a="1"/>
  <c r="E37" i="8" s="1"/>
  <c r="C36" i="8"/>
  <c r="E36" i="8" s="1" a="1"/>
  <c r="E36" i="8" s="1"/>
  <c r="C35" i="8"/>
  <c r="E35" i="8" s="1" a="1"/>
  <c r="E35" i="8" s="1"/>
  <c r="C34" i="8"/>
  <c r="E34" i="8" s="1" a="1"/>
  <c r="E34" i="8" s="1"/>
  <c r="C33" i="8"/>
  <c r="E33" i="8" s="1" a="1"/>
  <c r="E33" i="8" s="1"/>
  <c r="C32" i="8"/>
  <c r="E32" i="8" s="1" a="1"/>
  <c r="E32" i="8" s="1"/>
  <c r="C31" i="8"/>
  <c r="E31" i="8" s="1" a="1"/>
  <c r="E31" i="8" s="1"/>
  <c r="C30" i="8"/>
  <c r="E30" i="8" s="1" a="1"/>
  <c r="E30" i="8" s="1"/>
  <c r="C29" i="8"/>
  <c r="E29" i="8" s="1" a="1"/>
  <c r="E29" i="8" s="1"/>
  <c r="C28" i="8"/>
  <c r="E28" i="8" s="1" a="1"/>
  <c r="E28" i="8" s="1"/>
  <c r="C27" i="8"/>
  <c r="E27" i="8" s="1" a="1"/>
  <c r="E27" i="8" s="1"/>
  <c r="C26" i="8"/>
  <c r="E26" i="8" s="1" a="1"/>
  <c r="E26" i="8" s="1"/>
  <c r="C25" i="8"/>
  <c r="E25" i="8" s="1" a="1"/>
  <c r="E25" i="8" s="1"/>
  <c r="C24" i="8"/>
  <c r="E24" i="8" s="1" a="1"/>
  <c r="E24" i="8" s="1"/>
  <c r="C23" i="8"/>
  <c r="E23" i="8" s="1" a="1"/>
  <c r="E23" i="8" s="1"/>
  <c r="C22" i="8"/>
  <c r="E22" i="8" s="1" a="1"/>
  <c r="E22" i="8" s="1"/>
  <c r="C21" i="8"/>
  <c r="E21" i="8" s="1" a="1"/>
  <c r="E21" i="8" s="1"/>
  <c r="C20" i="8"/>
  <c r="E20" i="8" s="1" a="1"/>
  <c r="E20" i="8" s="1"/>
  <c r="C19" i="8"/>
  <c r="E19" i="8" s="1" a="1"/>
  <c r="E19" i="8" s="1"/>
  <c r="C18" i="8"/>
  <c r="E18" i="8" s="1" a="1"/>
  <c r="E18" i="8" s="1"/>
  <c r="C17" i="8"/>
  <c r="E17" i="8" s="1" a="1"/>
  <c r="E17" i="8" s="1"/>
  <c r="B1015" i="8"/>
  <c r="D1015" i="8" s="1" a="1"/>
  <c r="D1015" i="8" s="1"/>
  <c r="B1014" i="8"/>
  <c r="D1014" i="8" s="1" a="1"/>
  <c r="D1014" i="8" s="1"/>
  <c r="B1013" i="8"/>
  <c r="D1013" i="8" s="1" a="1"/>
  <c r="D1013" i="8" s="1"/>
  <c r="B1012" i="8"/>
  <c r="D1012" i="8" s="1" a="1"/>
  <c r="D1012" i="8" s="1"/>
  <c r="B1011" i="8"/>
  <c r="D1011" i="8" s="1" a="1"/>
  <c r="D1011" i="8" s="1"/>
  <c r="B1010" i="8"/>
  <c r="D1010" i="8" s="1" a="1"/>
  <c r="D1010" i="8" s="1"/>
  <c r="B1009" i="8"/>
  <c r="D1009" i="8" s="1" a="1"/>
  <c r="D1009" i="8" s="1"/>
  <c r="B1008" i="8"/>
  <c r="D1008" i="8" s="1" a="1"/>
  <c r="D1008" i="8" s="1"/>
  <c r="B1007" i="8"/>
  <c r="D1007" i="8" s="1" a="1"/>
  <c r="D1007" i="8" s="1"/>
  <c r="B1006" i="8"/>
  <c r="D1006" i="8" s="1" a="1"/>
  <c r="D1006" i="8" s="1"/>
  <c r="B1005" i="8"/>
  <c r="D1005" i="8" s="1" a="1"/>
  <c r="D1005" i="8" s="1"/>
  <c r="B1004" i="8"/>
  <c r="D1004" i="8" s="1" a="1"/>
  <c r="D1004" i="8" s="1"/>
  <c r="B1003" i="8"/>
  <c r="D1003" i="8" s="1" a="1"/>
  <c r="D1003" i="8" s="1"/>
  <c r="B1002" i="8"/>
  <c r="D1002" i="8" s="1" a="1"/>
  <c r="D1002" i="8" s="1"/>
  <c r="B1001" i="8"/>
  <c r="D1001" i="8" s="1" a="1"/>
  <c r="D1001" i="8" s="1"/>
  <c r="B1000" i="8"/>
  <c r="D1000" i="8" s="1" a="1"/>
  <c r="D1000" i="8" s="1"/>
  <c r="B999" i="8"/>
  <c r="D999" i="8" s="1" a="1"/>
  <c r="D999" i="8" s="1"/>
  <c r="B998" i="8"/>
  <c r="D998" i="8" s="1" a="1"/>
  <c r="D998" i="8" s="1"/>
  <c r="B997" i="8"/>
  <c r="D997" i="8" s="1" a="1"/>
  <c r="D997" i="8" s="1"/>
  <c r="B996" i="8"/>
  <c r="D996" i="8" s="1" a="1"/>
  <c r="D996" i="8" s="1"/>
  <c r="B995" i="8"/>
  <c r="D995" i="8" s="1" a="1"/>
  <c r="D995" i="8" s="1"/>
  <c r="B994" i="8"/>
  <c r="D994" i="8" s="1" a="1"/>
  <c r="D994" i="8" s="1"/>
  <c r="B993" i="8"/>
  <c r="D993" i="8" s="1" a="1"/>
  <c r="D993" i="8" s="1"/>
  <c r="B992" i="8"/>
  <c r="D992" i="8" s="1" a="1"/>
  <c r="D992" i="8" s="1"/>
  <c r="B991" i="8"/>
  <c r="D991" i="8" s="1" a="1"/>
  <c r="D991" i="8" s="1"/>
  <c r="B990" i="8"/>
  <c r="D990" i="8" s="1" a="1"/>
  <c r="D990" i="8" s="1"/>
  <c r="B989" i="8"/>
  <c r="D989" i="8" s="1" a="1"/>
  <c r="D989" i="8" s="1"/>
  <c r="B988" i="8"/>
  <c r="D988" i="8" s="1" a="1"/>
  <c r="D988" i="8" s="1"/>
  <c r="B987" i="8"/>
  <c r="D987" i="8" s="1" a="1"/>
  <c r="D987" i="8" s="1"/>
  <c r="B986" i="8"/>
  <c r="D986" i="8" s="1" a="1"/>
  <c r="D986" i="8" s="1"/>
  <c r="B985" i="8"/>
  <c r="D985" i="8" s="1" a="1"/>
  <c r="D985" i="8" s="1"/>
  <c r="B984" i="8"/>
  <c r="D984" i="8" s="1" a="1"/>
  <c r="D984" i="8" s="1"/>
  <c r="B983" i="8"/>
  <c r="D983" i="8" s="1" a="1"/>
  <c r="D983" i="8" s="1"/>
  <c r="B982" i="8"/>
  <c r="D982" i="8" s="1" a="1"/>
  <c r="D982" i="8" s="1"/>
  <c r="B981" i="8"/>
  <c r="D981" i="8" s="1" a="1"/>
  <c r="D981" i="8" s="1"/>
  <c r="B980" i="8"/>
  <c r="D980" i="8" s="1" a="1"/>
  <c r="D980" i="8" s="1"/>
  <c r="B979" i="8"/>
  <c r="D979" i="8" s="1" a="1"/>
  <c r="D979" i="8" s="1"/>
  <c r="B978" i="8"/>
  <c r="D978" i="8" s="1" a="1"/>
  <c r="D978" i="8" s="1"/>
  <c r="B977" i="8"/>
  <c r="D977" i="8" s="1" a="1"/>
  <c r="D977" i="8" s="1"/>
  <c r="B976" i="8"/>
  <c r="D976" i="8" s="1" a="1"/>
  <c r="D976" i="8" s="1"/>
  <c r="B975" i="8"/>
  <c r="D975" i="8" s="1" a="1"/>
  <c r="D975" i="8" s="1"/>
  <c r="B974" i="8"/>
  <c r="D974" i="8" s="1" a="1"/>
  <c r="D974" i="8" s="1"/>
  <c r="B973" i="8"/>
  <c r="D973" i="8" s="1" a="1"/>
  <c r="D973" i="8" s="1"/>
  <c r="B972" i="8"/>
  <c r="D972" i="8" s="1" a="1"/>
  <c r="D972" i="8" s="1"/>
  <c r="B971" i="8"/>
  <c r="D971" i="8" s="1" a="1"/>
  <c r="D971" i="8" s="1"/>
  <c r="B970" i="8"/>
  <c r="D970" i="8" s="1" a="1"/>
  <c r="D970" i="8" s="1"/>
  <c r="B969" i="8"/>
  <c r="D969" i="8" s="1" a="1"/>
  <c r="D969" i="8" s="1"/>
  <c r="B968" i="8"/>
  <c r="D968" i="8" s="1" a="1"/>
  <c r="D968" i="8" s="1"/>
  <c r="B967" i="8"/>
  <c r="D967" i="8" s="1" a="1"/>
  <c r="D967" i="8" s="1"/>
  <c r="B966" i="8"/>
  <c r="D966" i="8" s="1" a="1"/>
  <c r="D966" i="8" s="1"/>
  <c r="B965" i="8"/>
  <c r="D965" i="8" s="1" a="1"/>
  <c r="D965" i="8" s="1"/>
  <c r="B964" i="8"/>
  <c r="D964" i="8" s="1" a="1"/>
  <c r="D964" i="8" s="1"/>
  <c r="B963" i="8"/>
  <c r="D963" i="8" s="1" a="1"/>
  <c r="D963" i="8" s="1"/>
  <c r="B962" i="8"/>
  <c r="D962" i="8" s="1" a="1"/>
  <c r="D962" i="8" s="1"/>
  <c r="B961" i="8"/>
  <c r="D961" i="8" s="1" a="1"/>
  <c r="D961" i="8" s="1"/>
  <c r="B960" i="8"/>
  <c r="D960" i="8" s="1" a="1"/>
  <c r="D960" i="8" s="1"/>
  <c r="B959" i="8"/>
  <c r="D959" i="8" s="1" a="1"/>
  <c r="D959" i="8" s="1"/>
  <c r="B958" i="8"/>
  <c r="D958" i="8" s="1" a="1"/>
  <c r="D958" i="8" s="1"/>
  <c r="B957" i="8"/>
  <c r="D957" i="8" s="1" a="1"/>
  <c r="D957" i="8" s="1"/>
  <c r="B956" i="8"/>
  <c r="D956" i="8" s="1" a="1"/>
  <c r="D956" i="8" s="1"/>
  <c r="B955" i="8"/>
  <c r="D955" i="8" s="1" a="1"/>
  <c r="D955" i="8" s="1"/>
  <c r="B954" i="8"/>
  <c r="D954" i="8" s="1" a="1"/>
  <c r="D954" i="8" s="1"/>
  <c r="B953" i="8"/>
  <c r="D953" i="8" s="1" a="1"/>
  <c r="D953" i="8" s="1"/>
  <c r="B952" i="8"/>
  <c r="D952" i="8" s="1" a="1"/>
  <c r="D952" i="8" s="1"/>
  <c r="B951" i="8"/>
  <c r="D951" i="8" s="1" a="1"/>
  <c r="D951" i="8" s="1"/>
  <c r="B950" i="8"/>
  <c r="D950" i="8" s="1" a="1"/>
  <c r="D950" i="8" s="1"/>
  <c r="B949" i="8"/>
  <c r="D949" i="8" s="1" a="1"/>
  <c r="D949" i="8" s="1"/>
  <c r="B948" i="8"/>
  <c r="D948" i="8" s="1" a="1"/>
  <c r="D948" i="8" s="1"/>
  <c r="B947" i="8"/>
  <c r="D947" i="8" s="1" a="1"/>
  <c r="D947" i="8" s="1"/>
  <c r="B946" i="8"/>
  <c r="D946" i="8" s="1" a="1"/>
  <c r="D946" i="8" s="1"/>
  <c r="B945" i="8"/>
  <c r="D945" i="8" s="1" a="1"/>
  <c r="D945" i="8" s="1"/>
  <c r="B944" i="8"/>
  <c r="D944" i="8" s="1" a="1"/>
  <c r="D944" i="8" s="1"/>
  <c r="B943" i="8"/>
  <c r="D943" i="8" s="1" a="1"/>
  <c r="D943" i="8" s="1"/>
  <c r="B942" i="8"/>
  <c r="D942" i="8" s="1" a="1"/>
  <c r="D942" i="8" s="1"/>
  <c r="B941" i="8"/>
  <c r="D941" i="8" s="1" a="1"/>
  <c r="D941" i="8" s="1"/>
  <c r="B940" i="8"/>
  <c r="D940" i="8" s="1" a="1"/>
  <c r="D940" i="8" s="1"/>
  <c r="B939" i="8"/>
  <c r="D939" i="8" s="1" a="1"/>
  <c r="D939" i="8" s="1"/>
  <c r="B938" i="8"/>
  <c r="D938" i="8" s="1" a="1"/>
  <c r="D938" i="8" s="1"/>
  <c r="B937" i="8"/>
  <c r="D937" i="8" s="1" a="1"/>
  <c r="D937" i="8" s="1"/>
  <c r="B936" i="8"/>
  <c r="D936" i="8" s="1" a="1"/>
  <c r="D936" i="8" s="1"/>
  <c r="B935" i="8"/>
  <c r="D935" i="8" s="1" a="1"/>
  <c r="D935" i="8" s="1"/>
  <c r="B934" i="8"/>
  <c r="D934" i="8" s="1" a="1"/>
  <c r="D934" i="8" s="1"/>
  <c r="B933" i="8"/>
  <c r="D933" i="8" s="1" a="1"/>
  <c r="D933" i="8" s="1"/>
  <c r="B932" i="8"/>
  <c r="D932" i="8" s="1" a="1"/>
  <c r="D932" i="8" s="1"/>
  <c r="B931" i="8"/>
  <c r="D931" i="8" s="1" a="1"/>
  <c r="D931" i="8" s="1"/>
  <c r="B930" i="8"/>
  <c r="D930" i="8" s="1" a="1"/>
  <c r="D930" i="8" s="1"/>
  <c r="B929" i="8"/>
  <c r="D929" i="8" s="1" a="1"/>
  <c r="D929" i="8" s="1"/>
  <c r="B928" i="8"/>
  <c r="D928" i="8" s="1" a="1"/>
  <c r="D928" i="8" s="1"/>
  <c r="B927" i="8"/>
  <c r="D927" i="8" s="1" a="1"/>
  <c r="D927" i="8" s="1"/>
  <c r="B926" i="8"/>
  <c r="D926" i="8" s="1" a="1"/>
  <c r="D926" i="8" s="1"/>
  <c r="B925" i="8"/>
  <c r="D925" i="8" s="1" a="1"/>
  <c r="D925" i="8" s="1"/>
  <c r="B924" i="8"/>
  <c r="D924" i="8" s="1" a="1"/>
  <c r="D924" i="8" s="1"/>
  <c r="B923" i="8"/>
  <c r="D923" i="8" s="1" a="1"/>
  <c r="D923" i="8" s="1"/>
  <c r="B922" i="8"/>
  <c r="D922" i="8" s="1" a="1"/>
  <c r="D922" i="8" s="1"/>
  <c r="B921" i="8"/>
  <c r="D921" i="8" s="1" a="1"/>
  <c r="D921" i="8" s="1"/>
  <c r="B920" i="8"/>
  <c r="D920" i="8" s="1" a="1"/>
  <c r="D920" i="8" s="1"/>
  <c r="B919" i="8"/>
  <c r="D919" i="8" s="1" a="1"/>
  <c r="D919" i="8" s="1"/>
  <c r="B918" i="8"/>
  <c r="D918" i="8" s="1" a="1"/>
  <c r="D918" i="8" s="1"/>
  <c r="B917" i="8"/>
  <c r="D917" i="8" s="1" a="1"/>
  <c r="D917" i="8" s="1"/>
  <c r="B916" i="8"/>
  <c r="D916" i="8" s="1" a="1"/>
  <c r="D916" i="8" s="1"/>
  <c r="B915" i="8"/>
  <c r="D915" i="8" s="1" a="1"/>
  <c r="D915" i="8" s="1"/>
  <c r="B914" i="8"/>
  <c r="D914" i="8" s="1" a="1"/>
  <c r="D914" i="8" s="1"/>
  <c r="B913" i="8"/>
  <c r="D913" i="8" s="1" a="1"/>
  <c r="D913" i="8" s="1"/>
  <c r="B912" i="8"/>
  <c r="D912" i="8" s="1" a="1"/>
  <c r="D912" i="8" s="1"/>
  <c r="B911" i="8"/>
  <c r="D911" i="8" s="1" a="1"/>
  <c r="D911" i="8" s="1"/>
  <c r="B910" i="8"/>
  <c r="D910" i="8" s="1" a="1"/>
  <c r="D910" i="8" s="1"/>
  <c r="B909" i="8"/>
  <c r="D909" i="8" s="1" a="1"/>
  <c r="D909" i="8" s="1"/>
  <c r="B908" i="8"/>
  <c r="D908" i="8" s="1" a="1"/>
  <c r="D908" i="8" s="1"/>
  <c r="B907" i="8"/>
  <c r="D907" i="8" s="1" a="1"/>
  <c r="D907" i="8" s="1"/>
  <c r="B906" i="8"/>
  <c r="D906" i="8" s="1" a="1"/>
  <c r="D906" i="8" s="1"/>
  <c r="B905" i="8"/>
  <c r="D905" i="8" s="1" a="1"/>
  <c r="D905" i="8" s="1"/>
  <c r="B904" i="8"/>
  <c r="D904" i="8" s="1" a="1"/>
  <c r="D904" i="8" s="1"/>
  <c r="B903" i="8"/>
  <c r="D903" i="8" s="1" a="1"/>
  <c r="D903" i="8" s="1"/>
  <c r="B902" i="8"/>
  <c r="D902" i="8" s="1" a="1"/>
  <c r="D902" i="8" s="1"/>
  <c r="B901" i="8"/>
  <c r="D901" i="8" s="1" a="1"/>
  <c r="D901" i="8" s="1"/>
  <c r="B900" i="8"/>
  <c r="D900" i="8" s="1" a="1"/>
  <c r="D900" i="8" s="1"/>
  <c r="B899" i="8"/>
  <c r="D899" i="8" s="1" a="1"/>
  <c r="D899" i="8" s="1"/>
  <c r="B898" i="8"/>
  <c r="D898" i="8" s="1" a="1"/>
  <c r="D898" i="8" s="1"/>
  <c r="B897" i="8"/>
  <c r="D897" i="8" s="1" a="1"/>
  <c r="D897" i="8" s="1"/>
  <c r="B896" i="8"/>
  <c r="D896" i="8" s="1" a="1"/>
  <c r="D896" i="8" s="1"/>
  <c r="B895" i="8"/>
  <c r="D895" i="8" s="1" a="1"/>
  <c r="D895" i="8" s="1"/>
  <c r="B894" i="8"/>
  <c r="D894" i="8" s="1" a="1"/>
  <c r="D894" i="8" s="1"/>
  <c r="B893" i="8"/>
  <c r="D893" i="8" s="1" a="1"/>
  <c r="D893" i="8" s="1"/>
  <c r="B892" i="8"/>
  <c r="D892" i="8" s="1" a="1"/>
  <c r="D892" i="8" s="1"/>
  <c r="B891" i="8"/>
  <c r="D891" i="8" s="1" a="1"/>
  <c r="D891" i="8" s="1"/>
  <c r="B890" i="8"/>
  <c r="D890" i="8" s="1" a="1"/>
  <c r="D890" i="8" s="1"/>
  <c r="B889" i="8"/>
  <c r="D889" i="8" s="1" a="1"/>
  <c r="D889" i="8" s="1"/>
  <c r="B888" i="8"/>
  <c r="D888" i="8" s="1" a="1"/>
  <c r="D888" i="8" s="1"/>
  <c r="B887" i="8"/>
  <c r="D887" i="8" s="1" a="1"/>
  <c r="D887" i="8" s="1"/>
  <c r="B886" i="8"/>
  <c r="D886" i="8" s="1" a="1"/>
  <c r="D886" i="8" s="1"/>
  <c r="B885" i="8"/>
  <c r="D885" i="8" s="1" a="1"/>
  <c r="D885" i="8" s="1"/>
  <c r="B884" i="8"/>
  <c r="D884" i="8" s="1" a="1"/>
  <c r="D884" i="8" s="1"/>
  <c r="B883" i="8"/>
  <c r="D883" i="8" s="1" a="1"/>
  <c r="D883" i="8" s="1"/>
  <c r="B882" i="8"/>
  <c r="D882" i="8" s="1" a="1"/>
  <c r="D882" i="8" s="1"/>
  <c r="B881" i="8"/>
  <c r="D881" i="8" s="1" a="1"/>
  <c r="D881" i="8" s="1"/>
  <c r="B880" i="8"/>
  <c r="D880" i="8" s="1" a="1"/>
  <c r="D880" i="8" s="1"/>
  <c r="B879" i="8"/>
  <c r="D879" i="8" s="1" a="1"/>
  <c r="D879" i="8" s="1"/>
  <c r="B878" i="8"/>
  <c r="D878" i="8" s="1" a="1"/>
  <c r="D878" i="8" s="1"/>
  <c r="B877" i="8"/>
  <c r="D877" i="8" s="1" a="1"/>
  <c r="D877" i="8" s="1"/>
  <c r="B876" i="8"/>
  <c r="D876" i="8" s="1" a="1"/>
  <c r="D876" i="8" s="1"/>
  <c r="B875" i="8"/>
  <c r="D875" i="8" s="1" a="1"/>
  <c r="D875" i="8" s="1"/>
  <c r="B874" i="8"/>
  <c r="D874" i="8" s="1" a="1"/>
  <c r="D874" i="8" s="1"/>
  <c r="B873" i="8"/>
  <c r="D873" i="8" s="1" a="1"/>
  <c r="D873" i="8" s="1"/>
  <c r="B872" i="8"/>
  <c r="D872" i="8" s="1" a="1"/>
  <c r="D872" i="8" s="1"/>
  <c r="B871" i="8"/>
  <c r="D871" i="8" s="1" a="1"/>
  <c r="D871" i="8" s="1"/>
  <c r="B870" i="8"/>
  <c r="D870" i="8" s="1" a="1"/>
  <c r="D870" i="8" s="1"/>
  <c r="B869" i="8"/>
  <c r="D869" i="8" s="1" a="1"/>
  <c r="D869" i="8" s="1"/>
  <c r="B868" i="8"/>
  <c r="D868" i="8" s="1" a="1"/>
  <c r="D868" i="8" s="1"/>
  <c r="B867" i="8"/>
  <c r="D867" i="8" s="1" a="1"/>
  <c r="D867" i="8" s="1"/>
  <c r="B866" i="8"/>
  <c r="D866" i="8" s="1" a="1"/>
  <c r="D866" i="8" s="1"/>
  <c r="B865" i="8"/>
  <c r="D865" i="8" s="1" a="1"/>
  <c r="D865" i="8" s="1"/>
  <c r="B864" i="8"/>
  <c r="D864" i="8" s="1" a="1"/>
  <c r="D864" i="8" s="1"/>
  <c r="B863" i="8"/>
  <c r="D863" i="8" s="1" a="1"/>
  <c r="D863" i="8" s="1"/>
  <c r="B862" i="8"/>
  <c r="D862" i="8" s="1" a="1"/>
  <c r="D862" i="8" s="1"/>
  <c r="B861" i="8"/>
  <c r="D861" i="8" s="1" a="1"/>
  <c r="D861" i="8" s="1"/>
  <c r="B860" i="8"/>
  <c r="D860" i="8" s="1" a="1"/>
  <c r="D860" i="8" s="1"/>
  <c r="B859" i="8"/>
  <c r="D859" i="8" s="1" a="1"/>
  <c r="D859" i="8" s="1"/>
  <c r="B858" i="8"/>
  <c r="D858" i="8" s="1" a="1"/>
  <c r="D858" i="8" s="1"/>
  <c r="B857" i="8"/>
  <c r="D857" i="8" s="1" a="1"/>
  <c r="D857" i="8" s="1"/>
  <c r="B856" i="8"/>
  <c r="D856" i="8" s="1" a="1"/>
  <c r="D856" i="8" s="1"/>
  <c r="B855" i="8"/>
  <c r="D855" i="8" s="1" a="1"/>
  <c r="D855" i="8" s="1"/>
  <c r="B854" i="8"/>
  <c r="D854" i="8" s="1" a="1"/>
  <c r="D854" i="8" s="1"/>
  <c r="B853" i="8"/>
  <c r="D853" i="8" s="1" a="1"/>
  <c r="D853" i="8" s="1"/>
  <c r="B852" i="8"/>
  <c r="D852" i="8" s="1" a="1"/>
  <c r="D852" i="8" s="1"/>
  <c r="B851" i="8"/>
  <c r="D851" i="8" s="1" a="1"/>
  <c r="D851" i="8" s="1"/>
  <c r="B850" i="8"/>
  <c r="D850" i="8" s="1" a="1"/>
  <c r="D850" i="8" s="1"/>
  <c r="B849" i="8"/>
  <c r="D849" i="8" s="1" a="1"/>
  <c r="D849" i="8" s="1"/>
  <c r="B848" i="8"/>
  <c r="D848" i="8" s="1" a="1"/>
  <c r="D848" i="8" s="1"/>
  <c r="B847" i="8"/>
  <c r="D847" i="8" s="1" a="1"/>
  <c r="D847" i="8" s="1"/>
  <c r="B846" i="8"/>
  <c r="D846" i="8" s="1" a="1"/>
  <c r="D846" i="8" s="1"/>
  <c r="B845" i="8"/>
  <c r="D845" i="8" s="1" a="1"/>
  <c r="D845" i="8" s="1"/>
  <c r="B844" i="8"/>
  <c r="D844" i="8" s="1" a="1"/>
  <c r="D844" i="8" s="1"/>
  <c r="B843" i="8"/>
  <c r="D843" i="8" s="1" a="1"/>
  <c r="D843" i="8" s="1"/>
  <c r="B842" i="8"/>
  <c r="D842" i="8" s="1" a="1"/>
  <c r="D842" i="8" s="1"/>
  <c r="B841" i="8"/>
  <c r="D841" i="8" s="1" a="1"/>
  <c r="D841" i="8" s="1"/>
  <c r="B840" i="8"/>
  <c r="D840" i="8" s="1" a="1"/>
  <c r="D840" i="8" s="1"/>
  <c r="B839" i="8"/>
  <c r="D839" i="8" s="1" a="1"/>
  <c r="D839" i="8" s="1"/>
  <c r="B838" i="8"/>
  <c r="D838" i="8" s="1" a="1"/>
  <c r="D838" i="8" s="1"/>
  <c r="B837" i="8"/>
  <c r="D837" i="8" s="1" a="1"/>
  <c r="D837" i="8" s="1"/>
  <c r="B836" i="8"/>
  <c r="D836" i="8" s="1" a="1"/>
  <c r="D836" i="8" s="1"/>
  <c r="B835" i="8"/>
  <c r="D835" i="8" s="1" a="1"/>
  <c r="D835" i="8" s="1"/>
  <c r="B834" i="8"/>
  <c r="D834" i="8" s="1" a="1"/>
  <c r="D834" i="8" s="1"/>
  <c r="B833" i="8"/>
  <c r="D833" i="8" s="1" a="1"/>
  <c r="D833" i="8" s="1"/>
  <c r="B832" i="8"/>
  <c r="D832" i="8" s="1" a="1"/>
  <c r="D832" i="8" s="1"/>
  <c r="B831" i="8"/>
  <c r="D831" i="8" s="1" a="1"/>
  <c r="D831" i="8" s="1"/>
  <c r="B830" i="8"/>
  <c r="D830" i="8" s="1" a="1"/>
  <c r="D830" i="8" s="1"/>
  <c r="B829" i="8"/>
  <c r="D829" i="8" s="1" a="1"/>
  <c r="D829" i="8" s="1"/>
  <c r="B828" i="8"/>
  <c r="D828" i="8" s="1" a="1"/>
  <c r="D828" i="8" s="1"/>
  <c r="B827" i="8"/>
  <c r="D827" i="8" s="1" a="1"/>
  <c r="D827" i="8" s="1"/>
  <c r="B826" i="8"/>
  <c r="D826" i="8" s="1" a="1"/>
  <c r="D826" i="8" s="1"/>
  <c r="B825" i="8"/>
  <c r="D825" i="8" s="1" a="1"/>
  <c r="D825" i="8" s="1"/>
  <c r="B824" i="8"/>
  <c r="D824" i="8" s="1" a="1"/>
  <c r="D824" i="8" s="1"/>
  <c r="B823" i="8"/>
  <c r="D823" i="8" s="1" a="1"/>
  <c r="D823" i="8" s="1"/>
  <c r="B822" i="8"/>
  <c r="D822" i="8" s="1" a="1"/>
  <c r="D822" i="8" s="1"/>
  <c r="B821" i="8"/>
  <c r="D821" i="8" s="1" a="1"/>
  <c r="D821" i="8" s="1"/>
  <c r="B820" i="8"/>
  <c r="D820" i="8" s="1" a="1"/>
  <c r="D820" i="8" s="1"/>
  <c r="B819" i="8"/>
  <c r="D819" i="8" s="1" a="1"/>
  <c r="D819" i="8" s="1"/>
  <c r="B818" i="8"/>
  <c r="D818" i="8" s="1" a="1"/>
  <c r="D818" i="8" s="1"/>
  <c r="B817" i="8"/>
  <c r="D817" i="8" s="1" a="1"/>
  <c r="D817" i="8" s="1"/>
  <c r="B816" i="8"/>
  <c r="D816" i="8" s="1" a="1"/>
  <c r="D816" i="8" s="1"/>
  <c r="B815" i="8"/>
  <c r="D815" i="8" s="1" a="1"/>
  <c r="D815" i="8" s="1"/>
  <c r="B814" i="8"/>
  <c r="D814" i="8" s="1" a="1"/>
  <c r="D814" i="8" s="1"/>
  <c r="B813" i="8"/>
  <c r="D813" i="8" s="1" a="1"/>
  <c r="D813" i="8" s="1"/>
  <c r="B812" i="8"/>
  <c r="D812" i="8" s="1" a="1"/>
  <c r="D812" i="8" s="1"/>
  <c r="B811" i="8"/>
  <c r="D811" i="8" s="1" a="1"/>
  <c r="D811" i="8" s="1"/>
  <c r="B810" i="8"/>
  <c r="D810" i="8" s="1" a="1"/>
  <c r="D810" i="8" s="1"/>
  <c r="B809" i="8"/>
  <c r="D809" i="8" s="1" a="1"/>
  <c r="D809" i="8" s="1"/>
  <c r="B808" i="8"/>
  <c r="D808" i="8" s="1" a="1"/>
  <c r="D808" i="8" s="1"/>
  <c r="B807" i="8"/>
  <c r="D807" i="8" s="1" a="1"/>
  <c r="D807" i="8" s="1"/>
  <c r="B806" i="8"/>
  <c r="D806" i="8" s="1" a="1"/>
  <c r="D806" i="8" s="1"/>
  <c r="B805" i="8"/>
  <c r="D805" i="8" s="1" a="1"/>
  <c r="D805" i="8" s="1"/>
  <c r="B804" i="8"/>
  <c r="D804" i="8" s="1" a="1"/>
  <c r="D804" i="8" s="1"/>
  <c r="B803" i="8"/>
  <c r="D803" i="8" s="1" a="1"/>
  <c r="D803" i="8" s="1"/>
  <c r="B802" i="8"/>
  <c r="D802" i="8" s="1" a="1"/>
  <c r="D802" i="8" s="1"/>
  <c r="B801" i="8"/>
  <c r="D801" i="8" s="1" a="1"/>
  <c r="D801" i="8" s="1"/>
  <c r="B800" i="8"/>
  <c r="D800" i="8" s="1" a="1"/>
  <c r="D800" i="8" s="1"/>
  <c r="B799" i="8"/>
  <c r="D799" i="8" s="1" a="1"/>
  <c r="D799" i="8" s="1"/>
  <c r="B798" i="8"/>
  <c r="D798" i="8" s="1" a="1"/>
  <c r="D798" i="8" s="1"/>
  <c r="B797" i="8"/>
  <c r="D797" i="8" s="1" a="1"/>
  <c r="D797" i="8" s="1"/>
  <c r="B796" i="8"/>
  <c r="D796" i="8" s="1" a="1"/>
  <c r="D796" i="8" s="1"/>
  <c r="B795" i="8"/>
  <c r="D795" i="8" s="1" a="1"/>
  <c r="D795" i="8" s="1"/>
  <c r="B794" i="8"/>
  <c r="D794" i="8" s="1" a="1"/>
  <c r="D794" i="8" s="1"/>
  <c r="B793" i="8"/>
  <c r="D793" i="8" s="1" a="1"/>
  <c r="D793" i="8" s="1"/>
  <c r="B792" i="8"/>
  <c r="D792" i="8" s="1" a="1"/>
  <c r="D792" i="8" s="1"/>
  <c r="B791" i="8"/>
  <c r="D791" i="8" s="1" a="1"/>
  <c r="D791" i="8" s="1"/>
  <c r="B790" i="8"/>
  <c r="D790" i="8" s="1" a="1"/>
  <c r="D790" i="8" s="1"/>
  <c r="B789" i="8"/>
  <c r="D789" i="8" s="1" a="1"/>
  <c r="D789" i="8" s="1"/>
  <c r="B788" i="8"/>
  <c r="D788" i="8" s="1" a="1"/>
  <c r="D788" i="8" s="1"/>
  <c r="B787" i="8"/>
  <c r="D787" i="8" s="1" a="1"/>
  <c r="D787" i="8" s="1"/>
  <c r="B786" i="8"/>
  <c r="D786" i="8" s="1" a="1"/>
  <c r="D786" i="8" s="1"/>
  <c r="B785" i="8"/>
  <c r="D785" i="8" s="1" a="1"/>
  <c r="D785" i="8" s="1"/>
  <c r="B784" i="8"/>
  <c r="D784" i="8" s="1" a="1"/>
  <c r="D784" i="8" s="1"/>
  <c r="B783" i="8"/>
  <c r="D783" i="8" s="1" a="1"/>
  <c r="D783" i="8" s="1"/>
  <c r="B782" i="8"/>
  <c r="D782" i="8" s="1" a="1"/>
  <c r="D782" i="8" s="1"/>
  <c r="B781" i="8"/>
  <c r="D781" i="8" s="1" a="1"/>
  <c r="D781" i="8" s="1"/>
  <c r="B780" i="8"/>
  <c r="D780" i="8" s="1" a="1"/>
  <c r="D780" i="8" s="1"/>
  <c r="B779" i="8"/>
  <c r="D779" i="8" s="1" a="1"/>
  <c r="D779" i="8" s="1"/>
  <c r="B778" i="8"/>
  <c r="D778" i="8" s="1" a="1"/>
  <c r="D778" i="8" s="1"/>
  <c r="B777" i="8"/>
  <c r="D777" i="8" s="1" a="1"/>
  <c r="D777" i="8" s="1"/>
  <c r="B776" i="8"/>
  <c r="D776" i="8" s="1" a="1"/>
  <c r="D776" i="8" s="1"/>
  <c r="B775" i="8"/>
  <c r="D775" i="8" s="1" a="1"/>
  <c r="D775" i="8" s="1"/>
  <c r="B774" i="8"/>
  <c r="D774" i="8" s="1" a="1"/>
  <c r="D774" i="8" s="1"/>
  <c r="B773" i="8"/>
  <c r="D773" i="8" s="1" a="1"/>
  <c r="D773" i="8" s="1"/>
  <c r="B772" i="8"/>
  <c r="D772" i="8" s="1" a="1"/>
  <c r="D772" i="8" s="1"/>
  <c r="B771" i="8"/>
  <c r="D771" i="8" s="1" a="1"/>
  <c r="D771" i="8" s="1"/>
  <c r="B770" i="8"/>
  <c r="D770" i="8" s="1" a="1"/>
  <c r="D770" i="8" s="1"/>
  <c r="B769" i="8"/>
  <c r="D769" i="8" s="1" a="1"/>
  <c r="D769" i="8" s="1"/>
  <c r="B768" i="8"/>
  <c r="D768" i="8" s="1" a="1"/>
  <c r="D768" i="8" s="1"/>
  <c r="B767" i="8"/>
  <c r="D767" i="8" s="1" a="1"/>
  <c r="D767" i="8" s="1"/>
  <c r="B766" i="8"/>
  <c r="D766" i="8" s="1" a="1"/>
  <c r="D766" i="8" s="1"/>
  <c r="B765" i="8"/>
  <c r="D765" i="8" s="1" a="1"/>
  <c r="D765" i="8" s="1"/>
  <c r="B764" i="8"/>
  <c r="D764" i="8" s="1" a="1"/>
  <c r="D764" i="8" s="1"/>
  <c r="B763" i="8"/>
  <c r="D763" i="8" s="1" a="1"/>
  <c r="D763" i="8" s="1"/>
  <c r="B762" i="8"/>
  <c r="D762" i="8" s="1" a="1"/>
  <c r="D762" i="8" s="1"/>
  <c r="B761" i="8"/>
  <c r="D761" i="8" s="1" a="1"/>
  <c r="D761" i="8" s="1"/>
  <c r="B760" i="8"/>
  <c r="D760" i="8" s="1" a="1"/>
  <c r="D760" i="8" s="1"/>
  <c r="B759" i="8"/>
  <c r="D759" i="8" s="1" a="1"/>
  <c r="D759" i="8" s="1"/>
  <c r="B758" i="8"/>
  <c r="D758" i="8" s="1" a="1"/>
  <c r="D758" i="8" s="1"/>
  <c r="B757" i="8"/>
  <c r="D757" i="8" s="1" a="1"/>
  <c r="D757" i="8" s="1"/>
  <c r="B756" i="8"/>
  <c r="D756" i="8" s="1" a="1"/>
  <c r="D756" i="8" s="1"/>
  <c r="B755" i="8"/>
  <c r="D755" i="8" s="1" a="1"/>
  <c r="D755" i="8" s="1"/>
  <c r="B754" i="8"/>
  <c r="D754" i="8" s="1" a="1"/>
  <c r="D754" i="8" s="1"/>
  <c r="B753" i="8"/>
  <c r="D753" i="8" s="1" a="1"/>
  <c r="D753" i="8" s="1"/>
  <c r="B752" i="8"/>
  <c r="D752" i="8" s="1" a="1"/>
  <c r="D752" i="8" s="1"/>
  <c r="B751" i="8"/>
  <c r="D751" i="8" s="1" a="1"/>
  <c r="D751" i="8" s="1"/>
  <c r="B750" i="8"/>
  <c r="D750" i="8" s="1" a="1"/>
  <c r="D750" i="8" s="1"/>
  <c r="B749" i="8"/>
  <c r="D749" i="8" s="1" a="1"/>
  <c r="D749" i="8" s="1"/>
  <c r="B748" i="8"/>
  <c r="D748" i="8" s="1" a="1"/>
  <c r="D748" i="8" s="1"/>
  <c r="B747" i="8"/>
  <c r="D747" i="8" s="1" a="1"/>
  <c r="D747" i="8" s="1"/>
  <c r="B746" i="8"/>
  <c r="D746" i="8" s="1" a="1"/>
  <c r="D746" i="8" s="1"/>
  <c r="B745" i="8"/>
  <c r="D745" i="8" s="1" a="1"/>
  <c r="D745" i="8" s="1"/>
  <c r="B744" i="8"/>
  <c r="D744" i="8" s="1" a="1"/>
  <c r="D744" i="8" s="1"/>
  <c r="B743" i="8"/>
  <c r="D743" i="8" s="1" a="1"/>
  <c r="D743" i="8" s="1"/>
  <c r="B742" i="8"/>
  <c r="D742" i="8" s="1" a="1"/>
  <c r="D742" i="8" s="1"/>
  <c r="B741" i="8"/>
  <c r="D741" i="8" s="1" a="1"/>
  <c r="D741" i="8" s="1"/>
  <c r="B740" i="8"/>
  <c r="D740" i="8" s="1" a="1"/>
  <c r="D740" i="8" s="1"/>
  <c r="B739" i="8"/>
  <c r="D739" i="8" s="1" a="1"/>
  <c r="D739" i="8" s="1"/>
  <c r="B738" i="8"/>
  <c r="D738" i="8" s="1" a="1"/>
  <c r="D738" i="8" s="1"/>
  <c r="B737" i="8"/>
  <c r="D737" i="8" s="1" a="1"/>
  <c r="D737" i="8" s="1"/>
  <c r="B736" i="8"/>
  <c r="D736" i="8" s="1" a="1"/>
  <c r="D736" i="8" s="1"/>
  <c r="B735" i="8"/>
  <c r="D735" i="8" s="1" a="1"/>
  <c r="D735" i="8" s="1"/>
  <c r="B734" i="8"/>
  <c r="D734" i="8" s="1" a="1"/>
  <c r="D734" i="8" s="1"/>
  <c r="B733" i="8"/>
  <c r="D733" i="8" s="1" a="1"/>
  <c r="D733" i="8" s="1"/>
  <c r="B732" i="8"/>
  <c r="D732" i="8" s="1" a="1"/>
  <c r="D732" i="8" s="1"/>
  <c r="B731" i="8"/>
  <c r="D731" i="8" s="1" a="1"/>
  <c r="D731" i="8" s="1"/>
  <c r="B730" i="8"/>
  <c r="D730" i="8" s="1" a="1"/>
  <c r="D730" i="8" s="1"/>
  <c r="B729" i="8"/>
  <c r="D729" i="8" s="1" a="1"/>
  <c r="D729" i="8" s="1"/>
  <c r="B728" i="8"/>
  <c r="D728" i="8" s="1" a="1"/>
  <c r="D728" i="8" s="1"/>
  <c r="B727" i="8"/>
  <c r="D727" i="8" s="1" a="1"/>
  <c r="D727" i="8" s="1"/>
  <c r="B726" i="8"/>
  <c r="D726" i="8" s="1" a="1"/>
  <c r="D726" i="8" s="1"/>
  <c r="B725" i="8"/>
  <c r="D725" i="8" s="1" a="1"/>
  <c r="D725" i="8" s="1"/>
  <c r="B724" i="8"/>
  <c r="D724" i="8" s="1" a="1"/>
  <c r="D724" i="8" s="1"/>
  <c r="B723" i="8"/>
  <c r="D723" i="8" s="1" a="1"/>
  <c r="D723" i="8" s="1"/>
  <c r="B722" i="8"/>
  <c r="D722" i="8" s="1" a="1"/>
  <c r="D722" i="8" s="1"/>
  <c r="B721" i="8"/>
  <c r="D721" i="8" s="1" a="1"/>
  <c r="D721" i="8" s="1"/>
  <c r="B720" i="8"/>
  <c r="D720" i="8" s="1" a="1"/>
  <c r="D720" i="8" s="1"/>
  <c r="B719" i="8"/>
  <c r="D719" i="8" s="1" a="1"/>
  <c r="D719" i="8" s="1"/>
  <c r="B718" i="8"/>
  <c r="D718" i="8" s="1" a="1"/>
  <c r="D718" i="8" s="1"/>
  <c r="B717" i="8"/>
  <c r="D717" i="8" s="1" a="1"/>
  <c r="D717" i="8" s="1"/>
  <c r="B716" i="8"/>
  <c r="D716" i="8" s="1" a="1"/>
  <c r="D716" i="8" s="1"/>
  <c r="B715" i="8"/>
  <c r="D715" i="8" s="1" a="1"/>
  <c r="D715" i="8" s="1"/>
  <c r="B714" i="8"/>
  <c r="D714" i="8" s="1" a="1"/>
  <c r="D714" i="8" s="1"/>
  <c r="B713" i="8"/>
  <c r="D713" i="8" s="1" a="1"/>
  <c r="D713" i="8" s="1"/>
  <c r="B712" i="8"/>
  <c r="D712" i="8" s="1" a="1"/>
  <c r="D712" i="8" s="1"/>
  <c r="B711" i="8"/>
  <c r="D711" i="8" s="1" a="1"/>
  <c r="D711" i="8" s="1"/>
  <c r="B710" i="8"/>
  <c r="D710" i="8" s="1" a="1"/>
  <c r="D710" i="8" s="1"/>
  <c r="B709" i="8"/>
  <c r="D709" i="8" s="1" a="1"/>
  <c r="D709" i="8" s="1"/>
  <c r="B708" i="8"/>
  <c r="D708" i="8" s="1" a="1"/>
  <c r="D708" i="8" s="1"/>
  <c r="B707" i="8"/>
  <c r="D707" i="8" s="1" a="1"/>
  <c r="D707" i="8" s="1"/>
  <c r="B706" i="8"/>
  <c r="D706" i="8" s="1" a="1"/>
  <c r="D706" i="8" s="1"/>
  <c r="B705" i="8"/>
  <c r="D705" i="8" s="1" a="1"/>
  <c r="D705" i="8" s="1"/>
  <c r="B704" i="8"/>
  <c r="D704" i="8" s="1" a="1"/>
  <c r="D704" i="8" s="1"/>
  <c r="B703" i="8"/>
  <c r="D703" i="8" s="1" a="1"/>
  <c r="D703" i="8" s="1"/>
  <c r="B702" i="8"/>
  <c r="D702" i="8" s="1" a="1"/>
  <c r="D702" i="8" s="1"/>
  <c r="B701" i="8"/>
  <c r="D701" i="8" s="1" a="1"/>
  <c r="D701" i="8" s="1"/>
  <c r="B700" i="8"/>
  <c r="D700" i="8" s="1" a="1"/>
  <c r="D700" i="8" s="1"/>
  <c r="B699" i="8"/>
  <c r="D699" i="8" s="1" a="1"/>
  <c r="D699" i="8" s="1"/>
  <c r="B698" i="8"/>
  <c r="D698" i="8" s="1" a="1"/>
  <c r="D698" i="8" s="1"/>
  <c r="B697" i="8"/>
  <c r="D697" i="8" s="1" a="1"/>
  <c r="D697" i="8" s="1"/>
  <c r="B696" i="8"/>
  <c r="D696" i="8" s="1" a="1"/>
  <c r="D696" i="8" s="1"/>
  <c r="B695" i="8"/>
  <c r="D695" i="8" s="1" a="1"/>
  <c r="D695" i="8" s="1"/>
  <c r="B694" i="8"/>
  <c r="D694" i="8" s="1" a="1"/>
  <c r="D694" i="8" s="1"/>
  <c r="B693" i="8"/>
  <c r="D693" i="8" s="1" a="1"/>
  <c r="D693" i="8" s="1"/>
  <c r="B692" i="8"/>
  <c r="D692" i="8" s="1" a="1"/>
  <c r="D692" i="8" s="1"/>
  <c r="B691" i="8"/>
  <c r="D691" i="8" s="1" a="1"/>
  <c r="D691" i="8" s="1"/>
  <c r="B690" i="8"/>
  <c r="D690" i="8" s="1" a="1"/>
  <c r="D690" i="8" s="1"/>
  <c r="B689" i="8"/>
  <c r="D689" i="8" s="1" a="1"/>
  <c r="D689" i="8" s="1"/>
  <c r="B688" i="8"/>
  <c r="D688" i="8" s="1" a="1"/>
  <c r="D688" i="8" s="1"/>
  <c r="B687" i="8"/>
  <c r="D687" i="8" s="1" a="1"/>
  <c r="D687" i="8" s="1"/>
  <c r="B686" i="8"/>
  <c r="D686" i="8" s="1" a="1"/>
  <c r="D686" i="8" s="1"/>
  <c r="B685" i="8"/>
  <c r="D685" i="8" s="1" a="1"/>
  <c r="D685" i="8" s="1"/>
  <c r="B684" i="8"/>
  <c r="D684" i="8" s="1" a="1"/>
  <c r="D684" i="8" s="1"/>
  <c r="B683" i="8"/>
  <c r="D683" i="8" s="1" a="1"/>
  <c r="D683" i="8" s="1"/>
  <c r="B682" i="8"/>
  <c r="D682" i="8" s="1" a="1"/>
  <c r="D682" i="8" s="1"/>
  <c r="B681" i="8"/>
  <c r="D681" i="8" s="1" a="1"/>
  <c r="D681" i="8" s="1"/>
  <c r="B680" i="8"/>
  <c r="D680" i="8" s="1" a="1"/>
  <c r="D680" i="8" s="1"/>
  <c r="B679" i="8"/>
  <c r="D679" i="8" s="1" a="1"/>
  <c r="D679" i="8" s="1"/>
  <c r="B678" i="8"/>
  <c r="D678" i="8" s="1" a="1"/>
  <c r="D678" i="8" s="1"/>
  <c r="B677" i="8"/>
  <c r="D677" i="8" s="1" a="1"/>
  <c r="D677" i="8" s="1"/>
  <c r="B676" i="8"/>
  <c r="D676" i="8" s="1" a="1"/>
  <c r="D676" i="8" s="1"/>
  <c r="B675" i="8"/>
  <c r="D675" i="8" s="1" a="1"/>
  <c r="D675" i="8" s="1"/>
  <c r="B674" i="8"/>
  <c r="D674" i="8" s="1" a="1"/>
  <c r="D674" i="8" s="1"/>
  <c r="B673" i="8"/>
  <c r="D673" i="8" s="1" a="1"/>
  <c r="D673" i="8" s="1"/>
  <c r="B672" i="8"/>
  <c r="D672" i="8" s="1" a="1"/>
  <c r="D672" i="8" s="1"/>
  <c r="B671" i="8"/>
  <c r="D671" i="8" s="1" a="1"/>
  <c r="D671" i="8" s="1"/>
  <c r="B670" i="8"/>
  <c r="D670" i="8" s="1" a="1"/>
  <c r="D670" i="8" s="1"/>
  <c r="B669" i="8"/>
  <c r="D669" i="8" s="1" a="1"/>
  <c r="D669" i="8" s="1"/>
  <c r="B668" i="8"/>
  <c r="D668" i="8" s="1" a="1"/>
  <c r="D668" i="8" s="1"/>
  <c r="B667" i="8"/>
  <c r="D667" i="8" s="1" a="1"/>
  <c r="D667" i="8" s="1"/>
  <c r="B666" i="8"/>
  <c r="D666" i="8" s="1" a="1"/>
  <c r="D666" i="8" s="1"/>
  <c r="B665" i="8"/>
  <c r="D665" i="8" s="1" a="1"/>
  <c r="D665" i="8" s="1"/>
  <c r="B664" i="8"/>
  <c r="D664" i="8" s="1" a="1"/>
  <c r="D664" i="8" s="1"/>
  <c r="B663" i="8"/>
  <c r="D663" i="8" s="1" a="1"/>
  <c r="D663" i="8" s="1"/>
  <c r="B662" i="8"/>
  <c r="D662" i="8" s="1" a="1"/>
  <c r="D662" i="8" s="1"/>
  <c r="B661" i="8"/>
  <c r="D661" i="8" s="1" a="1"/>
  <c r="D661" i="8" s="1"/>
  <c r="B660" i="8"/>
  <c r="D660" i="8" s="1" a="1"/>
  <c r="D660" i="8" s="1"/>
  <c r="B659" i="8"/>
  <c r="D659" i="8" s="1" a="1"/>
  <c r="D659" i="8" s="1"/>
  <c r="B658" i="8"/>
  <c r="D658" i="8" s="1" a="1"/>
  <c r="D658" i="8" s="1"/>
  <c r="B657" i="8"/>
  <c r="D657" i="8" s="1" a="1"/>
  <c r="D657" i="8" s="1"/>
  <c r="B656" i="8"/>
  <c r="D656" i="8" s="1" a="1"/>
  <c r="D656" i="8" s="1"/>
  <c r="B655" i="8"/>
  <c r="D655" i="8" s="1" a="1"/>
  <c r="D655" i="8" s="1"/>
  <c r="B654" i="8"/>
  <c r="D654" i="8" s="1" a="1"/>
  <c r="D654" i="8" s="1"/>
  <c r="B653" i="8"/>
  <c r="D653" i="8" s="1" a="1"/>
  <c r="D653" i="8" s="1"/>
  <c r="B652" i="8"/>
  <c r="D652" i="8" s="1" a="1"/>
  <c r="D652" i="8" s="1"/>
  <c r="B651" i="8"/>
  <c r="D651" i="8" s="1" a="1"/>
  <c r="D651" i="8" s="1"/>
  <c r="B650" i="8"/>
  <c r="D650" i="8" s="1" a="1"/>
  <c r="D650" i="8" s="1"/>
  <c r="B649" i="8"/>
  <c r="D649" i="8" s="1" a="1"/>
  <c r="D649" i="8" s="1"/>
  <c r="B648" i="8"/>
  <c r="D648" i="8" s="1" a="1"/>
  <c r="D648" i="8" s="1"/>
  <c r="B647" i="8"/>
  <c r="D647" i="8" s="1" a="1"/>
  <c r="D647" i="8" s="1"/>
  <c r="B646" i="8"/>
  <c r="D646" i="8" s="1" a="1"/>
  <c r="D646" i="8" s="1"/>
  <c r="B645" i="8"/>
  <c r="D645" i="8" s="1" a="1"/>
  <c r="D645" i="8" s="1"/>
  <c r="B644" i="8"/>
  <c r="D644" i="8" s="1" a="1"/>
  <c r="D644" i="8" s="1"/>
  <c r="B643" i="8"/>
  <c r="D643" i="8" s="1" a="1"/>
  <c r="D643" i="8" s="1"/>
  <c r="B642" i="8"/>
  <c r="D642" i="8" s="1" a="1"/>
  <c r="D642" i="8" s="1"/>
  <c r="B641" i="8"/>
  <c r="D641" i="8" s="1" a="1"/>
  <c r="D641" i="8" s="1"/>
  <c r="B640" i="8"/>
  <c r="D640" i="8" s="1" a="1"/>
  <c r="D640" i="8" s="1"/>
  <c r="B639" i="8"/>
  <c r="D639" i="8" s="1" a="1"/>
  <c r="D639" i="8" s="1"/>
  <c r="B638" i="8"/>
  <c r="D638" i="8" s="1" a="1"/>
  <c r="D638" i="8" s="1"/>
  <c r="B637" i="8"/>
  <c r="D637" i="8" s="1" a="1"/>
  <c r="D637" i="8" s="1"/>
  <c r="B636" i="8"/>
  <c r="D636" i="8" s="1" a="1"/>
  <c r="D636" i="8" s="1"/>
  <c r="B635" i="8"/>
  <c r="D635" i="8" s="1" a="1"/>
  <c r="D635" i="8" s="1"/>
  <c r="B634" i="8"/>
  <c r="D634" i="8" s="1" a="1"/>
  <c r="D634" i="8" s="1"/>
  <c r="B633" i="8"/>
  <c r="D633" i="8" s="1" a="1"/>
  <c r="D633" i="8" s="1"/>
  <c r="B632" i="8"/>
  <c r="D632" i="8" s="1" a="1"/>
  <c r="D632" i="8" s="1"/>
  <c r="B631" i="8"/>
  <c r="D631" i="8" s="1" a="1"/>
  <c r="D631" i="8" s="1"/>
  <c r="B630" i="8"/>
  <c r="D630" i="8" s="1" a="1"/>
  <c r="D630" i="8" s="1"/>
  <c r="B629" i="8"/>
  <c r="D629" i="8" s="1" a="1"/>
  <c r="D629" i="8" s="1"/>
  <c r="B628" i="8"/>
  <c r="D628" i="8" s="1" a="1"/>
  <c r="D628" i="8" s="1"/>
  <c r="B627" i="8"/>
  <c r="D627" i="8" s="1" a="1"/>
  <c r="D627" i="8" s="1"/>
  <c r="B626" i="8"/>
  <c r="D626" i="8" s="1" a="1"/>
  <c r="D626" i="8" s="1"/>
  <c r="B625" i="8"/>
  <c r="D625" i="8" s="1" a="1"/>
  <c r="D625" i="8" s="1"/>
  <c r="B624" i="8"/>
  <c r="D624" i="8" s="1" a="1"/>
  <c r="D624" i="8" s="1"/>
  <c r="B623" i="8"/>
  <c r="D623" i="8" s="1" a="1"/>
  <c r="D623" i="8" s="1"/>
  <c r="B622" i="8"/>
  <c r="D622" i="8" s="1" a="1"/>
  <c r="D622" i="8" s="1"/>
  <c r="B621" i="8"/>
  <c r="D621" i="8" s="1" a="1"/>
  <c r="D621" i="8" s="1"/>
  <c r="B620" i="8"/>
  <c r="D620" i="8" s="1" a="1"/>
  <c r="D620" i="8" s="1"/>
  <c r="B619" i="8"/>
  <c r="D619" i="8" s="1" a="1"/>
  <c r="D619" i="8" s="1"/>
  <c r="B618" i="8"/>
  <c r="D618" i="8" s="1" a="1"/>
  <c r="D618" i="8" s="1"/>
  <c r="B617" i="8"/>
  <c r="D617" i="8" s="1" a="1"/>
  <c r="D617" i="8" s="1"/>
  <c r="B616" i="8"/>
  <c r="D616" i="8" s="1" a="1"/>
  <c r="D616" i="8" s="1"/>
  <c r="B615" i="8"/>
  <c r="D615" i="8" s="1" a="1"/>
  <c r="D615" i="8" s="1"/>
  <c r="B614" i="8"/>
  <c r="D614" i="8" s="1" a="1"/>
  <c r="D614" i="8" s="1"/>
  <c r="B613" i="8"/>
  <c r="D613" i="8" s="1" a="1"/>
  <c r="D613" i="8" s="1"/>
  <c r="B612" i="8"/>
  <c r="D612" i="8" s="1" a="1"/>
  <c r="D612" i="8" s="1"/>
  <c r="B611" i="8"/>
  <c r="D611" i="8" s="1" a="1"/>
  <c r="D611" i="8" s="1"/>
  <c r="B610" i="8"/>
  <c r="D610" i="8" s="1" a="1"/>
  <c r="D610" i="8" s="1"/>
  <c r="B609" i="8"/>
  <c r="D609" i="8" s="1" a="1"/>
  <c r="D609" i="8" s="1"/>
  <c r="B608" i="8"/>
  <c r="D608" i="8" s="1" a="1"/>
  <c r="D608" i="8" s="1"/>
  <c r="B607" i="8"/>
  <c r="D607" i="8" s="1" a="1"/>
  <c r="D607" i="8" s="1"/>
  <c r="B606" i="8"/>
  <c r="D606" i="8" s="1" a="1"/>
  <c r="D606" i="8" s="1"/>
  <c r="B605" i="8"/>
  <c r="D605" i="8" s="1" a="1"/>
  <c r="D605" i="8" s="1"/>
  <c r="B604" i="8"/>
  <c r="D604" i="8" s="1" a="1"/>
  <c r="D604" i="8" s="1"/>
  <c r="B603" i="8"/>
  <c r="D603" i="8" s="1" a="1"/>
  <c r="D603" i="8" s="1"/>
  <c r="B602" i="8"/>
  <c r="D602" i="8" s="1" a="1"/>
  <c r="D602" i="8" s="1"/>
  <c r="B601" i="8"/>
  <c r="D601" i="8" s="1" a="1"/>
  <c r="D601" i="8" s="1"/>
  <c r="B600" i="8"/>
  <c r="D600" i="8" s="1" a="1"/>
  <c r="D600" i="8" s="1"/>
  <c r="B599" i="8"/>
  <c r="D599" i="8" s="1" a="1"/>
  <c r="D599" i="8" s="1"/>
  <c r="B598" i="8"/>
  <c r="D598" i="8" s="1" a="1"/>
  <c r="D598" i="8" s="1"/>
  <c r="B597" i="8"/>
  <c r="D597" i="8" s="1" a="1"/>
  <c r="D597" i="8" s="1"/>
  <c r="B596" i="8"/>
  <c r="D596" i="8" s="1" a="1"/>
  <c r="D596" i="8" s="1"/>
  <c r="B595" i="8"/>
  <c r="D595" i="8" s="1" a="1"/>
  <c r="D595" i="8" s="1"/>
  <c r="B594" i="8"/>
  <c r="D594" i="8" s="1" a="1"/>
  <c r="D594" i="8" s="1"/>
  <c r="B593" i="8"/>
  <c r="D593" i="8" s="1" a="1"/>
  <c r="D593" i="8" s="1"/>
  <c r="B592" i="8"/>
  <c r="D592" i="8" s="1" a="1"/>
  <c r="D592" i="8" s="1"/>
  <c r="B591" i="8"/>
  <c r="D591" i="8" s="1" a="1"/>
  <c r="D591" i="8" s="1"/>
  <c r="B590" i="8"/>
  <c r="D590" i="8" s="1" a="1"/>
  <c r="D590" i="8" s="1"/>
  <c r="B589" i="8"/>
  <c r="D589" i="8" s="1" a="1"/>
  <c r="D589" i="8" s="1"/>
  <c r="B588" i="8"/>
  <c r="D588" i="8" s="1" a="1"/>
  <c r="D588" i="8" s="1"/>
  <c r="B587" i="8"/>
  <c r="D587" i="8" s="1" a="1"/>
  <c r="D587" i="8" s="1"/>
  <c r="B586" i="8"/>
  <c r="D586" i="8" s="1" a="1"/>
  <c r="D586" i="8" s="1"/>
  <c r="B585" i="8"/>
  <c r="D585" i="8" s="1" a="1"/>
  <c r="D585" i="8" s="1"/>
  <c r="B584" i="8"/>
  <c r="D584" i="8" s="1" a="1"/>
  <c r="D584" i="8" s="1"/>
  <c r="B583" i="8"/>
  <c r="D583" i="8" s="1" a="1"/>
  <c r="D583" i="8" s="1"/>
  <c r="B582" i="8"/>
  <c r="D582" i="8" s="1" a="1"/>
  <c r="D582" i="8" s="1"/>
  <c r="B581" i="8"/>
  <c r="D581" i="8" s="1" a="1"/>
  <c r="D581" i="8" s="1"/>
  <c r="B580" i="8"/>
  <c r="D580" i="8" s="1" a="1"/>
  <c r="D580" i="8" s="1"/>
  <c r="B579" i="8"/>
  <c r="D579" i="8" s="1" a="1"/>
  <c r="D579" i="8" s="1"/>
  <c r="B578" i="8"/>
  <c r="D578" i="8" s="1" a="1"/>
  <c r="D578" i="8" s="1"/>
  <c r="B577" i="8"/>
  <c r="D577" i="8" s="1" a="1"/>
  <c r="D577" i="8" s="1"/>
  <c r="B576" i="8"/>
  <c r="D576" i="8" s="1" a="1"/>
  <c r="D576" i="8" s="1"/>
  <c r="B575" i="8"/>
  <c r="D575" i="8" s="1" a="1"/>
  <c r="D575" i="8" s="1"/>
  <c r="B574" i="8"/>
  <c r="D574" i="8" s="1" a="1"/>
  <c r="D574" i="8" s="1"/>
  <c r="B573" i="8"/>
  <c r="D573" i="8" s="1" a="1"/>
  <c r="D573" i="8" s="1"/>
  <c r="B572" i="8"/>
  <c r="D572" i="8" s="1" a="1"/>
  <c r="D572" i="8" s="1"/>
  <c r="B571" i="8"/>
  <c r="D571" i="8" s="1" a="1"/>
  <c r="D571" i="8" s="1"/>
  <c r="B570" i="8"/>
  <c r="D570" i="8" s="1" a="1"/>
  <c r="D570" i="8" s="1"/>
  <c r="B569" i="8"/>
  <c r="D569" i="8" s="1" a="1"/>
  <c r="D569" i="8" s="1"/>
  <c r="B568" i="8"/>
  <c r="D568" i="8" s="1" a="1"/>
  <c r="D568" i="8" s="1"/>
  <c r="B567" i="8"/>
  <c r="D567" i="8" s="1" a="1"/>
  <c r="D567" i="8" s="1"/>
  <c r="B566" i="8"/>
  <c r="D566" i="8" s="1" a="1"/>
  <c r="D566" i="8" s="1"/>
  <c r="B565" i="8"/>
  <c r="D565" i="8" s="1" a="1"/>
  <c r="D565" i="8" s="1"/>
  <c r="B564" i="8"/>
  <c r="D564" i="8" s="1" a="1"/>
  <c r="D564" i="8" s="1"/>
  <c r="B563" i="8"/>
  <c r="D563" i="8" s="1" a="1"/>
  <c r="D563" i="8" s="1"/>
  <c r="B562" i="8"/>
  <c r="D562" i="8" s="1" a="1"/>
  <c r="D562" i="8" s="1"/>
  <c r="B561" i="8"/>
  <c r="D561" i="8" s="1" a="1"/>
  <c r="D561" i="8" s="1"/>
  <c r="B560" i="8"/>
  <c r="D560" i="8" s="1" a="1"/>
  <c r="D560" i="8" s="1"/>
  <c r="B559" i="8"/>
  <c r="D559" i="8" s="1" a="1"/>
  <c r="D559" i="8" s="1"/>
  <c r="B558" i="8"/>
  <c r="D558" i="8" s="1" a="1"/>
  <c r="D558" i="8" s="1"/>
  <c r="B557" i="8"/>
  <c r="D557" i="8" s="1" a="1"/>
  <c r="D557" i="8" s="1"/>
  <c r="B556" i="8"/>
  <c r="D556" i="8" s="1" a="1"/>
  <c r="D556" i="8" s="1"/>
  <c r="B555" i="8"/>
  <c r="D555" i="8" s="1" a="1"/>
  <c r="D555" i="8" s="1"/>
  <c r="B554" i="8"/>
  <c r="D554" i="8" s="1" a="1"/>
  <c r="D554" i="8" s="1"/>
  <c r="B553" i="8"/>
  <c r="D553" i="8" s="1" a="1"/>
  <c r="D553" i="8" s="1"/>
  <c r="B552" i="8"/>
  <c r="D552" i="8" s="1" a="1"/>
  <c r="D552" i="8" s="1"/>
  <c r="B551" i="8"/>
  <c r="D551" i="8" s="1" a="1"/>
  <c r="D551" i="8" s="1"/>
  <c r="B550" i="8"/>
  <c r="D550" i="8" s="1" a="1"/>
  <c r="D550" i="8" s="1"/>
  <c r="B549" i="8"/>
  <c r="D549" i="8" s="1" a="1"/>
  <c r="D549" i="8" s="1"/>
  <c r="B548" i="8"/>
  <c r="D548" i="8" s="1" a="1"/>
  <c r="D548" i="8" s="1"/>
  <c r="B547" i="8"/>
  <c r="D547" i="8" s="1" a="1"/>
  <c r="D547" i="8" s="1"/>
  <c r="B546" i="8"/>
  <c r="D546" i="8" s="1" a="1"/>
  <c r="D546" i="8" s="1"/>
  <c r="B545" i="8"/>
  <c r="D545" i="8" s="1" a="1"/>
  <c r="D545" i="8" s="1"/>
  <c r="B544" i="8"/>
  <c r="D544" i="8" s="1" a="1"/>
  <c r="D544" i="8" s="1"/>
  <c r="B543" i="8"/>
  <c r="D543" i="8" s="1" a="1"/>
  <c r="D543" i="8" s="1"/>
  <c r="B542" i="8"/>
  <c r="D542" i="8" s="1" a="1"/>
  <c r="D542" i="8" s="1"/>
  <c r="B541" i="8"/>
  <c r="D541" i="8" s="1" a="1"/>
  <c r="D541" i="8" s="1"/>
  <c r="B540" i="8"/>
  <c r="D540" i="8" s="1" a="1"/>
  <c r="D540" i="8" s="1"/>
  <c r="B539" i="8"/>
  <c r="D539" i="8" s="1" a="1"/>
  <c r="D539" i="8" s="1"/>
  <c r="B538" i="8"/>
  <c r="D538" i="8" s="1" a="1"/>
  <c r="D538" i="8" s="1"/>
  <c r="B537" i="8"/>
  <c r="D537" i="8" s="1" a="1"/>
  <c r="D537" i="8" s="1"/>
  <c r="B536" i="8"/>
  <c r="D536" i="8" s="1" a="1"/>
  <c r="D536" i="8" s="1"/>
  <c r="B535" i="8"/>
  <c r="D535" i="8" s="1" a="1"/>
  <c r="D535" i="8" s="1"/>
  <c r="B534" i="8"/>
  <c r="D534" i="8" s="1" a="1"/>
  <c r="D534" i="8" s="1"/>
  <c r="B533" i="8"/>
  <c r="D533" i="8" s="1" a="1"/>
  <c r="D533" i="8" s="1"/>
  <c r="B532" i="8"/>
  <c r="D532" i="8" s="1" a="1"/>
  <c r="D532" i="8" s="1"/>
  <c r="B531" i="8"/>
  <c r="D531" i="8" s="1" a="1"/>
  <c r="D531" i="8" s="1"/>
  <c r="B530" i="8"/>
  <c r="D530" i="8" s="1" a="1"/>
  <c r="D530" i="8" s="1"/>
  <c r="B529" i="8"/>
  <c r="D529" i="8" s="1" a="1"/>
  <c r="D529" i="8" s="1"/>
  <c r="B528" i="8"/>
  <c r="D528" i="8" s="1" a="1"/>
  <c r="D528" i="8" s="1"/>
  <c r="B527" i="8"/>
  <c r="D527" i="8" s="1" a="1"/>
  <c r="D527" i="8" s="1"/>
  <c r="B526" i="8"/>
  <c r="D526" i="8" s="1" a="1"/>
  <c r="D526" i="8" s="1"/>
  <c r="B525" i="8"/>
  <c r="D525" i="8" s="1" a="1"/>
  <c r="D525" i="8" s="1"/>
  <c r="B524" i="8"/>
  <c r="D524" i="8" s="1" a="1"/>
  <c r="D524" i="8" s="1"/>
  <c r="B523" i="8"/>
  <c r="D523" i="8" s="1" a="1"/>
  <c r="D523" i="8" s="1"/>
  <c r="B522" i="8"/>
  <c r="D522" i="8" s="1" a="1"/>
  <c r="D522" i="8" s="1"/>
  <c r="B521" i="8"/>
  <c r="D521" i="8" s="1" a="1"/>
  <c r="D521" i="8" s="1"/>
  <c r="B520" i="8"/>
  <c r="D520" i="8" s="1" a="1"/>
  <c r="D520" i="8" s="1"/>
  <c r="B519" i="8"/>
  <c r="D519" i="8" s="1" a="1"/>
  <c r="D519" i="8" s="1"/>
  <c r="B518" i="8"/>
  <c r="D518" i="8" s="1" a="1"/>
  <c r="D518" i="8" s="1"/>
  <c r="B517" i="8"/>
  <c r="D517" i="8" s="1" a="1"/>
  <c r="D517" i="8" s="1"/>
  <c r="B516" i="8"/>
  <c r="D516" i="8" s="1" a="1"/>
  <c r="D516" i="8" s="1"/>
  <c r="B515" i="8"/>
  <c r="D515" i="8" s="1" a="1"/>
  <c r="D515" i="8" s="1"/>
  <c r="B514" i="8"/>
  <c r="D514" i="8" s="1" a="1"/>
  <c r="D514" i="8" s="1"/>
  <c r="B513" i="8"/>
  <c r="D513" i="8" s="1" a="1"/>
  <c r="D513" i="8" s="1"/>
  <c r="B512" i="8"/>
  <c r="D512" i="8" s="1" a="1"/>
  <c r="D512" i="8" s="1"/>
  <c r="B511" i="8"/>
  <c r="D511" i="8" s="1" a="1"/>
  <c r="D511" i="8" s="1"/>
  <c r="B510" i="8"/>
  <c r="D510" i="8" s="1" a="1"/>
  <c r="D510" i="8" s="1"/>
  <c r="B509" i="8"/>
  <c r="D509" i="8" s="1" a="1"/>
  <c r="D509" i="8" s="1"/>
  <c r="B508" i="8"/>
  <c r="D508" i="8" s="1" a="1"/>
  <c r="D508" i="8" s="1"/>
  <c r="B507" i="8"/>
  <c r="D507" i="8" s="1" a="1"/>
  <c r="D507" i="8" s="1"/>
  <c r="B506" i="8"/>
  <c r="D506" i="8" s="1" a="1"/>
  <c r="D506" i="8" s="1"/>
  <c r="B505" i="8"/>
  <c r="D505" i="8" s="1" a="1"/>
  <c r="D505" i="8" s="1"/>
  <c r="B504" i="8"/>
  <c r="D504" i="8" s="1" a="1"/>
  <c r="D504" i="8" s="1"/>
  <c r="B503" i="8"/>
  <c r="D503" i="8" s="1" a="1"/>
  <c r="D503" i="8" s="1"/>
  <c r="B502" i="8"/>
  <c r="D502" i="8" s="1" a="1"/>
  <c r="D502" i="8" s="1"/>
  <c r="B501" i="8"/>
  <c r="D501" i="8" s="1" a="1"/>
  <c r="D501" i="8" s="1"/>
  <c r="B500" i="8"/>
  <c r="D500" i="8" s="1" a="1"/>
  <c r="D500" i="8" s="1"/>
  <c r="B499" i="8"/>
  <c r="D499" i="8" s="1" a="1"/>
  <c r="D499" i="8" s="1"/>
  <c r="B498" i="8"/>
  <c r="D498" i="8" s="1" a="1"/>
  <c r="D498" i="8" s="1"/>
  <c r="B497" i="8"/>
  <c r="D497" i="8" s="1" a="1"/>
  <c r="D497" i="8" s="1"/>
  <c r="B496" i="8"/>
  <c r="D496" i="8" s="1" a="1"/>
  <c r="D496" i="8" s="1"/>
  <c r="B495" i="8"/>
  <c r="D495" i="8" s="1" a="1"/>
  <c r="D495" i="8" s="1"/>
  <c r="B494" i="8"/>
  <c r="D494" i="8" s="1" a="1"/>
  <c r="D494" i="8" s="1"/>
  <c r="B493" i="8"/>
  <c r="D493" i="8" s="1" a="1"/>
  <c r="D493" i="8" s="1"/>
  <c r="B492" i="8"/>
  <c r="D492" i="8" s="1" a="1"/>
  <c r="D492" i="8" s="1"/>
  <c r="B491" i="8"/>
  <c r="D491" i="8" s="1" a="1"/>
  <c r="D491" i="8" s="1"/>
  <c r="B490" i="8"/>
  <c r="D490" i="8" s="1" a="1"/>
  <c r="D490" i="8" s="1"/>
  <c r="B489" i="8"/>
  <c r="D489" i="8" s="1" a="1"/>
  <c r="D489" i="8" s="1"/>
  <c r="B488" i="8"/>
  <c r="D488" i="8" s="1" a="1"/>
  <c r="D488" i="8" s="1"/>
  <c r="B487" i="8"/>
  <c r="D487" i="8" s="1" a="1"/>
  <c r="D487" i="8" s="1"/>
  <c r="B486" i="8"/>
  <c r="D486" i="8" s="1" a="1"/>
  <c r="D486" i="8" s="1"/>
  <c r="B485" i="8"/>
  <c r="D485" i="8" s="1" a="1"/>
  <c r="D485" i="8" s="1"/>
  <c r="B484" i="8"/>
  <c r="D484" i="8" s="1" a="1"/>
  <c r="D484" i="8" s="1"/>
  <c r="B483" i="8"/>
  <c r="D483" i="8" s="1" a="1"/>
  <c r="D483" i="8" s="1"/>
  <c r="B482" i="8"/>
  <c r="D482" i="8" s="1" a="1"/>
  <c r="D482" i="8" s="1"/>
  <c r="B481" i="8"/>
  <c r="D481" i="8" s="1" a="1"/>
  <c r="D481" i="8" s="1"/>
  <c r="B480" i="8"/>
  <c r="D480" i="8" s="1" a="1"/>
  <c r="D480" i="8" s="1"/>
  <c r="B479" i="8"/>
  <c r="D479" i="8" s="1" a="1"/>
  <c r="D479" i="8" s="1"/>
  <c r="B478" i="8"/>
  <c r="D478" i="8" s="1" a="1"/>
  <c r="D478" i="8" s="1"/>
  <c r="B477" i="8"/>
  <c r="D477" i="8" s="1" a="1"/>
  <c r="D477" i="8" s="1"/>
  <c r="B476" i="8"/>
  <c r="D476" i="8" s="1" a="1"/>
  <c r="D476" i="8" s="1"/>
  <c r="B475" i="8"/>
  <c r="D475" i="8" s="1" a="1"/>
  <c r="D475" i="8" s="1"/>
  <c r="B474" i="8"/>
  <c r="D474" i="8" s="1" a="1"/>
  <c r="D474" i="8" s="1"/>
  <c r="B473" i="8"/>
  <c r="D473" i="8" s="1" a="1"/>
  <c r="D473" i="8" s="1"/>
  <c r="B472" i="8"/>
  <c r="D472" i="8" s="1" a="1"/>
  <c r="D472" i="8" s="1"/>
  <c r="B471" i="8"/>
  <c r="D471" i="8" s="1" a="1"/>
  <c r="D471" i="8" s="1"/>
  <c r="B470" i="8"/>
  <c r="D470" i="8" s="1" a="1"/>
  <c r="D470" i="8" s="1"/>
  <c r="B469" i="8"/>
  <c r="D469" i="8" s="1" a="1"/>
  <c r="D469" i="8" s="1"/>
  <c r="B468" i="8"/>
  <c r="D468" i="8" s="1" a="1"/>
  <c r="D468" i="8" s="1"/>
  <c r="B467" i="8"/>
  <c r="D467" i="8" s="1" a="1"/>
  <c r="D467" i="8" s="1"/>
  <c r="B466" i="8"/>
  <c r="D466" i="8" s="1" a="1"/>
  <c r="D466" i="8" s="1"/>
  <c r="B465" i="8"/>
  <c r="D465" i="8" s="1" a="1"/>
  <c r="D465" i="8" s="1"/>
  <c r="B464" i="8"/>
  <c r="D464" i="8" s="1" a="1"/>
  <c r="D464" i="8" s="1"/>
  <c r="B463" i="8"/>
  <c r="D463" i="8" s="1" a="1"/>
  <c r="D463" i="8" s="1"/>
  <c r="B462" i="8"/>
  <c r="D462" i="8" s="1" a="1"/>
  <c r="D462" i="8" s="1"/>
  <c r="B461" i="8"/>
  <c r="D461" i="8" s="1" a="1"/>
  <c r="D461" i="8" s="1"/>
  <c r="B460" i="8"/>
  <c r="D460" i="8" s="1" a="1"/>
  <c r="D460" i="8" s="1"/>
  <c r="B459" i="8"/>
  <c r="D459" i="8" s="1" a="1"/>
  <c r="D459" i="8" s="1"/>
  <c r="B458" i="8"/>
  <c r="D458" i="8" s="1" a="1"/>
  <c r="D458" i="8" s="1"/>
  <c r="B457" i="8"/>
  <c r="D457" i="8" s="1" a="1"/>
  <c r="D457" i="8" s="1"/>
  <c r="B456" i="8"/>
  <c r="D456" i="8" s="1" a="1"/>
  <c r="D456" i="8" s="1"/>
  <c r="B455" i="8"/>
  <c r="D455" i="8" s="1" a="1"/>
  <c r="D455" i="8" s="1"/>
  <c r="B454" i="8"/>
  <c r="D454" i="8" s="1" a="1"/>
  <c r="D454" i="8" s="1"/>
  <c r="B453" i="8"/>
  <c r="D453" i="8" s="1" a="1"/>
  <c r="D453" i="8" s="1"/>
  <c r="B452" i="8"/>
  <c r="D452" i="8" s="1" a="1"/>
  <c r="D452" i="8" s="1"/>
  <c r="B451" i="8"/>
  <c r="D451" i="8" s="1" a="1"/>
  <c r="D451" i="8" s="1"/>
  <c r="B450" i="8"/>
  <c r="D450" i="8" s="1" a="1"/>
  <c r="D450" i="8" s="1"/>
  <c r="B449" i="8"/>
  <c r="D449" i="8" s="1" a="1"/>
  <c r="D449" i="8" s="1"/>
  <c r="B448" i="8"/>
  <c r="D448" i="8" s="1" a="1"/>
  <c r="D448" i="8" s="1"/>
  <c r="B447" i="8"/>
  <c r="D447" i="8" s="1" a="1"/>
  <c r="D447" i="8" s="1"/>
  <c r="B446" i="8"/>
  <c r="D446" i="8" s="1" a="1"/>
  <c r="D446" i="8" s="1"/>
  <c r="B445" i="8"/>
  <c r="D445" i="8" s="1" a="1"/>
  <c r="D445" i="8" s="1"/>
  <c r="B444" i="8"/>
  <c r="D444" i="8" s="1" a="1"/>
  <c r="D444" i="8" s="1"/>
  <c r="B443" i="8"/>
  <c r="D443" i="8" s="1" a="1"/>
  <c r="D443" i="8" s="1"/>
  <c r="B442" i="8"/>
  <c r="D442" i="8" s="1" a="1"/>
  <c r="D442" i="8" s="1"/>
  <c r="B441" i="8"/>
  <c r="D441" i="8" s="1" a="1"/>
  <c r="D441" i="8" s="1"/>
  <c r="B440" i="8"/>
  <c r="D440" i="8" s="1" a="1"/>
  <c r="D440" i="8" s="1"/>
  <c r="B439" i="8"/>
  <c r="D439" i="8" s="1" a="1"/>
  <c r="D439" i="8" s="1"/>
  <c r="B438" i="8"/>
  <c r="D438" i="8" s="1" a="1"/>
  <c r="D438" i="8" s="1"/>
  <c r="B437" i="8"/>
  <c r="D437" i="8" s="1" a="1"/>
  <c r="D437" i="8" s="1"/>
  <c r="B436" i="8"/>
  <c r="D436" i="8" s="1" a="1"/>
  <c r="D436" i="8" s="1"/>
  <c r="B435" i="8"/>
  <c r="D435" i="8" s="1" a="1"/>
  <c r="D435" i="8" s="1"/>
  <c r="B434" i="8"/>
  <c r="D434" i="8" s="1" a="1"/>
  <c r="D434" i="8" s="1"/>
  <c r="B433" i="8"/>
  <c r="D433" i="8" s="1" a="1"/>
  <c r="D433" i="8" s="1"/>
  <c r="B432" i="8"/>
  <c r="D432" i="8" s="1" a="1"/>
  <c r="D432" i="8" s="1"/>
  <c r="B431" i="8"/>
  <c r="D431" i="8" s="1" a="1"/>
  <c r="D431" i="8" s="1"/>
  <c r="B430" i="8"/>
  <c r="D430" i="8" s="1" a="1"/>
  <c r="D430" i="8" s="1"/>
  <c r="B429" i="8"/>
  <c r="D429" i="8" s="1" a="1"/>
  <c r="D429" i="8" s="1"/>
  <c r="B428" i="8"/>
  <c r="D428" i="8" s="1" a="1"/>
  <c r="D428" i="8" s="1"/>
  <c r="B427" i="8"/>
  <c r="D427" i="8" s="1" a="1"/>
  <c r="D427" i="8" s="1"/>
  <c r="B426" i="8"/>
  <c r="D426" i="8" s="1" a="1"/>
  <c r="D426" i="8" s="1"/>
  <c r="B425" i="8"/>
  <c r="D425" i="8" s="1" a="1"/>
  <c r="D425" i="8" s="1"/>
  <c r="B424" i="8"/>
  <c r="D424" i="8" s="1" a="1"/>
  <c r="D424" i="8" s="1"/>
  <c r="B423" i="8"/>
  <c r="D423" i="8" s="1" a="1"/>
  <c r="D423" i="8" s="1"/>
  <c r="B422" i="8"/>
  <c r="D422" i="8" s="1" a="1"/>
  <c r="D422" i="8" s="1"/>
  <c r="B421" i="8"/>
  <c r="D421" i="8" s="1" a="1"/>
  <c r="D421" i="8" s="1"/>
  <c r="B420" i="8"/>
  <c r="D420" i="8" s="1" a="1"/>
  <c r="D420" i="8" s="1"/>
  <c r="B419" i="8"/>
  <c r="D419" i="8" s="1" a="1"/>
  <c r="D419" i="8" s="1"/>
  <c r="B418" i="8"/>
  <c r="D418" i="8" s="1" a="1"/>
  <c r="D418" i="8" s="1"/>
  <c r="B417" i="8"/>
  <c r="D417" i="8" s="1" a="1"/>
  <c r="D417" i="8" s="1"/>
  <c r="B416" i="8"/>
  <c r="D416" i="8" s="1" a="1"/>
  <c r="D416" i="8" s="1"/>
  <c r="B415" i="8"/>
  <c r="D415" i="8" s="1" a="1"/>
  <c r="D415" i="8" s="1"/>
  <c r="B414" i="8"/>
  <c r="D414" i="8" s="1" a="1"/>
  <c r="D414" i="8" s="1"/>
  <c r="B413" i="8"/>
  <c r="D413" i="8" s="1" a="1"/>
  <c r="D413" i="8" s="1"/>
  <c r="B412" i="8"/>
  <c r="D412" i="8" s="1" a="1"/>
  <c r="D412" i="8" s="1"/>
  <c r="B411" i="8"/>
  <c r="D411" i="8" s="1" a="1"/>
  <c r="D411" i="8" s="1"/>
  <c r="B410" i="8"/>
  <c r="D410" i="8" s="1" a="1"/>
  <c r="D410" i="8" s="1"/>
  <c r="B409" i="8"/>
  <c r="D409" i="8" s="1" a="1"/>
  <c r="D409" i="8" s="1"/>
  <c r="B408" i="8"/>
  <c r="D408" i="8" s="1" a="1"/>
  <c r="D408" i="8" s="1"/>
  <c r="B407" i="8"/>
  <c r="D407" i="8" s="1" a="1"/>
  <c r="D407" i="8" s="1"/>
  <c r="B406" i="8"/>
  <c r="D406" i="8" s="1" a="1"/>
  <c r="D406" i="8" s="1"/>
  <c r="B405" i="8"/>
  <c r="D405" i="8" s="1" a="1"/>
  <c r="D405" i="8" s="1"/>
  <c r="B404" i="8"/>
  <c r="D404" i="8" s="1" a="1"/>
  <c r="D404" i="8" s="1"/>
  <c r="B403" i="8"/>
  <c r="D403" i="8" s="1" a="1"/>
  <c r="D403" i="8" s="1"/>
  <c r="B402" i="8"/>
  <c r="D402" i="8" s="1" a="1"/>
  <c r="D402" i="8" s="1"/>
  <c r="B401" i="8"/>
  <c r="D401" i="8" s="1" a="1"/>
  <c r="D401" i="8" s="1"/>
  <c r="B400" i="8"/>
  <c r="D400" i="8" s="1" a="1"/>
  <c r="D400" i="8" s="1"/>
  <c r="B399" i="8"/>
  <c r="D399" i="8" s="1" a="1"/>
  <c r="D399" i="8" s="1"/>
  <c r="B398" i="8"/>
  <c r="D398" i="8" s="1" a="1"/>
  <c r="D398" i="8" s="1"/>
  <c r="B397" i="8"/>
  <c r="D397" i="8" s="1" a="1"/>
  <c r="D397" i="8" s="1"/>
  <c r="B396" i="8"/>
  <c r="D396" i="8" s="1" a="1"/>
  <c r="D396" i="8" s="1"/>
  <c r="B395" i="8"/>
  <c r="D395" i="8" s="1" a="1"/>
  <c r="D395" i="8" s="1"/>
  <c r="B394" i="8"/>
  <c r="D394" i="8" s="1" a="1"/>
  <c r="D394" i="8" s="1"/>
  <c r="B393" i="8"/>
  <c r="D393" i="8" s="1" a="1"/>
  <c r="D393" i="8" s="1"/>
  <c r="B392" i="8"/>
  <c r="D392" i="8" s="1" a="1"/>
  <c r="D392" i="8" s="1"/>
  <c r="B391" i="8"/>
  <c r="D391" i="8" s="1" a="1"/>
  <c r="D391" i="8" s="1"/>
  <c r="B390" i="8"/>
  <c r="D390" i="8" s="1" a="1"/>
  <c r="D390" i="8" s="1"/>
  <c r="B389" i="8"/>
  <c r="D389" i="8" s="1" a="1"/>
  <c r="D389" i="8" s="1"/>
  <c r="B388" i="8"/>
  <c r="D388" i="8" s="1" a="1"/>
  <c r="D388" i="8" s="1"/>
  <c r="B387" i="8"/>
  <c r="D387" i="8" s="1" a="1"/>
  <c r="D387" i="8" s="1"/>
  <c r="B386" i="8"/>
  <c r="D386" i="8" s="1" a="1"/>
  <c r="D386" i="8" s="1"/>
  <c r="B385" i="8"/>
  <c r="D385" i="8" s="1" a="1"/>
  <c r="D385" i="8" s="1"/>
  <c r="B384" i="8"/>
  <c r="D384" i="8" s="1" a="1"/>
  <c r="D384" i="8" s="1"/>
  <c r="B383" i="8"/>
  <c r="D383" i="8" s="1" a="1"/>
  <c r="D383" i="8" s="1"/>
  <c r="B382" i="8"/>
  <c r="D382" i="8" s="1" a="1"/>
  <c r="D382" i="8" s="1"/>
  <c r="B381" i="8"/>
  <c r="D381" i="8" s="1" a="1"/>
  <c r="D381" i="8" s="1"/>
  <c r="B380" i="8"/>
  <c r="D380" i="8" s="1" a="1"/>
  <c r="D380" i="8" s="1"/>
  <c r="B379" i="8"/>
  <c r="D379" i="8" s="1" a="1"/>
  <c r="D379" i="8" s="1"/>
  <c r="B378" i="8"/>
  <c r="D378" i="8" s="1" a="1"/>
  <c r="D378" i="8" s="1"/>
  <c r="B377" i="8"/>
  <c r="D377" i="8" s="1" a="1"/>
  <c r="D377" i="8" s="1"/>
  <c r="B376" i="8"/>
  <c r="D376" i="8" s="1" a="1"/>
  <c r="D376" i="8" s="1"/>
  <c r="B375" i="8"/>
  <c r="D375" i="8" s="1" a="1"/>
  <c r="D375" i="8" s="1"/>
  <c r="B374" i="8"/>
  <c r="D374" i="8" s="1" a="1"/>
  <c r="D374" i="8" s="1"/>
  <c r="B373" i="8"/>
  <c r="D373" i="8" s="1" a="1"/>
  <c r="D373" i="8" s="1"/>
  <c r="B372" i="8"/>
  <c r="D372" i="8" s="1" a="1"/>
  <c r="D372" i="8" s="1"/>
  <c r="B371" i="8"/>
  <c r="D371" i="8" s="1" a="1"/>
  <c r="D371" i="8" s="1"/>
  <c r="B370" i="8"/>
  <c r="D370" i="8" s="1" a="1"/>
  <c r="D370" i="8" s="1"/>
  <c r="B369" i="8"/>
  <c r="D369" i="8" s="1" a="1"/>
  <c r="D369" i="8" s="1"/>
  <c r="B368" i="8"/>
  <c r="D368" i="8" s="1" a="1"/>
  <c r="D368" i="8" s="1"/>
  <c r="B367" i="8"/>
  <c r="D367" i="8" s="1" a="1"/>
  <c r="D367" i="8" s="1"/>
  <c r="B366" i="8"/>
  <c r="D366" i="8" s="1" a="1"/>
  <c r="D366" i="8" s="1"/>
  <c r="B365" i="8"/>
  <c r="D365" i="8" s="1" a="1"/>
  <c r="D365" i="8" s="1"/>
  <c r="B364" i="8"/>
  <c r="D364" i="8" s="1" a="1"/>
  <c r="D364" i="8" s="1"/>
  <c r="B363" i="8"/>
  <c r="D363" i="8" s="1" a="1"/>
  <c r="D363" i="8" s="1"/>
  <c r="B362" i="8"/>
  <c r="D362" i="8" s="1" a="1"/>
  <c r="D362" i="8" s="1"/>
  <c r="B361" i="8"/>
  <c r="D361" i="8" s="1" a="1"/>
  <c r="D361" i="8" s="1"/>
  <c r="B360" i="8"/>
  <c r="D360" i="8" s="1" a="1"/>
  <c r="D360" i="8" s="1"/>
  <c r="B359" i="8"/>
  <c r="D359" i="8" s="1" a="1"/>
  <c r="D359" i="8" s="1"/>
  <c r="B358" i="8"/>
  <c r="D358" i="8" s="1" a="1"/>
  <c r="D358" i="8" s="1"/>
  <c r="B357" i="8"/>
  <c r="D357" i="8" s="1" a="1"/>
  <c r="D357" i="8" s="1"/>
  <c r="B356" i="8"/>
  <c r="D356" i="8" s="1" a="1"/>
  <c r="D356" i="8" s="1"/>
  <c r="B355" i="8"/>
  <c r="D355" i="8" s="1" a="1"/>
  <c r="D355" i="8" s="1"/>
  <c r="B354" i="8"/>
  <c r="D354" i="8" s="1" a="1"/>
  <c r="D354" i="8" s="1"/>
  <c r="B353" i="8"/>
  <c r="D353" i="8" s="1" a="1"/>
  <c r="D353" i="8" s="1"/>
  <c r="B352" i="8"/>
  <c r="D352" i="8" s="1" a="1"/>
  <c r="D352" i="8" s="1"/>
  <c r="B351" i="8"/>
  <c r="D351" i="8" s="1" a="1"/>
  <c r="D351" i="8" s="1"/>
  <c r="B350" i="8"/>
  <c r="D350" i="8" s="1" a="1"/>
  <c r="D350" i="8" s="1"/>
  <c r="B349" i="8"/>
  <c r="D349" i="8" s="1" a="1"/>
  <c r="D349" i="8" s="1"/>
  <c r="B348" i="8"/>
  <c r="D348" i="8" s="1" a="1"/>
  <c r="D348" i="8" s="1"/>
  <c r="B347" i="8"/>
  <c r="D347" i="8" s="1" a="1"/>
  <c r="D347" i="8" s="1"/>
  <c r="B346" i="8"/>
  <c r="D346" i="8" s="1" a="1"/>
  <c r="D346" i="8" s="1"/>
  <c r="B345" i="8"/>
  <c r="D345" i="8" s="1" a="1"/>
  <c r="D345" i="8" s="1"/>
  <c r="B344" i="8"/>
  <c r="D344" i="8" s="1" a="1"/>
  <c r="D344" i="8" s="1"/>
  <c r="B343" i="8"/>
  <c r="D343" i="8" s="1" a="1"/>
  <c r="D343" i="8" s="1"/>
  <c r="B342" i="8"/>
  <c r="D342" i="8" s="1" a="1"/>
  <c r="D342" i="8" s="1"/>
  <c r="B341" i="8"/>
  <c r="D341" i="8" s="1" a="1"/>
  <c r="D341" i="8" s="1"/>
  <c r="B340" i="8"/>
  <c r="D340" i="8" s="1" a="1"/>
  <c r="D340" i="8" s="1"/>
  <c r="B339" i="8"/>
  <c r="D339" i="8" s="1" a="1"/>
  <c r="D339" i="8" s="1"/>
  <c r="B338" i="8"/>
  <c r="D338" i="8" s="1" a="1"/>
  <c r="D338" i="8" s="1"/>
  <c r="B337" i="8"/>
  <c r="D337" i="8" s="1" a="1"/>
  <c r="D337" i="8" s="1"/>
  <c r="B336" i="8"/>
  <c r="D336" i="8" s="1" a="1"/>
  <c r="D336" i="8" s="1"/>
  <c r="B335" i="8"/>
  <c r="D335" i="8" s="1" a="1"/>
  <c r="D335" i="8" s="1"/>
  <c r="B334" i="8"/>
  <c r="D334" i="8" s="1" a="1"/>
  <c r="D334" i="8" s="1"/>
  <c r="B333" i="8"/>
  <c r="D333" i="8" s="1" a="1"/>
  <c r="D333" i="8" s="1"/>
  <c r="B332" i="8"/>
  <c r="D332" i="8" s="1" a="1"/>
  <c r="D332" i="8" s="1"/>
  <c r="B331" i="8"/>
  <c r="D331" i="8" s="1" a="1"/>
  <c r="D331" i="8" s="1"/>
  <c r="B330" i="8"/>
  <c r="D330" i="8" s="1" a="1"/>
  <c r="D330" i="8" s="1"/>
  <c r="B329" i="8"/>
  <c r="D329" i="8" s="1" a="1"/>
  <c r="D329" i="8" s="1"/>
  <c r="B328" i="8"/>
  <c r="D328" i="8" s="1" a="1"/>
  <c r="D328" i="8" s="1"/>
  <c r="B327" i="8"/>
  <c r="D327" i="8" s="1" a="1"/>
  <c r="D327" i="8" s="1"/>
  <c r="B326" i="8"/>
  <c r="D326" i="8" s="1" a="1"/>
  <c r="D326" i="8" s="1"/>
  <c r="B325" i="8"/>
  <c r="D325" i="8" s="1" a="1"/>
  <c r="D325" i="8" s="1"/>
  <c r="B324" i="8"/>
  <c r="D324" i="8" s="1" a="1"/>
  <c r="D324" i="8" s="1"/>
  <c r="B323" i="8"/>
  <c r="D323" i="8" s="1" a="1"/>
  <c r="D323" i="8" s="1"/>
  <c r="B322" i="8"/>
  <c r="D322" i="8" s="1" a="1"/>
  <c r="D322" i="8" s="1"/>
  <c r="B321" i="8"/>
  <c r="D321" i="8" s="1" a="1"/>
  <c r="D321" i="8" s="1"/>
  <c r="B320" i="8"/>
  <c r="D320" i="8" s="1" a="1"/>
  <c r="D320" i="8" s="1"/>
  <c r="B319" i="8"/>
  <c r="D319" i="8" s="1" a="1"/>
  <c r="D319" i="8" s="1"/>
  <c r="B318" i="8"/>
  <c r="D318" i="8" s="1" a="1"/>
  <c r="D318" i="8" s="1"/>
  <c r="B317" i="8"/>
  <c r="D317" i="8" s="1" a="1"/>
  <c r="D317" i="8" s="1"/>
  <c r="B316" i="8"/>
  <c r="D316" i="8" s="1" a="1"/>
  <c r="D316" i="8" s="1"/>
  <c r="B315" i="8"/>
  <c r="D315" i="8" s="1" a="1"/>
  <c r="D315" i="8" s="1"/>
  <c r="B314" i="8"/>
  <c r="D314" i="8" s="1" a="1"/>
  <c r="D314" i="8" s="1"/>
  <c r="B313" i="8"/>
  <c r="D313" i="8" s="1" a="1"/>
  <c r="D313" i="8" s="1"/>
  <c r="B312" i="8"/>
  <c r="D312" i="8" s="1" a="1"/>
  <c r="D312" i="8" s="1"/>
  <c r="B311" i="8"/>
  <c r="D311" i="8" s="1" a="1"/>
  <c r="D311" i="8" s="1"/>
  <c r="B310" i="8"/>
  <c r="D310" i="8" s="1" a="1"/>
  <c r="D310" i="8" s="1"/>
  <c r="B309" i="8"/>
  <c r="D309" i="8" s="1" a="1"/>
  <c r="D309" i="8" s="1"/>
  <c r="B308" i="8"/>
  <c r="D308" i="8" s="1" a="1"/>
  <c r="D308" i="8" s="1"/>
  <c r="B307" i="8"/>
  <c r="D307" i="8" s="1" a="1"/>
  <c r="D307" i="8" s="1"/>
  <c r="B306" i="8"/>
  <c r="D306" i="8" s="1" a="1"/>
  <c r="D306" i="8" s="1"/>
  <c r="B305" i="8"/>
  <c r="D305" i="8" s="1" a="1"/>
  <c r="D305" i="8" s="1"/>
  <c r="B304" i="8"/>
  <c r="D304" i="8" s="1" a="1"/>
  <c r="D304" i="8" s="1"/>
  <c r="B303" i="8"/>
  <c r="D303" i="8" s="1" a="1"/>
  <c r="D303" i="8" s="1"/>
  <c r="B302" i="8"/>
  <c r="D302" i="8" s="1" a="1"/>
  <c r="D302" i="8" s="1"/>
  <c r="B301" i="8"/>
  <c r="D301" i="8" s="1" a="1"/>
  <c r="D301" i="8" s="1"/>
  <c r="B300" i="8"/>
  <c r="D300" i="8" s="1" a="1"/>
  <c r="D300" i="8" s="1"/>
  <c r="B299" i="8"/>
  <c r="D299" i="8" s="1" a="1"/>
  <c r="D299" i="8" s="1"/>
  <c r="B298" i="8"/>
  <c r="D298" i="8" s="1" a="1"/>
  <c r="D298" i="8" s="1"/>
  <c r="B297" i="8"/>
  <c r="D297" i="8" s="1" a="1"/>
  <c r="D297" i="8" s="1"/>
  <c r="B296" i="8"/>
  <c r="D296" i="8" s="1" a="1"/>
  <c r="D296" i="8" s="1"/>
  <c r="B295" i="8"/>
  <c r="D295" i="8" s="1" a="1"/>
  <c r="D295" i="8" s="1"/>
  <c r="B294" i="8"/>
  <c r="D294" i="8" s="1" a="1"/>
  <c r="D294" i="8" s="1"/>
  <c r="B293" i="8"/>
  <c r="D293" i="8" s="1" a="1"/>
  <c r="D293" i="8" s="1"/>
  <c r="B292" i="8"/>
  <c r="D292" i="8" s="1" a="1"/>
  <c r="D292" i="8" s="1"/>
  <c r="B291" i="8"/>
  <c r="D291" i="8" s="1" a="1"/>
  <c r="D291" i="8" s="1"/>
  <c r="B290" i="8"/>
  <c r="D290" i="8" s="1" a="1"/>
  <c r="D290" i="8" s="1"/>
  <c r="B289" i="8"/>
  <c r="D289" i="8" s="1" a="1"/>
  <c r="D289" i="8" s="1"/>
  <c r="B288" i="8"/>
  <c r="D288" i="8" s="1" a="1"/>
  <c r="D288" i="8" s="1"/>
  <c r="B287" i="8"/>
  <c r="D287" i="8" s="1" a="1"/>
  <c r="D287" i="8" s="1"/>
  <c r="B286" i="8"/>
  <c r="D286" i="8" s="1" a="1"/>
  <c r="D286" i="8" s="1"/>
  <c r="B285" i="8"/>
  <c r="D285" i="8" s="1" a="1"/>
  <c r="D285" i="8" s="1"/>
  <c r="B284" i="8"/>
  <c r="D284" i="8" s="1" a="1"/>
  <c r="D284" i="8" s="1"/>
  <c r="B283" i="8"/>
  <c r="D283" i="8" s="1" a="1"/>
  <c r="D283" i="8" s="1"/>
  <c r="B282" i="8"/>
  <c r="D282" i="8" s="1" a="1"/>
  <c r="D282" i="8" s="1"/>
  <c r="B281" i="8"/>
  <c r="D281" i="8" s="1" a="1"/>
  <c r="D281" i="8" s="1"/>
  <c r="B280" i="8"/>
  <c r="D280" i="8" s="1" a="1"/>
  <c r="D280" i="8" s="1"/>
  <c r="B279" i="8"/>
  <c r="D279" i="8" s="1" a="1"/>
  <c r="D279" i="8" s="1"/>
  <c r="B278" i="8"/>
  <c r="D278" i="8" s="1" a="1"/>
  <c r="D278" i="8" s="1"/>
  <c r="B277" i="8"/>
  <c r="D277" i="8" s="1" a="1"/>
  <c r="D277" i="8" s="1"/>
  <c r="B276" i="8"/>
  <c r="D276" i="8" s="1" a="1"/>
  <c r="D276" i="8" s="1"/>
  <c r="B275" i="8"/>
  <c r="D275" i="8" s="1" a="1"/>
  <c r="D275" i="8" s="1"/>
  <c r="B274" i="8"/>
  <c r="D274" i="8" s="1" a="1"/>
  <c r="D274" i="8" s="1"/>
  <c r="B273" i="8"/>
  <c r="D273" i="8" s="1" a="1"/>
  <c r="D273" i="8" s="1"/>
  <c r="B272" i="8"/>
  <c r="D272" i="8" s="1" a="1"/>
  <c r="D272" i="8" s="1"/>
  <c r="B271" i="8"/>
  <c r="D271" i="8" s="1" a="1"/>
  <c r="D271" i="8" s="1"/>
  <c r="B270" i="8"/>
  <c r="D270" i="8" s="1" a="1"/>
  <c r="D270" i="8" s="1"/>
  <c r="B269" i="8"/>
  <c r="D269" i="8" s="1" a="1"/>
  <c r="D269" i="8" s="1"/>
  <c r="B268" i="8"/>
  <c r="D268" i="8" s="1" a="1"/>
  <c r="D268" i="8" s="1"/>
  <c r="B267" i="8"/>
  <c r="D267" i="8" s="1" a="1"/>
  <c r="D267" i="8" s="1"/>
  <c r="B266" i="8"/>
  <c r="D266" i="8" s="1" a="1"/>
  <c r="D266" i="8" s="1"/>
  <c r="B265" i="8"/>
  <c r="D265" i="8" s="1" a="1"/>
  <c r="D265" i="8" s="1"/>
  <c r="B264" i="8"/>
  <c r="D264" i="8" s="1" a="1"/>
  <c r="D264" i="8" s="1"/>
  <c r="B263" i="8"/>
  <c r="D263" i="8" s="1" a="1"/>
  <c r="D263" i="8" s="1"/>
  <c r="B262" i="8"/>
  <c r="D262" i="8" s="1" a="1"/>
  <c r="D262" i="8" s="1"/>
  <c r="B261" i="8"/>
  <c r="D261" i="8" s="1" a="1"/>
  <c r="D261" i="8" s="1"/>
  <c r="B260" i="8"/>
  <c r="D260" i="8" s="1" a="1"/>
  <c r="D260" i="8" s="1"/>
  <c r="B259" i="8"/>
  <c r="D259" i="8" s="1" a="1"/>
  <c r="D259" i="8" s="1"/>
  <c r="B258" i="8"/>
  <c r="D258" i="8" s="1" a="1"/>
  <c r="D258" i="8" s="1"/>
  <c r="B257" i="8"/>
  <c r="D257" i="8" s="1" a="1"/>
  <c r="D257" i="8" s="1"/>
  <c r="B256" i="8"/>
  <c r="D256" i="8" s="1" a="1"/>
  <c r="D256" i="8" s="1"/>
  <c r="B255" i="8"/>
  <c r="D255" i="8" s="1" a="1"/>
  <c r="D255" i="8" s="1"/>
  <c r="B254" i="8"/>
  <c r="D254" i="8" s="1" a="1"/>
  <c r="D254" i="8" s="1"/>
  <c r="B253" i="8"/>
  <c r="D253" i="8" s="1" a="1"/>
  <c r="D253" i="8" s="1"/>
  <c r="B252" i="8"/>
  <c r="D252" i="8" s="1" a="1"/>
  <c r="D252" i="8" s="1"/>
  <c r="B251" i="8"/>
  <c r="D251" i="8" s="1" a="1"/>
  <c r="D251" i="8" s="1"/>
  <c r="B250" i="8"/>
  <c r="D250" i="8" s="1" a="1"/>
  <c r="D250" i="8" s="1"/>
  <c r="B249" i="8"/>
  <c r="D249" i="8" s="1" a="1"/>
  <c r="D249" i="8" s="1"/>
  <c r="B248" i="8"/>
  <c r="D248" i="8" s="1" a="1"/>
  <c r="D248" i="8" s="1"/>
  <c r="B247" i="8"/>
  <c r="D247" i="8" s="1" a="1"/>
  <c r="D247" i="8" s="1"/>
  <c r="B246" i="8"/>
  <c r="D246" i="8" s="1" a="1"/>
  <c r="D246" i="8" s="1"/>
  <c r="B245" i="8"/>
  <c r="D245" i="8" s="1" a="1"/>
  <c r="D245" i="8" s="1"/>
  <c r="B244" i="8"/>
  <c r="D244" i="8" s="1" a="1"/>
  <c r="D244" i="8" s="1"/>
  <c r="B243" i="8"/>
  <c r="D243" i="8" s="1" a="1"/>
  <c r="D243" i="8" s="1"/>
  <c r="B242" i="8"/>
  <c r="D242" i="8" s="1" a="1"/>
  <c r="D242" i="8" s="1"/>
  <c r="B241" i="8"/>
  <c r="D241" i="8" s="1" a="1"/>
  <c r="D241" i="8" s="1"/>
  <c r="B240" i="8"/>
  <c r="D240" i="8" s="1" a="1"/>
  <c r="D240" i="8" s="1"/>
  <c r="B239" i="8"/>
  <c r="D239" i="8" s="1" a="1"/>
  <c r="D239" i="8" s="1"/>
  <c r="B238" i="8"/>
  <c r="D238" i="8" s="1" a="1"/>
  <c r="D238" i="8" s="1"/>
  <c r="B237" i="8"/>
  <c r="D237" i="8" s="1" a="1"/>
  <c r="D237" i="8" s="1"/>
  <c r="B236" i="8"/>
  <c r="D236" i="8" s="1" a="1"/>
  <c r="D236" i="8" s="1"/>
  <c r="B235" i="8"/>
  <c r="D235" i="8" s="1" a="1"/>
  <c r="D235" i="8" s="1"/>
  <c r="B234" i="8"/>
  <c r="D234" i="8" s="1" a="1"/>
  <c r="D234" i="8" s="1"/>
  <c r="B233" i="8"/>
  <c r="D233" i="8" s="1" a="1"/>
  <c r="D233" i="8" s="1"/>
  <c r="B232" i="8"/>
  <c r="D232" i="8" s="1" a="1"/>
  <c r="D232" i="8" s="1"/>
  <c r="B231" i="8"/>
  <c r="D231" i="8" s="1" a="1"/>
  <c r="D231" i="8" s="1"/>
  <c r="B230" i="8"/>
  <c r="D230" i="8" s="1" a="1"/>
  <c r="D230" i="8" s="1"/>
  <c r="B229" i="8"/>
  <c r="D229" i="8" s="1" a="1"/>
  <c r="D229" i="8" s="1"/>
  <c r="B228" i="8"/>
  <c r="D228" i="8" s="1" a="1"/>
  <c r="D228" i="8" s="1"/>
  <c r="B227" i="8"/>
  <c r="D227" i="8" s="1" a="1"/>
  <c r="D227" i="8" s="1"/>
  <c r="B226" i="8"/>
  <c r="D226" i="8" s="1" a="1"/>
  <c r="D226" i="8" s="1"/>
  <c r="B225" i="8"/>
  <c r="D225" i="8" s="1" a="1"/>
  <c r="D225" i="8" s="1"/>
  <c r="B224" i="8"/>
  <c r="D224" i="8" s="1" a="1"/>
  <c r="D224" i="8" s="1"/>
  <c r="B223" i="8"/>
  <c r="D223" i="8" s="1" a="1"/>
  <c r="D223" i="8" s="1"/>
  <c r="B222" i="8"/>
  <c r="D222" i="8" s="1" a="1"/>
  <c r="D222" i="8" s="1"/>
  <c r="B221" i="8"/>
  <c r="D221" i="8" s="1" a="1"/>
  <c r="D221" i="8" s="1"/>
  <c r="B220" i="8"/>
  <c r="D220" i="8" s="1" a="1"/>
  <c r="D220" i="8" s="1"/>
  <c r="B219" i="8"/>
  <c r="D219" i="8" s="1" a="1"/>
  <c r="D219" i="8" s="1"/>
  <c r="B218" i="8"/>
  <c r="D218" i="8" s="1" a="1"/>
  <c r="D218" i="8" s="1"/>
  <c r="B217" i="8"/>
  <c r="D217" i="8" s="1" a="1"/>
  <c r="D217" i="8" s="1"/>
  <c r="B216" i="8"/>
  <c r="D216" i="8" s="1" a="1"/>
  <c r="D216" i="8" s="1"/>
  <c r="B215" i="8"/>
  <c r="D215" i="8" s="1" a="1"/>
  <c r="D215" i="8" s="1"/>
  <c r="B214" i="8"/>
  <c r="D214" i="8" s="1" a="1"/>
  <c r="D214" i="8" s="1"/>
  <c r="B213" i="8"/>
  <c r="D213" i="8" s="1" a="1"/>
  <c r="D213" i="8" s="1"/>
  <c r="B212" i="8"/>
  <c r="D212" i="8" s="1" a="1"/>
  <c r="D212" i="8" s="1"/>
  <c r="B211" i="8"/>
  <c r="D211" i="8" s="1" a="1"/>
  <c r="D211" i="8" s="1"/>
  <c r="B210" i="8"/>
  <c r="D210" i="8" s="1" a="1"/>
  <c r="D210" i="8" s="1"/>
  <c r="B209" i="8"/>
  <c r="D209" i="8" s="1" a="1"/>
  <c r="D209" i="8" s="1"/>
  <c r="B208" i="8"/>
  <c r="D208" i="8" s="1" a="1"/>
  <c r="D208" i="8" s="1"/>
  <c r="B207" i="8"/>
  <c r="D207" i="8" s="1" a="1"/>
  <c r="D207" i="8" s="1"/>
  <c r="B206" i="8"/>
  <c r="D206" i="8" s="1" a="1"/>
  <c r="D206" i="8" s="1"/>
  <c r="B205" i="8"/>
  <c r="D205" i="8" s="1" a="1"/>
  <c r="D205" i="8" s="1"/>
  <c r="B204" i="8"/>
  <c r="D204" i="8" s="1" a="1"/>
  <c r="D204" i="8" s="1"/>
  <c r="B203" i="8"/>
  <c r="D203" i="8" s="1" a="1"/>
  <c r="D203" i="8" s="1"/>
  <c r="B202" i="8"/>
  <c r="D202" i="8" s="1" a="1"/>
  <c r="D202" i="8" s="1"/>
  <c r="B201" i="8"/>
  <c r="D201" i="8" s="1" a="1"/>
  <c r="D201" i="8" s="1"/>
  <c r="B200" i="8"/>
  <c r="D200" i="8" s="1" a="1"/>
  <c r="D200" i="8" s="1"/>
  <c r="B199" i="8"/>
  <c r="D199" i="8" s="1" a="1"/>
  <c r="D199" i="8" s="1"/>
  <c r="B198" i="8"/>
  <c r="D198" i="8" s="1" a="1"/>
  <c r="D198" i="8" s="1"/>
  <c r="B197" i="8"/>
  <c r="D197" i="8" s="1" a="1"/>
  <c r="D197" i="8" s="1"/>
  <c r="B196" i="8"/>
  <c r="D196" i="8" s="1" a="1"/>
  <c r="D196" i="8" s="1"/>
  <c r="B195" i="8"/>
  <c r="D195" i="8" s="1" a="1"/>
  <c r="D195" i="8" s="1"/>
  <c r="B194" i="8"/>
  <c r="D194" i="8" s="1" a="1"/>
  <c r="D194" i="8" s="1"/>
  <c r="B193" i="8"/>
  <c r="D193" i="8" s="1" a="1"/>
  <c r="D193" i="8" s="1"/>
  <c r="B192" i="8"/>
  <c r="D192" i="8" s="1" a="1"/>
  <c r="D192" i="8" s="1"/>
  <c r="B191" i="8"/>
  <c r="D191" i="8" s="1" a="1"/>
  <c r="D191" i="8" s="1"/>
  <c r="B190" i="8"/>
  <c r="D190" i="8" s="1" a="1"/>
  <c r="D190" i="8" s="1"/>
  <c r="B189" i="8"/>
  <c r="D189" i="8" s="1" a="1"/>
  <c r="D189" i="8" s="1"/>
  <c r="B188" i="8"/>
  <c r="D188" i="8" s="1" a="1"/>
  <c r="D188" i="8" s="1"/>
  <c r="B187" i="8"/>
  <c r="D187" i="8" s="1" a="1"/>
  <c r="D187" i="8" s="1"/>
  <c r="B186" i="8"/>
  <c r="D186" i="8" s="1" a="1"/>
  <c r="D186" i="8" s="1"/>
  <c r="B185" i="8"/>
  <c r="D185" i="8" s="1" a="1"/>
  <c r="D185" i="8" s="1"/>
  <c r="B184" i="8"/>
  <c r="D184" i="8" s="1" a="1"/>
  <c r="D184" i="8" s="1"/>
  <c r="B183" i="8"/>
  <c r="D183" i="8" s="1" a="1"/>
  <c r="D183" i="8" s="1"/>
  <c r="B182" i="8"/>
  <c r="D182" i="8" s="1" a="1"/>
  <c r="D182" i="8" s="1"/>
  <c r="B181" i="8"/>
  <c r="D181" i="8" s="1" a="1"/>
  <c r="D181" i="8" s="1"/>
  <c r="B180" i="8"/>
  <c r="D180" i="8" s="1" a="1"/>
  <c r="D180" i="8" s="1"/>
  <c r="B179" i="8"/>
  <c r="D179" i="8" s="1" a="1"/>
  <c r="D179" i="8" s="1"/>
  <c r="B178" i="8"/>
  <c r="D178" i="8" s="1" a="1"/>
  <c r="D178" i="8" s="1"/>
  <c r="B177" i="8"/>
  <c r="D177" i="8" s="1" a="1"/>
  <c r="D177" i="8" s="1"/>
  <c r="B176" i="8"/>
  <c r="D176" i="8" s="1" a="1"/>
  <c r="D176" i="8" s="1"/>
  <c r="B175" i="8"/>
  <c r="D175" i="8" s="1" a="1"/>
  <c r="D175" i="8" s="1"/>
  <c r="B174" i="8"/>
  <c r="D174" i="8" s="1" a="1"/>
  <c r="D174" i="8" s="1"/>
  <c r="B173" i="8"/>
  <c r="D173" i="8" s="1" a="1"/>
  <c r="D173" i="8" s="1"/>
  <c r="B172" i="8"/>
  <c r="D172" i="8" s="1" a="1"/>
  <c r="D172" i="8" s="1"/>
  <c r="B171" i="8"/>
  <c r="D171" i="8" s="1" a="1"/>
  <c r="D171" i="8" s="1"/>
  <c r="B170" i="8"/>
  <c r="D170" i="8" s="1" a="1"/>
  <c r="D170" i="8" s="1"/>
  <c r="B169" i="8"/>
  <c r="D169" i="8" s="1" a="1"/>
  <c r="D169" i="8" s="1"/>
  <c r="B168" i="8"/>
  <c r="D168" i="8" s="1" a="1"/>
  <c r="D168" i="8" s="1"/>
  <c r="B167" i="8"/>
  <c r="D167" i="8" s="1" a="1"/>
  <c r="D167" i="8" s="1"/>
  <c r="B166" i="8"/>
  <c r="D166" i="8" s="1" a="1"/>
  <c r="D166" i="8" s="1"/>
  <c r="B165" i="8"/>
  <c r="D165" i="8" s="1" a="1"/>
  <c r="D165" i="8" s="1"/>
  <c r="B164" i="8"/>
  <c r="D164" i="8" s="1" a="1"/>
  <c r="D164" i="8" s="1"/>
  <c r="B163" i="8"/>
  <c r="D163" i="8" s="1" a="1"/>
  <c r="D163" i="8" s="1"/>
  <c r="B162" i="8"/>
  <c r="D162" i="8" s="1" a="1"/>
  <c r="D162" i="8" s="1"/>
  <c r="B161" i="8"/>
  <c r="D161" i="8" s="1" a="1"/>
  <c r="D161" i="8" s="1"/>
  <c r="B160" i="8"/>
  <c r="D160" i="8" s="1" a="1"/>
  <c r="D160" i="8" s="1"/>
  <c r="B159" i="8"/>
  <c r="D159" i="8" s="1" a="1"/>
  <c r="D159" i="8" s="1"/>
  <c r="B158" i="8"/>
  <c r="D158" i="8" s="1" a="1"/>
  <c r="D158" i="8" s="1"/>
  <c r="B157" i="8"/>
  <c r="D157" i="8" s="1" a="1"/>
  <c r="D157" i="8" s="1"/>
  <c r="B156" i="8"/>
  <c r="D156" i="8" s="1" a="1"/>
  <c r="D156" i="8" s="1"/>
  <c r="B155" i="8"/>
  <c r="D155" i="8" s="1" a="1"/>
  <c r="D155" i="8" s="1"/>
  <c r="B154" i="8"/>
  <c r="D154" i="8" s="1" a="1"/>
  <c r="D154" i="8" s="1"/>
  <c r="B153" i="8"/>
  <c r="D153" i="8" s="1" a="1"/>
  <c r="D153" i="8" s="1"/>
  <c r="B152" i="8"/>
  <c r="D152" i="8" s="1" a="1"/>
  <c r="D152" i="8" s="1"/>
  <c r="B151" i="8"/>
  <c r="D151" i="8" s="1" a="1"/>
  <c r="D151" i="8" s="1"/>
  <c r="B150" i="8"/>
  <c r="D150" i="8" s="1" a="1"/>
  <c r="D150" i="8" s="1"/>
  <c r="B149" i="8"/>
  <c r="D149" i="8" s="1" a="1"/>
  <c r="D149" i="8" s="1"/>
  <c r="B148" i="8"/>
  <c r="D148" i="8" s="1" a="1"/>
  <c r="D148" i="8" s="1"/>
  <c r="B147" i="8"/>
  <c r="D147" i="8" s="1" a="1"/>
  <c r="D147" i="8" s="1"/>
  <c r="B146" i="8"/>
  <c r="D146" i="8" s="1" a="1"/>
  <c r="D146" i="8" s="1"/>
  <c r="B145" i="8"/>
  <c r="D145" i="8" s="1" a="1"/>
  <c r="D145" i="8" s="1"/>
  <c r="B144" i="8"/>
  <c r="D144" i="8" s="1" a="1"/>
  <c r="D144" i="8" s="1"/>
  <c r="B143" i="8"/>
  <c r="D143" i="8" s="1" a="1"/>
  <c r="D143" i="8" s="1"/>
  <c r="B142" i="8"/>
  <c r="D142" i="8" s="1" a="1"/>
  <c r="D142" i="8" s="1"/>
  <c r="B141" i="8"/>
  <c r="D141" i="8" s="1" a="1"/>
  <c r="D141" i="8" s="1"/>
  <c r="B140" i="8"/>
  <c r="D140" i="8" s="1" a="1"/>
  <c r="D140" i="8" s="1"/>
  <c r="B139" i="8"/>
  <c r="D139" i="8" s="1" a="1"/>
  <c r="D139" i="8" s="1"/>
  <c r="B138" i="8"/>
  <c r="D138" i="8" s="1" a="1"/>
  <c r="D138" i="8" s="1"/>
  <c r="B137" i="8"/>
  <c r="D137" i="8" s="1" a="1"/>
  <c r="D137" i="8" s="1"/>
  <c r="B136" i="8"/>
  <c r="D136" i="8" s="1" a="1"/>
  <c r="D136" i="8" s="1"/>
  <c r="B135" i="8"/>
  <c r="D135" i="8" s="1" a="1"/>
  <c r="D135" i="8" s="1"/>
  <c r="B134" i="8"/>
  <c r="D134" i="8" s="1" a="1"/>
  <c r="D134" i="8" s="1"/>
  <c r="B133" i="8"/>
  <c r="D133" i="8" s="1" a="1"/>
  <c r="D133" i="8" s="1"/>
  <c r="B132" i="8"/>
  <c r="D132" i="8" s="1" a="1"/>
  <c r="D132" i="8" s="1"/>
  <c r="B131" i="8"/>
  <c r="D131" i="8" s="1" a="1"/>
  <c r="D131" i="8" s="1"/>
  <c r="B130" i="8"/>
  <c r="D130" i="8" s="1" a="1"/>
  <c r="D130" i="8" s="1"/>
  <c r="B129" i="8"/>
  <c r="D129" i="8" s="1" a="1"/>
  <c r="D129" i="8" s="1"/>
  <c r="B128" i="8"/>
  <c r="D128" i="8" s="1" a="1"/>
  <c r="D128" i="8" s="1"/>
  <c r="B127" i="8"/>
  <c r="D127" i="8" s="1" a="1"/>
  <c r="D127" i="8" s="1"/>
  <c r="B126" i="8"/>
  <c r="D126" i="8" s="1" a="1"/>
  <c r="D126" i="8" s="1"/>
  <c r="B125" i="8"/>
  <c r="D125" i="8" s="1" a="1"/>
  <c r="D125" i="8" s="1"/>
  <c r="B124" i="8"/>
  <c r="D124" i="8" s="1" a="1"/>
  <c r="D124" i="8" s="1"/>
  <c r="B123" i="8"/>
  <c r="D123" i="8" s="1" a="1"/>
  <c r="D123" i="8" s="1"/>
  <c r="B122" i="8"/>
  <c r="D122" i="8" s="1" a="1"/>
  <c r="D122" i="8" s="1"/>
  <c r="B121" i="8"/>
  <c r="D121" i="8" s="1" a="1"/>
  <c r="D121" i="8" s="1"/>
  <c r="B120" i="8"/>
  <c r="D120" i="8" s="1" a="1"/>
  <c r="D120" i="8" s="1"/>
  <c r="B119" i="8"/>
  <c r="D119" i="8" s="1" a="1"/>
  <c r="D119" i="8" s="1"/>
  <c r="B118" i="8"/>
  <c r="D118" i="8" s="1" a="1"/>
  <c r="D118" i="8" s="1"/>
  <c r="B117" i="8"/>
  <c r="D117" i="8" s="1" a="1"/>
  <c r="D117" i="8" s="1"/>
  <c r="B116" i="8"/>
  <c r="D116" i="8" s="1" a="1"/>
  <c r="D116" i="8" s="1"/>
  <c r="B115" i="8"/>
  <c r="D115" i="8" s="1" a="1"/>
  <c r="D115" i="8" s="1"/>
  <c r="B114" i="8"/>
  <c r="D114" i="8" s="1" a="1"/>
  <c r="D114" i="8" s="1"/>
  <c r="B113" i="8"/>
  <c r="D113" i="8" s="1" a="1"/>
  <c r="D113" i="8" s="1"/>
  <c r="B112" i="8"/>
  <c r="D112" i="8" s="1" a="1"/>
  <c r="D112" i="8" s="1"/>
  <c r="B111" i="8"/>
  <c r="D111" i="8" s="1" a="1"/>
  <c r="D111" i="8" s="1"/>
  <c r="B110" i="8"/>
  <c r="D110" i="8" s="1" a="1"/>
  <c r="D110" i="8" s="1"/>
  <c r="B109" i="8"/>
  <c r="D109" i="8" s="1" a="1"/>
  <c r="D109" i="8" s="1"/>
  <c r="B108" i="8"/>
  <c r="D108" i="8" s="1" a="1"/>
  <c r="D108" i="8" s="1"/>
  <c r="B107" i="8"/>
  <c r="D107" i="8" s="1" a="1"/>
  <c r="D107" i="8" s="1"/>
  <c r="B106" i="8"/>
  <c r="D106" i="8" s="1" a="1"/>
  <c r="D106" i="8" s="1"/>
  <c r="B105" i="8"/>
  <c r="D105" i="8" s="1" a="1"/>
  <c r="D105" i="8" s="1"/>
  <c r="B104" i="8"/>
  <c r="D104" i="8" s="1" a="1"/>
  <c r="D104" i="8" s="1"/>
  <c r="B103" i="8"/>
  <c r="D103" i="8" s="1" a="1"/>
  <c r="D103" i="8" s="1"/>
  <c r="B102" i="8"/>
  <c r="D102" i="8" s="1" a="1"/>
  <c r="D102" i="8" s="1"/>
  <c r="B101" i="8"/>
  <c r="D101" i="8" s="1" a="1"/>
  <c r="D101" i="8" s="1"/>
  <c r="B100" i="8"/>
  <c r="D100" i="8" s="1" a="1"/>
  <c r="D100" i="8" s="1"/>
  <c r="B99" i="8"/>
  <c r="D99" i="8" s="1" a="1"/>
  <c r="D99" i="8" s="1"/>
  <c r="B98" i="8"/>
  <c r="D98" i="8" s="1" a="1"/>
  <c r="D98" i="8" s="1"/>
  <c r="B97" i="8"/>
  <c r="D97" i="8" s="1" a="1"/>
  <c r="D97" i="8" s="1"/>
  <c r="B96" i="8"/>
  <c r="D96" i="8" s="1" a="1"/>
  <c r="D96" i="8" s="1"/>
  <c r="B95" i="8"/>
  <c r="D95" i="8" s="1" a="1"/>
  <c r="D95" i="8" s="1"/>
  <c r="B94" i="8"/>
  <c r="D94" i="8" s="1" a="1"/>
  <c r="D94" i="8" s="1"/>
  <c r="B93" i="8"/>
  <c r="D93" i="8" s="1" a="1"/>
  <c r="D93" i="8" s="1"/>
  <c r="B92" i="8"/>
  <c r="D92" i="8" s="1" a="1"/>
  <c r="D92" i="8" s="1"/>
  <c r="B91" i="8"/>
  <c r="D91" i="8" s="1" a="1"/>
  <c r="D91" i="8" s="1"/>
  <c r="B90" i="8"/>
  <c r="D90" i="8" s="1" a="1"/>
  <c r="D90" i="8" s="1"/>
  <c r="B89" i="8"/>
  <c r="D89" i="8" s="1" a="1"/>
  <c r="D89" i="8" s="1"/>
  <c r="B88" i="8"/>
  <c r="D88" i="8" s="1" a="1"/>
  <c r="D88" i="8" s="1"/>
  <c r="B87" i="8"/>
  <c r="D87" i="8" s="1" a="1"/>
  <c r="D87" i="8" s="1"/>
  <c r="B86" i="8"/>
  <c r="D86" i="8" s="1" a="1"/>
  <c r="D86" i="8" s="1"/>
  <c r="B85" i="8"/>
  <c r="D85" i="8" s="1" a="1"/>
  <c r="D85" i="8" s="1"/>
  <c r="B84" i="8"/>
  <c r="D84" i="8" s="1" a="1"/>
  <c r="D84" i="8" s="1"/>
  <c r="B83" i="8"/>
  <c r="D83" i="8" s="1" a="1"/>
  <c r="D83" i="8" s="1"/>
  <c r="B82" i="8"/>
  <c r="D82" i="8" s="1" a="1"/>
  <c r="D82" i="8" s="1"/>
  <c r="B81" i="8"/>
  <c r="D81" i="8" s="1" a="1"/>
  <c r="D81" i="8" s="1"/>
  <c r="B80" i="8"/>
  <c r="D80" i="8" s="1" a="1"/>
  <c r="D80" i="8" s="1"/>
  <c r="B79" i="8"/>
  <c r="D79" i="8" s="1" a="1"/>
  <c r="D79" i="8" s="1"/>
  <c r="B78" i="8"/>
  <c r="D78" i="8" s="1" a="1"/>
  <c r="D78" i="8" s="1"/>
  <c r="B77" i="8"/>
  <c r="D77" i="8" s="1" a="1"/>
  <c r="D77" i="8" s="1"/>
  <c r="B76" i="8"/>
  <c r="D76" i="8" s="1" a="1"/>
  <c r="D76" i="8" s="1"/>
  <c r="B75" i="8"/>
  <c r="D75" i="8" s="1" a="1"/>
  <c r="D75" i="8" s="1"/>
  <c r="B74" i="8"/>
  <c r="D74" i="8" s="1" a="1"/>
  <c r="D74" i="8" s="1"/>
  <c r="B73" i="8"/>
  <c r="D73" i="8" s="1" a="1"/>
  <c r="D73" i="8" s="1"/>
  <c r="B72" i="8"/>
  <c r="D72" i="8" s="1" a="1"/>
  <c r="D72" i="8" s="1"/>
  <c r="B71" i="8"/>
  <c r="D71" i="8" s="1" a="1"/>
  <c r="D71" i="8" s="1"/>
  <c r="B70" i="8"/>
  <c r="D70" i="8" s="1" a="1"/>
  <c r="D70" i="8" s="1"/>
  <c r="B69" i="8"/>
  <c r="D69" i="8" s="1" a="1"/>
  <c r="D69" i="8" s="1"/>
  <c r="B68" i="8"/>
  <c r="D68" i="8" s="1" a="1"/>
  <c r="D68" i="8" s="1"/>
  <c r="B67" i="8"/>
  <c r="D67" i="8" s="1" a="1"/>
  <c r="D67" i="8" s="1"/>
  <c r="B66" i="8"/>
  <c r="D66" i="8" s="1" a="1"/>
  <c r="D66" i="8" s="1"/>
  <c r="B65" i="8"/>
  <c r="D65" i="8" s="1" a="1"/>
  <c r="D65" i="8" s="1"/>
  <c r="B64" i="8"/>
  <c r="D64" i="8" s="1" a="1"/>
  <c r="D64" i="8" s="1"/>
  <c r="B63" i="8"/>
  <c r="D63" i="8" s="1" a="1"/>
  <c r="D63" i="8" s="1"/>
  <c r="B62" i="8"/>
  <c r="D62" i="8" s="1" a="1"/>
  <c r="D62" i="8" s="1"/>
  <c r="B61" i="8"/>
  <c r="D61" i="8" s="1" a="1"/>
  <c r="D61" i="8" s="1"/>
  <c r="B60" i="8"/>
  <c r="D60" i="8" s="1" a="1"/>
  <c r="D60" i="8" s="1"/>
  <c r="B59" i="8"/>
  <c r="D59" i="8" s="1" a="1"/>
  <c r="D59" i="8" s="1"/>
  <c r="B58" i="8"/>
  <c r="D58" i="8" s="1" a="1"/>
  <c r="D58" i="8" s="1"/>
  <c r="B57" i="8"/>
  <c r="D57" i="8" s="1" a="1"/>
  <c r="D57" i="8" s="1"/>
  <c r="B56" i="8"/>
  <c r="D56" i="8" s="1" a="1"/>
  <c r="D56" i="8" s="1"/>
  <c r="B55" i="8"/>
  <c r="D55" i="8" s="1" a="1"/>
  <c r="D55" i="8" s="1"/>
  <c r="B54" i="8"/>
  <c r="D54" i="8" s="1" a="1"/>
  <c r="D54" i="8" s="1"/>
  <c r="B53" i="8"/>
  <c r="D53" i="8" s="1" a="1"/>
  <c r="D53" i="8" s="1"/>
  <c r="B52" i="8"/>
  <c r="D52" i="8" s="1" a="1"/>
  <c r="D52" i="8" s="1"/>
  <c r="B51" i="8"/>
  <c r="D51" i="8" s="1" a="1"/>
  <c r="D51" i="8" s="1"/>
  <c r="B50" i="8"/>
  <c r="D50" i="8" s="1" a="1"/>
  <c r="D50" i="8" s="1"/>
  <c r="B49" i="8"/>
  <c r="D49" i="8" s="1" a="1"/>
  <c r="D49" i="8" s="1"/>
  <c r="B48" i="8"/>
  <c r="D48" i="8" s="1" a="1"/>
  <c r="D48" i="8" s="1"/>
  <c r="B47" i="8"/>
  <c r="D47" i="8" s="1" a="1"/>
  <c r="D47" i="8" s="1"/>
  <c r="B46" i="8"/>
  <c r="D46" i="8" s="1" a="1"/>
  <c r="D46" i="8" s="1"/>
  <c r="B45" i="8"/>
  <c r="D45" i="8" s="1" a="1"/>
  <c r="D45" i="8" s="1"/>
  <c r="B44" i="8"/>
  <c r="D44" i="8" s="1" a="1"/>
  <c r="D44" i="8" s="1"/>
  <c r="B43" i="8"/>
  <c r="D43" i="8" s="1" a="1"/>
  <c r="D43" i="8" s="1"/>
  <c r="B42" i="8"/>
  <c r="D42" i="8" s="1" a="1"/>
  <c r="D42" i="8" s="1"/>
  <c r="B41" i="8"/>
  <c r="D41" i="8" s="1" a="1"/>
  <c r="D41" i="8" s="1"/>
  <c r="B40" i="8"/>
  <c r="D40" i="8" s="1" a="1"/>
  <c r="D40" i="8" s="1"/>
  <c r="B39" i="8"/>
  <c r="D39" i="8" s="1" a="1"/>
  <c r="D39" i="8" s="1"/>
  <c r="B38" i="8"/>
  <c r="D38" i="8" s="1" a="1"/>
  <c r="D38" i="8" s="1"/>
  <c r="B37" i="8"/>
  <c r="D37" i="8" s="1" a="1"/>
  <c r="D37" i="8" s="1"/>
  <c r="B36" i="8"/>
  <c r="D36" i="8" s="1" a="1"/>
  <c r="D36" i="8" s="1"/>
  <c r="B35" i="8"/>
  <c r="D35" i="8" s="1" a="1"/>
  <c r="D35" i="8" s="1"/>
  <c r="B34" i="8"/>
  <c r="D34" i="8" s="1" a="1"/>
  <c r="D34" i="8" s="1"/>
  <c r="B33" i="8"/>
  <c r="D33" i="8" s="1" a="1"/>
  <c r="D33" i="8" s="1"/>
  <c r="B32" i="8"/>
  <c r="D32" i="8" s="1" a="1"/>
  <c r="D32" i="8" s="1"/>
  <c r="B31" i="8"/>
  <c r="D31" i="8" s="1" a="1"/>
  <c r="D31" i="8" s="1"/>
  <c r="B30" i="8"/>
  <c r="D30" i="8" s="1" a="1"/>
  <c r="D30" i="8" s="1"/>
  <c r="B29" i="8"/>
  <c r="D29" i="8" s="1" a="1"/>
  <c r="D29" i="8" s="1"/>
  <c r="B28" i="8"/>
  <c r="D28" i="8" s="1" a="1"/>
  <c r="D28" i="8" s="1"/>
  <c r="B27" i="8"/>
  <c r="D27" i="8" s="1" a="1"/>
  <c r="D27" i="8" s="1"/>
  <c r="B26" i="8"/>
  <c r="D26" i="8" s="1" a="1"/>
  <c r="D26" i="8" s="1"/>
  <c r="B25" i="8"/>
  <c r="D25" i="8" s="1" a="1"/>
  <c r="D25" i="8" s="1"/>
  <c r="B24" i="8"/>
  <c r="D24" i="8" s="1" a="1"/>
  <c r="D24" i="8" s="1"/>
  <c r="B23" i="8"/>
  <c r="D23" i="8" s="1" a="1"/>
  <c r="D23" i="8" s="1"/>
  <c r="B22" i="8"/>
  <c r="D22" i="8" s="1" a="1"/>
  <c r="D22" i="8" s="1"/>
  <c r="B21" i="8"/>
  <c r="D21" i="8" s="1" a="1"/>
  <c r="D21" i="8" s="1"/>
  <c r="B20" i="8"/>
  <c r="D20" i="8" s="1" a="1"/>
  <c r="D20" i="8" s="1"/>
  <c r="B19" i="8"/>
  <c r="D19" i="8" s="1" a="1"/>
  <c r="D19" i="8" s="1"/>
  <c r="B18" i="8"/>
  <c r="D18" i="8" s="1" a="1"/>
  <c r="D18" i="8" s="1"/>
  <c r="B17" i="8"/>
  <c r="D17" i="8" s="1" a="1"/>
  <c r="D17" i="8" s="1"/>
  <c r="B16" i="8"/>
  <c r="D16" i="8" s="1" a="1"/>
  <c r="D16" i="8" s="1"/>
  <c r="B8" i="2"/>
  <c r="H8" i="2" s="1"/>
  <c r="C37" i="7"/>
  <c r="C38" i="7"/>
  <c r="C39" i="7"/>
  <c r="C40" i="7"/>
  <c r="C41" i="7"/>
  <c r="C42" i="7"/>
  <c r="C43" i="7"/>
  <c r="C44" i="7"/>
  <c r="C45" i="7"/>
  <c r="C36" i="7"/>
  <c r="C35" i="7"/>
  <c r="C34" i="7"/>
  <c r="C33" i="7"/>
  <c r="C32" i="7"/>
  <c r="C31" i="7"/>
  <c r="C30" i="7"/>
  <c r="C29" i="7"/>
  <c r="F7" i="7"/>
  <c r="E7" i="7"/>
  <c r="E8" i="7"/>
  <c r="E9" i="7"/>
  <c r="E10" i="7"/>
  <c r="E11" i="7"/>
  <c r="B15" i="7" a="1"/>
  <c r="B15" i="7"/>
  <c r="B16" i="7"/>
  <c r="B7" i="7"/>
  <c r="B8" i="7"/>
  <c r="B9" i="7"/>
  <c r="B12" i="7"/>
  <c r="B17" i="7" s="1"/>
  <c r="D11" i="3"/>
  <c r="B6" i="3"/>
  <c r="L78" i="2"/>
  <c r="L88" i="2"/>
  <c r="L140" i="2"/>
  <c r="L190" i="2"/>
  <c r="K25" i="2"/>
  <c r="K88" i="2"/>
  <c r="K94" i="2"/>
  <c r="K130" i="2"/>
  <c r="K140" i="2"/>
  <c r="K196" i="2"/>
  <c r="K207" i="2"/>
  <c r="I11" i="1"/>
  <c r="E5" i="1"/>
  <c r="I7" i="1"/>
  <c r="I6" i="1"/>
  <c r="I5" i="1"/>
  <c r="I4" i="1"/>
  <c r="R92" i="3"/>
  <c r="S49" i="3"/>
  <c r="V49" i="3" s="1"/>
  <c r="F11" i="3"/>
  <c r="B5" i="3"/>
  <c r="H207" i="2"/>
  <c r="B207" i="2"/>
  <c r="C207" i="2" s="1"/>
  <c r="B206" i="2"/>
  <c r="B205" i="2"/>
  <c r="H205" i="2" s="1"/>
  <c r="B204" i="2"/>
  <c r="B203" i="2"/>
  <c r="B202" i="2"/>
  <c r="H202" i="2" s="1"/>
  <c r="H201" i="2"/>
  <c r="B201" i="2"/>
  <c r="C201" i="2" s="1"/>
  <c r="B200" i="2"/>
  <c r="B199" i="2"/>
  <c r="C199" i="2" s="1"/>
  <c r="K199" i="2" s="1"/>
  <c r="H198" i="2"/>
  <c r="C198" i="2"/>
  <c r="B198" i="2"/>
  <c r="H197" i="2"/>
  <c r="C197" i="2"/>
  <c r="B197" i="2"/>
  <c r="H196" i="2"/>
  <c r="C196" i="2"/>
  <c r="B196" i="2"/>
  <c r="R201" i="3" s="1"/>
  <c r="B195" i="2"/>
  <c r="B194" i="2"/>
  <c r="C194" i="2" s="1"/>
  <c r="B193" i="2"/>
  <c r="R198" i="3" s="1"/>
  <c r="B192" i="2"/>
  <c r="H192" i="2" s="1"/>
  <c r="B191" i="2"/>
  <c r="H191" i="2" s="1"/>
  <c r="C190" i="2"/>
  <c r="K190" i="2" s="1"/>
  <c r="B190" i="2"/>
  <c r="B189" i="2"/>
  <c r="H188" i="2"/>
  <c r="B188" i="2"/>
  <c r="B187" i="2"/>
  <c r="H187" i="2" s="1"/>
  <c r="B186" i="2"/>
  <c r="B185" i="2"/>
  <c r="B184" i="2"/>
  <c r="C184" i="2" s="1"/>
  <c r="H183" i="2"/>
  <c r="C183" i="2"/>
  <c r="L183" i="2" s="1"/>
  <c r="B183" i="2"/>
  <c r="B182" i="2"/>
  <c r="H182" i="2" s="1"/>
  <c r="D181" i="2"/>
  <c r="B181" i="2"/>
  <c r="H181" i="2" s="1"/>
  <c r="B180" i="2"/>
  <c r="B179" i="2"/>
  <c r="R184" i="3" s="1"/>
  <c r="B178" i="2"/>
  <c r="H178" i="2" s="1"/>
  <c r="B177" i="2"/>
  <c r="C177" i="2" s="1"/>
  <c r="B176" i="2"/>
  <c r="C176" i="2" s="1"/>
  <c r="B175" i="2"/>
  <c r="R180" i="3" s="1"/>
  <c r="B174" i="2"/>
  <c r="H174" i="2" s="1"/>
  <c r="B173" i="2"/>
  <c r="H173" i="2" s="1"/>
  <c r="B172" i="2"/>
  <c r="C172" i="2" s="1"/>
  <c r="B171" i="2"/>
  <c r="C171" i="2" s="1"/>
  <c r="B170" i="2"/>
  <c r="H170" i="2" s="1"/>
  <c r="B169" i="2"/>
  <c r="B169" i="4" s="1"/>
  <c r="D168" i="2"/>
  <c r="B168" i="2"/>
  <c r="H168" i="2" s="1"/>
  <c r="B167" i="2"/>
  <c r="H166" i="2"/>
  <c r="C166" i="2"/>
  <c r="B166" i="2"/>
  <c r="B165" i="2"/>
  <c r="B164" i="2"/>
  <c r="R169" i="3" s="1"/>
  <c r="B163" i="2"/>
  <c r="B162" i="2"/>
  <c r="C162" i="2" s="1"/>
  <c r="B161" i="2"/>
  <c r="H160" i="2"/>
  <c r="B160" i="2"/>
  <c r="H159" i="2"/>
  <c r="C159" i="2"/>
  <c r="B159" i="2"/>
  <c r="B158" i="2"/>
  <c r="B157" i="2"/>
  <c r="B156" i="2"/>
  <c r="H156" i="2" s="1"/>
  <c r="B155" i="2"/>
  <c r="B154" i="2"/>
  <c r="B153" i="2"/>
  <c r="H153" i="2" s="1"/>
  <c r="B152" i="2"/>
  <c r="C152" i="2" s="1"/>
  <c r="B151" i="2"/>
  <c r="B150" i="2"/>
  <c r="B149" i="2"/>
  <c r="H149" i="2" s="1"/>
  <c r="B148" i="2"/>
  <c r="B147" i="2"/>
  <c r="B146" i="2"/>
  <c r="H146" i="2" s="1"/>
  <c r="B145" i="2"/>
  <c r="D144" i="2"/>
  <c r="B144" i="2"/>
  <c r="C144" i="2" s="1"/>
  <c r="B143" i="2"/>
  <c r="B142" i="2"/>
  <c r="B141" i="2"/>
  <c r="I140" i="2"/>
  <c r="C140" i="2"/>
  <c r="B140" i="2"/>
  <c r="B139" i="2"/>
  <c r="H139" i="2" s="1"/>
  <c r="C138" i="2"/>
  <c r="B138" i="2"/>
  <c r="B137" i="2"/>
  <c r="H137" i="2" s="1"/>
  <c r="B136" i="2"/>
  <c r="B135" i="2"/>
  <c r="H135" i="2" s="1"/>
  <c r="B134" i="2"/>
  <c r="C134" i="2" s="1"/>
  <c r="B133" i="2"/>
  <c r="B132" i="2"/>
  <c r="H132" i="2" s="1"/>
  <c r="H131" i="2"/>
  <c r="B131" i="2"/>
  <c r="C131" i="2" s="1"/>
  <c r="C130" i="2"/>
  <c r="B130" i="2"/>
  <c r="B129" i="2"/>
  <c r="H128" i="2"/>
  <c r="C128" i="2"/>
  <c r="B128" i="2"/>
  <c r="H127" i="2"/>
  <c r="C127" i="2"/>
  <c r="K127" i="2" s="1"/>
  <c r="B127" i="2"/>
  <c r="B126" i="2"/>
  <c r="C126" i="2" s="1"/>
  <c r="B125" i="2"/>
  <c r="H125" i="2" s="1"/>
  <c r="B124" i="2"/>
  <c r="C124" i="2" s="1"/>
  <c r="H123" i="2"/>
  <c r="B123" i="2"/>
  <c r="B122" i="2"/>
  <c r="B121" i="2"/>
  <c r="H121" i="2" s="1"/>
  <c r="B120" i="2"/>
  <c r="C120" i="2" s="1"/>
  <c r="B119" i="2"/>
  <c r="B118" i="2"/>
  <c r="H118" i="2" s="1"/>
  <c r="B117" i="2"/>
  <c r="H117" i="2" s="1"/>
  <c r="B116" i="2"/>
  <c r="D115" i="2"/>
  <c r="B115" i="2"/>
  <c r="B114" i="2"/>
  <c r="H114" i="2" s="1"/>
  <c r="B113" i="2"/>
  <c r="H112" i="2"/>
  <c r="B112" i="2"/>
  <c r="B111" i="2"/>
  <c r="B110" i="2"/>
  <c r="B109" i="2"/>
  <c r="H109" i="2" s="1"/>
  <c r="B108" i="2"/>
  <c r="H108" i="2" s="1"/>
  <c r="B107" i="2"/>
  <c r="C107" i="2" s="1"/>
  <c r="B106" i="2"/>
  <c r="C106" i="2" s="1"/>
  <c r="K106" i="2" s="1"/>
  <c r="B105" i="2"/>
  <c r="C105" i="2" s="1"/>
  <c r="B104" i="2"/>
  <c r="H103" i="2"/>
  <c r="C103" i="2"/>
  <c r="B103" i="2"/>
  <c r="B102" i="2"/>
  <c r="C102" i="2" s="1"/>
  <c r="H101" i="2"/>
  <c r="C101" i="2"/>
  <c r="L101" i="2" s="1"/>
  <c r="B101" i="2"/>
  <c r="B100" i="2"/>
  <c r="H100" i="2" s="1"/>
  <c r="D99" i="2"/>
  <c r="B99" i="2"/>
  <c r="H99" i="2" s="1"/>
  <c r="B98" i="2"/>
  <c r="B97" i="2"/>
  <c r="C96" i="2"/>
  <c r="B96" i="2"/>
  <c r="B96" i="4" s="1"/>
  <c r="B95" i="2"/>
  <c r="B94" i="2"/>
  <c r="C94" i="2" s="1"/>
  <c r="L94" i="2" s="1"/>
  <c r="B93" i="2"/>
  <c r="B92" i="2"/>
  <c r="H92" i="2" s="1"/>
  <c r="H91" i="2"/>
  <c r="B91" i="2"/>
  <c r="B90" i="2"/>
  <c r="B89" i="2"/>
  <c r="B88" i="2"/>
  <c r="C88" i="2" s="1"/>
  <c r="B87" i="2"/>
  <c r="B87" i="4" s="1"/>
  <c r="B86" i="2"/>
  <c r="C86" i="2" s="1"/>
  <c r="H85" i="2"/>
  <c r="B85" i="2"/>
  <c r="B84" i="2"/>
  <c r="H83" i="2"/>
  <c r="B83" i="2"/>
  <c r="C82" i="2"/>
  <c r="B82" i="2"/>
  <c r="H82" i="2" s="1"/>
  <c r="B81" i="2"/>
  <c r="R86" i="3" s="1"/>
  <c r="C80" i="2"/>
  <c r="B80" i="2"/>
  <c r="B79" i="2"/>
  <c r="B78" i="2"/>
  <c r="C78" i="2" s="1"/>
  <c r="G78" i="2" s="1"/>
  <c r="B77" i="2"/>
  <c r="H77" i="2" s="1"/>
  <c r="B76" i="2"/>
  <c r="B75" i="2"/>
  <c r="C75" i="2" s="1"/>
  <c r="B74" i="2"/>
  <c r="C74" i="2" s="1"/>
  <c r="H73" i="2"/>
  <c r="B73" i="2"/>
  <c r="C73" i="2" s="1"/>
  <c r="H72" i="2"/>
  <c r="D72" i="2"/>
  <c r="B72" i="2"/>
  <c r="C72" i="2" s="1"/>
  <c r="B71" i="2"/>
  <c r="H71" i="2" s="1"/>
  <c r="B70" i="2"/>
  <c r="B69" i="2"/>
  <c r="H69" i="2" s="1"/>
  <c r="B68" i="2"/>
  <c r="B67" i="2"/>
  <c r="H67" i="2" s="1"/>
  <c r="B66" i="2"/>
  <c r="C66" i="2" s="1"/>
  <c r="B65" i="2"/>
  <c r="C64" i="2"/>
  <c r="B64" i="2"/>
  <c r="H64" i="2" s="1"/>
  <c r="B63" i="2"/>
  <c r="H63" i="2" s="1"/>
  <c r="B62" i="2"/>
  <c r="B61" i="2"/>
  <c r="C60" i="2"/>
  <c r="B60" i="2"/>
  <c r="H59" i="2"/>
  <c r="B59" i="2"/>
  <c r="C59" i="2" s="1"/>
  <c r="B58" i="2"/>
  <c r="H58" i="2" s="1"/>
  <c r="B57" i="2"/>
  <c r="H57" i="2" s="1"/>
  <c r="B56" i="2"/>
  <c r="R61" i="3" s="1"/>
  <c r="B55" i="2"/>
  <c r="H55" i="2" s="1"/>
  <c r="C54" i="2"/>
  <c r="B54" i="2"/>
  <c r="B54" i="4" s="1"/>
  <c r="B53" i="2"/>
  <c r="H53" i="2" s="1"/>
  <c r="C52" i="2"/>
  <c r="B52" i="2"/>
  <c r="B51" i="2"/>
  <c r="H50" i="2"/>
  <c r="C50" i="2"/>
  <c r="K50" i="2" s="1"/>
  <c r="B50" i="2"/>
  <c r="B49" i="2"/>
  <c r="H49" i="2" s="1"/>
  <c r="B48" i="2"/>
  <c r="B47" i="2"/>
  <c r="C47" i="2" s="1"/>
  <c r="K47" i="2" s="1"/>
  <c r="B46" i="2"/>
  <c r="C46" i="2" s="1"/>
  <c r="B45" i="2"/>
  <c r="H45" i="2" s="1"/>
  <c r="I44" i="2"/>
  <c r="H44" i="2"/>
  <c r="C44" i="2"/>
  <c r="B44" i="2"/>
  <c r="B43" i="2"/>
  <c r="H43" i="2" s="1"/>
  <c r="B42" i="2"/>
  <c r="B41" i="2"/>
  <c r="H41" i="2" s="1"/>
  <c r="C40" i="2"/>
  <c r="B40" i="2"/>
  <c r="H40" i="2" s="1"/>
  <c r="D39" i="2"/>
  <c r="B39" i="2"/>
  <c r="B38" i="2"/>
  <c r="B37" i="2"/>
  <c r="B36" i="2"/>
  <c r="H36" i="2" s="1"/>
  <c r="B35" i="2"/>
  <c r="B34" i="2"/>
  <c r="B33" i="2"/>
  <c r="C33" i="2" s="1"/>
  <c r="C32" i="2"/>
  <c r="B32" i="2"/>
  <c r="H31" i="2"/>
  <c r="B31" i="2"/>
  <c r="B31" i="4" s="1"/>
  <c r="D30" i="2"/>
  <c r="C30" i="2"/>
  <c r="B30" i="2"/>
  <c r="H30" i="2" s="1"/>
  <c r="H29" i="2"/>
  <c r="B29" i="2"/>
  <c r="B28" i="2"/>
  <c r="B27" i="2"/>
  <c r="B26" i="2"/>
  <c r="B26" i="4" s="1"/>
  <c r="B25" i="2"/>
  <c r="C25" i="2" s="1"/>
  <c r="L25" i="2" s="1"/>
  <c r="C24" i="2"/>
  <c r="B24" i="2"/>
  <c r="B23" i="2"/>
  <c r="B22" i="2"/>
  <c r="C22" i="2" s="1"/>
  <c r="B21" i="2"/>
  <c r="B21" i="4" s="1"/>
  <c r="B20" i="2"/>
  <c r="H20" i="2" s="1"/>
  <c r="B19" i="2"/>
  <c r="H19" i="2" s="1"/>
  <c r="B18" i="2"/>
  <c r="H18" i="2" s="1"/>
  <c r="B17" i="2"/>
  <c r="C16" i="2"/>
  <c r="B16" i="2"/>
  <c r="B15" i="2"/>
  <c r="H15" i="2" s="1"/>
  <c r="D14" i="2"/>
  <c r="B14" i="2"/>
  <c r="H14" i="2" s="1"/>
  <c r="B13" i="2"/>
  <c r="B13" i="4" s="1"/>
  <c r="D12" i="2"/>
  <c r="B12" i="2"/>
  <c r="B11" i="2"/>
  <c r="B10" i="2"/>
  <c r="C10" i="2" s="1"/>
  <c r="B9" i="2"/>
  <c r="B9" i="4" s="1"/>
  <c r="B5" i="2"/>
  <c r="B4" i="2"/>
  <c r="D86" i="2" s="1"/>
  <c r="F204" i="1"/>
  <c r="E204" i="1"/>
  <c r="F203" i="1"/>
  <c r="E203" i="1"/>
  <c r="F202" i="1"/>
  <c r="E202" i="1"/>
  <c r="F201" i="1"/>
  <c r="E201" i="1"/>
  <c r="F200" i="1"/>
  <c r="E200" i="1"/>
  <c r="F199" i="1"/>
  <c r="E199" i="1"/>
  <c r="F198" i="1"/>
  <c r="E198" i="1"/>
  <c r="F197" i="1"/>
  <c r="E197" i="1"/>
  <c r="F196" i="1"/>
  <c r="E196" i="1"/>
  <c r="F195" i="1"/>
  <c r="E195" i="1"/>
  <c r="F194" i="1"/>
  <c r="E194" i="1"/>
  <c r="F193" i="1"/>
  <c r="E193" i="1"/>
  <c r="F192" i="1"/>
  <c r="E192" i="1"/>
  <c r="F191" i="1"/>
  <c r="E191" i="1"/>
  <c r="F190" i="1"/>
  <c r="E190" i="1"/>
  <c r="F189" i="1"/>
  <c r="E189" i="1"/>
  <c r="F188" i="1"/>
  <c r="E188" i="1"/>
  <c r="F187" i="1"/>
  <c r="E187" i="1"/>
  <c r="F186" i="1"/>
  <c r="E186" i="1"/>
  <c r="F185" i="1"/>
  <c r="E185" i="1"/>
  <c r="F184" i="1"/>
  <c r="E184" i="1"/>
  <c r="F183" i="1"/>
  <c r="E183" i="1"/>
  <c r="F182" i="1"/>
  <c r="E182" i="1"/>
  <c r="F181" i="1"/>
  <c r="E181" i="1"/>
  <c r="F180" i="1"/>
  <c r="E180" i="1"/>
  <c r="F179" i="1"/>
  <c r="E179" i="1"/>
  <c r="F178" i="1"/>
  <c r="E178" i="1"/>
  <c r="F177" i="1"/>
  <c r="E177" i="1"/>
  <c r="F176" i="1"/>
  <c r="E176" i="1"/>
  <c r="F175" i="1"/>
  <c r="E175" i="1"/>
  <c r="F174" i="1"/>
  <c r="E174" i="1"/>
  <c r="F173" i="1"/>
  <c r="E173" i="1"/>
  <c r="F172" i="1"/>
  <c r="E172" i="1"/>
  <c r="F171" i="1"/>
  <c r="E171" i="1"/>
  <c r="F170" i="1"/>
  <c r="E170" i="1"/>
  <c r="F169" i="1"/>
  <c r="E169" i="1"/>
  <c r="F168" i="1"/>
  <c r="E168" i="1"/>
  <c r="F167" i="1"/>
  <c r="E167" i="1"/>
  <c r="F166" i="1"/>
  <c r="E166" i="1"/>
  <c r="F165" i="1"/>
  <c r="E165" i="1"/>
  <c r="F164" i="1"/>
  <c r="E164" i="1"/>
  <c r="F163" i="1"/>
  <c r="E163" i="1"/>
  <c r="F162" i="1"/>
  <c r="E162" i="1"/>
  <c r="F161" i="1"/>
  <c r="E161" i="1"/>
  <c r="F160" i="1"/>
  <c r="E160" i="1"/>
  <c r="F159" i="1"/>
  <c r="E159" i="1"/>
  <c r="F158" i="1"/>
  <c r="E158" i="1"/>
  <c r="F157" i="1"/>
  <c r="E157" i="1"/>
  <c r="F156" i="1"/>
  <c r="E156" i="1"/>
  <c r="F155" i="1"/>
  <c r="E155" i="1"/>
  <c r="F154" i="1"/>
  <c r="E154" i="1"/>
  <c r="F153" i="1"/>
  <c r="E153" i="1"/>
  <c r="F152" i="1"/>
  <c r="E152" i="1"/>
  <c r="F151" i="1"/>
  <c r="E151" i="1"/>
  <c r="F150" i="1"/>
  <c r="E150" i="1"/>
  <c r="F149" i="1"/>
  <c r="E149" i="1"/>
  <c r="F148" i="1"/>
  <c r="E148" i="1"/>
  <c r="F147" i="1"/>
  <c r="E147" i="1"/>
  <c r="F146" i="1"/>
  <c r="E146" i="1"/>
  <c r="F145" i="1"/>
  <c r="E145" i="1"/>
  <c r="F144" i="1"/>
  <c r="E144" i="1"/>
  <c r="F143" i="1"/>
  <c r="E143" i="1"/>
  <c r="F142" i="1"/>
  <c r="E142" i="1"/>
  <c r="F141" i="1"/>
  <c r="E141" i="1"/>
  <c r="F140" i="1"/>
  <c r="E140" i="1"/>
  <c r="F139" i="1"/>
  <c r="E139" i="1"/>
  <c r="F138" i="1"/>
  <c r="E138" i="1"/>
  <c r="F137" i="1"/>
  <c r="E137" i="1"/>
  <c r="F136" i="1"/>
  <c r="E136" i="1"/>
  <c r="F135" i="1"/>
  <c r="E135" i="1"/>
  <c r="F134" i="1"/>
  <c r="E134" i="1"/>
  <c r="F133" i="1"/>
  <c r="E133" i="1"/>
  <c r="F132" i="1"/>
  <c r="E132" i="1"/>
  <c r="F131" i="1"/>
  <c r="E131" i="1"/>
  <c r="F130" i="1"/>
  <c r="E130" i="1"/>
  <c r="F129" i="1"/>
  <c r="E129" i="1"/>
  <c r="F128" i="1"/>
  <c r="E128" i="1"/>
  <c r="F127" i="1"/>
  <c r="E127" i="1"/>
  <c r="F126" i="1"/>
  <c r="E126" i="1"/>
  <c r="F125" i="1"/>
  <c r="E125" i="1"/>
  <c r="F124" i="1"/>
  <c r="E124" i="1"/>
  <c r="F123" i="1"/>
  <c r="E123" i="1"/>
  <c r="F122" i="1"/>
  <c r="E122" i="1"/>
  <c r="F121" i="1"/>
  <c r="E121" i="1"/>
  <c r="F120" i="1"/>
  <c r="E120" i="1"/>
  <c r="F119" i="1"/>
  <c r="E119" i="1"/>
  <c r="F118" i="1"/>
  <c r="E118" i="1"/>
  <c r="F117" i="1"/>
  <c r="E117" i="1"/>
  <c r="F116" i="1"/>
  <c r="E116" i="1"/>
  <c r="F115" i="1"/>
  <c r="E115" i="1"/>
  <c r="F114" i="1"/>
  <c r="E114" i="1"/>
  <c r="F113" i="1"/>
  <c r="E113" i="1"/>
  <c r="F112" i="1"/>
  <c r="E112" i="1"/>
  <c r="F111" i="1"/>
  <c r="E111" i="1"/>
  <c r="F110" i="1"/>
  <c r="E110" i="1"/>
  <c r="F109" i="1"/>
  <c r="E109" i="1"/>
  <c r="F108" i="1"/>
  <c r="E108" i="1"/>
  <c r="F107" i="1"/>
  <c r="E107" i="1"/>
  <c r="F106" i="1"/>
  <c r="E106" i="1"/>
  <c r="F105" i="1"/>
  <c r="E105" i="1"/>
  <c r="F104" i="1"/>
  <c r="E104" i="1"/>
  <c r="F103" i="1"/>
  <c r="E103" i="1"/>
  <c r="F102" i="1"/>
  <c r="E102" i="1"/>
  <c r="F101" i="1"/>
  <c r="E101" i="1"/>
  <c r="F100" i="1"/>
  <c r="E100" i="1"/>
  <c r="F99" i="1"/>
  <c r="E99" i="1"/>
  <c r="F98" i="1"/>
  <c r="E98" i="1"/>
  <c r="F97" i="1"/>
  <c r="E97" i="1"/>
  <c r="F96" i="1"/>
  <c r="E96" i="1"/>
  <c r="F95" i="1"/>
  <c r="E95" i="1"/>
  <c r="F94" i="1"/>
  <c r="E94" i="1"/>
  <c r="F93" i="1"/>
  <c r="E93" i="1"/>
  <c r="F92" i="1"/>
  <c r="E92" i="1"/>
  <c r="F91" i="1"/>
  <c r="E91" i="1"/>
  <c r="F90" i="1"/>
  <c r="E90" i="1"/>
  <c r="F89" i="1"/>
  <c r="E89" i="1"/>
  <c r="F88" i="1"/>
  <c r="E88" i="1"/>
  <c r="F87" i="1"/>
  <c r="E87" i="1"/>
  <c r="F86" i="1"/>
  <c r="E86" i="1"/>
  <c r="F85" i="1"/>
  <c r="E85" i="1"/>
  <c r="F84" i="1"/>
  <c r="E84" i="1"/>
  <c r="F83" i="1"/>
  <c r="E83" i="1"/>
  <c r="F82" i="1"/>
  <c r="E82" i="1"/>
  <c r="F81" i="1"/>
  <c r="E81" i="1"/>
  <c r="F80" i="1"/>
  <c r="E80" i="1"/>
  <c r="F79" i="1"/>
  <c r="E79" i="1"/>
  <c r="F78" i="1"/>
  <c r="E78" i="1"/>
  <c r="F77" i="1"/>
  <c r="E77" i="1"/>
  <c r="F76" i="1"/>
  <c r="E76" i="1"/>
  <c r="F75" i="1"/>
  <c r="E75" i="1"/>
  <c r="F74" i="1"/>
  <c r="E74" i="1"/>
  <c r="F73" i="1"/>
  <c r="E73" i="1"/>
  <c r="F72" i="1"/>
  <c r="E72" i="1"/>
  <c r="F71" i="1"/>
  <c r="E71" i="1"/>
  <c r="F70" i="1"/>
  <c r="E70" i="1"/>
  <c r="F69" i="1"/>
  <c r="E69" i="1"/>
  <c r="F68" i="1"/>
  <c r="E68" i="1"/>
  <c r="F67" i="1"/>
  <c r="E67" i="1"/>
  <c r="F66" i="1"/>
  <c r="E66" i="1"/>
  <c r="F65" i="1"/>
  <c r="E65" i="1"/>
  <c r="F64" i="1"/>
  <c r="E64" i="1"/>
  <c r="F63" i="1"/>
  <c r="E63" i="1"/>
  <c r="F62" i="1"/>
  <c r="E62" i="1"/>
  <c r="F61" i="1"/>
  <c r="E61" i="1"/>
  <c r="F60" i="1"/>
  <c r="E60" i="1"/>
  <c r="F59" i="1"/>
  <c r="E59" i="1"/>
  <c r="F58" i="1"/>
  <c r="E58" i="1"/>
  <c r="F57" i="1"/>
  <c r="E57" i="1"/>
  <c r="F56" i="1"/>
  <c r="E56" i="1"/>
  <c r="F55" i="1"/>
  <c r="E55" i="1"/>
  <c r="F54" i="1"/>
  <c r="E54" i="1"/>
  <c r="F53" i="1"/>
  <c r="E53" i="1"/>
  <c r="F52" i="1"/>
  <c r="E52" i="1"/>
  <c r="F51" i="1"/>
  <c r="E51" i="1"/>
  <c r="F50" i="1"/>
  <c r="E50" i="1"/>
  <c r="F49" i="1"/>
  <c r="E49" i="1"/>
  <c r="F48" i="1"/>
  <c r="E48" i="1"/>
  <c r="F47" i="1"/>
  <c r="E47" i="1"/>
  <c r="F46" i="1"/>
  <c r="E46" i="1"/>
  <c r="F45" i="1"/>
  <c r="E45" i="1"/>
  <c r="F44" i="1"/>
  <c r="E44" i="1"/>
  <c r="F43" i="1"/>
  <c r="E43" i="1"/>
  <c r="F42" i="1"/>
  <c r="E42" i="1"/>
  <c r="F41" i="1"/>
  <c r="E41" i="1"/>
  <c r="F40" i="1"/>
  <c r="E40" i="1"/>
  <c r="F39" i="1"/>
  <c r="E39" i="1"/>
  <c r="F38" i="1"/>
  <c r="E38" i="1"/>
  <c r="F37" i="1"/>
  <c r="E37" i="1"/>
  <c r="F36" i="1"/>
  <c r="E36" i="1"/>
  <c r="F35" i="1"/>
  <c r="E35" i="1"/>
  <c r="F34" i="1"/>
  <c r="E34" i="1"/>
  <c r="F33" i="1"/>
  <c r="E33" i="1"/>
  <c r="F32" i="1"/>
  <c r="E32" i="1"/>
  <c r="F31" i="1"/>
  <c r="E31" i="1"/>
  <c r="F30" i="1"/>
  <c r="E30" i="1"/>
  <c r="F29" i="1"/>
  <c r="E29" i="1"/>
  <c r="F28" i="1"/>
  <c r="E28" i="1"/>
  <c r="F27" i="1"/>
  <c r="E27" i="1"/>
  <c r="F26" i="1"/>
  <c r="E26" i="1"/>
  <c r="F25" i="1"/>
  <c r="E25" i="1"/>
  <c r="F24" i="1"/>
  <c r="E24" i="1"/>
  <c r="F23" i="1"/>
  <c r="E23" i="1"/>
  <c r="F22" i="1"/>
  <c r="E22" i="1"/>
  <c r="F21" i="1"/>
  <c r="E21" i="1"/>
  <c r="F20" i="1"/>
  <c r="E20" i="1"/>
  <c r="F19" i="1"/>
  <c r="E19" i="1"/>
  <c r="F18" i="1"/>
  <c r="E18" i="1"/>
  <c r="F17" i="1"/>
  <c r="E17" i="1"/>
  <c r="F16" i="1"/>
  <c r="E16" i="1"/>
  <c r="F15" i="1"/>
  <c r="E15" i="1"/>
  <c r="F14" i="1"/>
  <c r="E14" i="1"/>
  <c r="F13" i="1"/>
  <c r="E13" i="1"/>
  <c r="F12" i="1"/>
  <c r="E12" i="1"/>
  <c r="F11" i="1"/>
  <c r="E11" i="1"/>
  <c r="I10" i="1"/>
  <c r="F10" i="1"/>
  <c r="E10" i="1"/>
  <c r="I9" i="1"/>
  <c r="F9" i="1"/>
  <c r="E9" i="1"/>
  <c r="I8" i="1"/>
  <c r="F8" i="1"/>
  <c r="E8" i="1"/>
  <c r="F7" i="1"/>
  <c r="E7" i="1"/>
  <c r="F6" i="1"/>
  <c r="E6" i="1"/>
  <c r="F5" i="1"/>
  <c r="G18" i="8" l="1"/>
  <c r="G19" i="8"/>
  <c r="G20" i="8"/>
  <c r="G21" i="8"/>
  <c r="G28" i="8"/>
  <c r="G30" i="8"/>
  <c r="G32" i="8"/>
  <c r="G33" i="8"/>
  <c r="G34" i="8"/>
  <c r="G35" i="8"/>
  <c r="G42" i="8"/>
  <c r="G44" i="8"/>
  <c r="G46" i="8"/>
  <c r="G47" i="8"/>
  <c r="G48" i="8"/>
  <c r="G49" i="8"/>
  <c r="G56" i="8"/>
  <c r="G58" i="8"/>
  <c r="G60" i="8"/>
  <c r="G61" i="8"/>
  <c r="G62" i="8"/>
  <c r="G63" i="8"/>
  <c r="G70" i="8"/>
  <c r="G72" i="8"/>
  <c r="G74" i="8"/>
  <c r="G75" i="8"/>
  <c r="G76" i="8"/>
  <c r="G77" i="8"/>
  <c r="G84" i="8"/>
  <c r="G86" i="8"/>
  <c r="G88" i="8"/>
  <c r="G89" i="8"/>
  <c r="G90" i="8"/>
  <c r="G91" i="8"/>
  <c r="G98" i="8"/>
  <c r="G100" i="8"/>
  <c r="G102" i="8"/>
  <c r="G103" i="8"/>
  <c r="G104" i="8"/>
  <c r="G105" i="8"/>
  <c r="G112" i="8"/>
  <c r="G114" i="8"/>
  <c r="G116" i="8"/>
  <c r="G117" i="8"/>
  <c r="G118" i="8"/>
  <c r="G119" i="8"/>
  <c r="G126" i="8"/>
  <c r="G128" i="8"/>
  <c r="G130" i="8"/>
  <c r="G131" i="8"/>
  <c r="G132" i="8"/>
  <c r="G133" i="8"/>
  <c r="G140" i="8"/>
  <c r="G142" i="8"/>
  <c r="G144" i="8"/>
  <c r="G145" i="8"/>
  <c r="G146" i="8"/>
  <c r="G147" i="8"/>
  <c r="G154" i="8"/>
  <c r="G156" i="8"/>
  <c r="G158" i="8"/>
  <c r="G159" i="8"/>
  <c r="G160" i="8"/>
  <c r="G161" i="8"/>
  <c r="G168" i="8"/>
  <c r="G170" i="8"/>
  <c r="G172" i="8"/>
  <c r="G173" i="8"/>
  <c r="G174" i="8"/>
  <c r="G175" i="8"/>
  <c r="G182" i="8"/>
  <c r="G184" i="8"/>
  <c r="G186" i="8"/>
  <c r="G187" i="8"/>
  <c r="G188" i="8"/>
  <c r="G189" i="8"/>
  <c r="G196" i="8"/>
  <c r="G198" i="8"/>
  <c r="G200" i="8"/>
  <c r="G201" i="8"/>
  <c r="G202" i="8"/>
  <c r="G203" i="8"/>
  <c r="G210" i="8"/>
  <c r="G212" i="8"/>
  <c r="G214" i="8"/>
  <c r="G215" i="8"/>
  <c r="G216" i="8"/>
  <c r="G217" i="8"/>
  <c r="G224" i="8"/>
  <c r="G226" i="8"/>
  <c r="G228" i="8"/>
  <c r="G229" i="8"/>
  <c r="G230" i="8"/>
  <c r="G231" i="8"/>
  <c r="G238" i="8"/>
  <c r="G240" i="8"/>
  <c r="G242" i="8"/>
  <c r="G243" i="8"/>
  <c r="G244" i="8"/>
  <c r="G245" i="8"/>
  <c r="G252" i="8"/>
  <c r="G254" i="8"/>
  <c r="G256" i="8"/>
  <c r="G257" i="8"/>
  <c r="G258" i="8"/>
  <c r="G259" i="8"/>
  <c r="G266" i="8"/>
  <c r="G268" i="8"/>
  <c r="G270" i="8"/>
  <c r="G271" i="8"/>
  <c r="G272" i="8"/>
  <c r="G273" i="8"/>
  <c r="G280" i="8"/>
  <c r="G282" i="8"/>
  <c r="G284" i="8"/>
  <c r="G285" i="8"/>
  <c r="G286" i="8"/>
  <c r="G287" i="8"/>
  <c r="G294" i="8"/>
  <c r="G296" i="8"/>
  <c r="G298" i="8"/>
  <c r="G299" i="8"/>
  <c r="G300" i="8"/>
  <c r="G301" i="8"/>
  <c r="G308" i="8"/>
  <c r="G310" i="8"/>
  <c r="G312" i="8"/>
  <c r="G313" i="8"/>
  <c r="G314" i="8"/>
  <c r="G315" i="8"/>
  <c r="G322" i="8"/>
  <c r="G324" i="8"/>
  <c r="G326" i="8"/>
  <c r="G327" i="8"/>
  <c r="G328" i="8"/>
  <c r="G329" i="8"/>
  <c r="G336" i="8"/>
  <c r="G338" i="8"/>
  <c r="G340" i="8"/>
  <c r="G341" i="8"/>
  <c r="G342" i="8"/>
  <c r="G343" i="8"/>
  <c r="G350" i="8"/>
  <c r="G352" i="8"/>
  <c r="G354" i="8"/>
  <c r="G355" i="8"/>
  <c r="G356" i="8"/>
  <c r="G357" i="8"/>
  <c r="G364" i="8"/>
  <c r="G366" i="8"/>
  <c r="G368" i="8"/>
  <c r="G369" i="8"/>
  <c r="G370" i="8"/>
  <c r="G371" i="8"/>
  <c r="G378" i="8"/>
  <c r="G380" i="8"/>
  <c r="G382" i="8"/>
  <c r="G383" i="8"/>
  <c r="G384" i="8"/>
  <c r="G385" i="8"/>
  <c r="G392" i="8"/>
  <c r="G394" i="8"/>
  <c r="G396" i="8"/>
  <c r="G397" i="8"/>
  <c r="G398" i="8"/>
  <c r="G399" i="8"/>
  <c r="G406" i="8"/>
  <c r="G408" i="8"/>
  <c r="G410" i="8"/>
  <c r="G411" i="8"/>
  <c r="G412" i="8"/>
  <c r="G413" i="8"/>
  <c r="G420" i="8"/>
  <c r="G422" i="8"/>
  <c r="G424" i="8"/>
  <c r="G425" i="8"/>
  <c r="G426" i="8"/>
  <c r="G427" i="8"/>
  <c r="G434" i="8"/>
  <c r="G436" i="8"/>
  <c r="G438" i="8"/>
  <c r="G439" i="8"/>
  <c r="G440" i="8"/>
  <c r="G441" i="8"/>
  <c r="G448" i="8"/>
  <c r="G450" i="8"/>
  <c r="G452" i="8"/>
  <c r="G453" i="8"/>
  <c r="G454" i="8"/>
  <c r="G455" i="8"/>
  <c r="G462" i="8"/>
  <c r="G464" i="8"/>
  <c r="G466" i="8"/>
  <c r="G467" i="8"/>
  <c r="G468" i="8"/>
  <c r="G469" i="8"/>
  <c r="G476" i="8"/>
  <c r="G478" i="8"/>
  <c r="G480" i="8"/>
  <c r="G481" i="8"/>
  <c r="G482" i="8"/>
  <c r="G483" i="8"/>
  <c r="G490" i="8"/>
  <c r="G492" i="8"/>
  <c r="G494" i="8"/>
  <c r="G495" i="8"/>
  <c r="G496" i="8"/>
  <c r="G497" i="8"/>
  <c r="G504" i="8"/>
  <c r="G506" i="8"/>
  <c r="G508" i="8"/>
  <c r="G509" i="8"/>
  <c r="G510" i="8"/>
  <c r="G511" i="8"/>
  <c r="G518" i="8"/>
  <c r="G520" i="8"/>
  <c r="G522" i="8"/>
  <c r="G523" i="8"/>
  <c r="G524" i="8"/>
  <c r="G525" i="8"/>
  <c r="G532" i="8"/>
  <c r="G534" i="8"/>
  <c r="G536" i="8"/>
  <c r="G537" i="8"/>
  <c r="G538" i="8"/>
  <c r="G539" i="8"/>
  <c r="G546" i="8"/>
  <c r="G548" i="8"/>
  <c r="G550" i="8"/>
  <c r="G551" i="8"/>
  <c r="G552" i="8"/>
  <c r="G553" i="8"/>
  <c r="G560" i="8"/>
  <c r="G562" i="8"/>
  <c r="G564" i="8"/>
  <c r="G565" i="8"/>
  <c r="G566" i="8"/>
  <c r="G567" i="8"/>
  <c r="G574" i="8"/>
  <c r="G576" i="8"/>
  <c r="G578" i="8"/>
  <c r="G579" i="8"/>
  <c r="G580" i="8"/>
  <c r="G581" i="8"/>
  <c r="G588" i="8"/>
  <c r="G590" i="8"/>
  <c r="G592" i="8"/>
  <c r="G593" i="8"/>
  <c r="G594" i="8"/>
  <c r="G595" i="8"/>
  <c r="G602" i="8"/>
  <c r="G604" i="8"/>
  <c r="G606" i="8"/>
  <c r="G607" i="8"/>
  <c r="G608" i="8"/>
  <c r="G609" i="8"/>
  <c r="G616" i="8"/>
  <c r="G618" i="8"/>
  <c r="G620" i="8"/>
  <c r="G621" i="8"/>
  <c r="G622" i="8"/>
  <c r="G623" i="8"/>
  <c r="G630" i="8"/>
  <c r="G632" i="8"/>
  <c r="G634" i="8"/>
  <c r="G635" i="8"/>
  <c r="G636" i="8"/>
  <c r="G637" i="8"/>
  <c r="G644" i="8"/>
  <c r="G646" i="8"/>
  <c r="G648" i="8"/>
  <c r="G649" i="8"/>
  <c r="G650" i="8"/>
  <c r="G651" i="8"/>
  <c r="G658" i="8"/>
  <c r="G660" i="8"/>
  <c r="G662" i="8"/>
  <c r="G663" i="8"/>
  <c r="G664" i="8"/>
  <c r="G665" i="8"/>
  <c r="G672" i="8"/>
  <c r="G674" i="8"/>
  <c r="G676" i="8"/>
  <c r="G677" i="8"/>
  <c r="G678" i="8"/>
  <c r="G679" i="8"/>
  <c r="G686" i="8"/>
  <c r="G688" i="8"/>
  <c r="G690" i="8"/>
  <c r="G691" i="8"/>
  <c r="G692" i="8"/>
  <c r="G693" i="8"/>
  <c r="G700" i="8"/>
  <c r="G702" i="8"/>
  <c r="G704" i="8"/>
  <c r="G705" i="8"/>
  <c r="G706" i="8"/>
  <c r="G707" i="8"/>
  <c r="G714" i="8"/>
  <c r="G716" i="8"/>
  <c r="G718" i="8"/>
  <c r="G719" i="8"/>
  <c r="G720" i="8"/>
  <c r="G721" i="8"/>
  <c r="G728" i="8"/>
  <c r="G730" i="8"/>
  <c r="G732" i="8"/>
  <c r="G733" i="8"/>
  <c r="G734" i="8"/>
  <c r="G735" i="8"/>
  <c r="G742" i="8"/>
  <c r="G744" i="8"/>
  <c r="G746" i="8"/>
  <c r="G747" i="8"/>
  <c r="G748" i="8"/>
  <c r="G749" i="8"/>
  <c r="G756" i="8"/>
  <c r="G758" i="8"/>
  <c r="G760" i="8"/>
  <c r="G761" i="8"/>
  <c r="G762" i="8"/>
  <c r="G763" i="8"/>
  <c r="G770" i="8"/>
  <c r="G772" i="8"/>
  <c r="G774" i="8"/>
  <c r="G775" i="8"/>
  <c r="G776" i="8"/>
  <c r="G777" i="8"/>
  <c r="G784" i="8"/>
  <c r="G786" i="8"/>
  <c r="G788" i="8"/>
  <c r="G789" i="8"/>
  <c r="G790" i="8"/>
  <c r="G791" i="8"/>
  <c r="G798" i="8"/>
  <c r="G800" i="8"/>
  <c r="G802" i="8"/>
  <c r="G803" i="8"/>
  <c r="G804" i="8"/>
  <c r="G805" i="8"/>
  <c r="G812" i="8"/>
  <c r="G814" i="8"/>
  <c r="G816" i="8"/>
  <c r="G817" i="8"/>
  <c r="G818" i="8"/>
  <c r="G819" i="8"/>
  <c r="G826" i="8"/>
  <c r="G828" i="8"/>
  <c r="G830" i="8"/>
  <c r="G831" i="8"/>
  <c r="G832" i="8"/>
  <c r="G833" i="8"/>
  <c r="G840" i="8"/>
  <c r="G842" i="8"/>
  <c r="G844" i="8"/>
  <c r="G845" i="8"/>
  <c r="G846" i="8"/>
  <c r="G847" i="8"/>
  <c r="G854" i="8"/>
  <c r="G856" i="8"/>
  <c r="G858" i="8"/>
  <c r="G859" i="8"/>
  <c r="G860" i="8"/>
  <c r="G861" i="8"/>
  <c r="G868" i="8"/>
  <c r="G870" i="8"/>
  <c r="G872" i="8"/>
  <c r="G873" i="8"/>
  <c r="G874" i="8"/>
  <c r="G875" i="8"/>
  <c r="G882" i="8"/>
  <c r="G884" i="8"/>
  <c r="G886" i="8"/>
  <c r="G887" i="8"/>
  <c r="G888" i="8"/>
  <c r="G889" i="8"/>
  <c r="G896" i="8"/>
  <c r="G898" i="8"/>
  <c r="G900" i="8"/>
  <c r="G901" i="8"/>
  <c r="G902" i="8"/>
  <c r="G903" i="8"/>
  <c r="G910" i="8"/>
  <c r="G912" i="8"/>
  <c r="G914" i="8"/>
  <c r="G915" i="8"/>
  <c r="G916" i="8"/>
  <c r="G917" i="8"/>
  <c r="G924" i="8"/>
  <c r="G926" i="8"/>
  <c r="G928" i="8"/>
  <c r="G929" i="8"/>
  <c r="G930" i="8"/>
  <c r="G931" i="8"/>
  <c r="G938" i="8"/>
  <c r="G940" i="8"/>
  <c r="G942" i="8"/>
  <c r="G943" i="8"/>
  <c r="G944" i="8"/>
  <c r="G945" i="8"/>
  <c r="G952" i="8"/>
  <c r="G954" i="8"/>
  <c r="G956" i="8"/>
  <c r="G957" i="8"/>
  <c r="G958" i="8"/>
  <c r="G959" i="8"/>
  <c r="G966" i="8"/>
  <c r="G968" i="8"/>
  <c r="G970" i="8"/>
  <c r="G971" i="8"/>
  <c r="G972" i="8"/>
  <c r="G973" i="8"/>
  <c r="G980" i="8"/>
  <c r="G982" i="8"/>
  <c r="G984" i="8"/>
  <c r="G985" i="8"/>
  <c r="G986" i="8"/>
  <c r="G987" i="8"/>
  <c r="G994" i="8"/>
  <c r="G996" i="8"/>
  <c r="G998" i="8"/>
  <c r="G999" i="8"/>
  <c r="G1000" i="8"/>
  <c r="G1001" i="8"/>
  <c r="G1008" i="8"/>
  <c r="G1010" i="8"/>
  <c r="G1012" i="8"/>
  <c r="G1013" i="8"/>
  <c r="G1014" i="8"/>
  <c r="G1015" i="8"/>
  <c r="G50" i="8"/>
  <c r="G120" i="8"/>
  <c r="G190" i="8"/>
  <c r="G260" i="8"/>
  <c r="G330" i="8"/>
  <c r="G372" i="8"/>
  <c r="G442" i="8"/>
  <c r="G526" i="8"/>
  <c r="G596" i="8"/>
  <c r="G666" i="8"/>
  <c r="G736" i="8"/>
  <c r="G792" i="8"/>
  <c r="G862" i="8"/>
  <c r="G932" i="8"/>
  <c r="G1002" i="8"/>
  <c r="G64" i="8"/>
  <c r="G134" i="8"/>
  <c r="G218" i="8"/>
  <c r="G288" i="8"/>
  <c r="G344" i="8"/>
  <c r="G414" i="8"/>
  <c r="G484" i="8"/>
  <c r="G554" i="8"/>
  <c r="G610" i="8"/>
  <c r="G680" i="8"/>
  <c r="G750" i="8"/>
  <c r="G806" i="8"/>
  <c r="G876" i="8"/>
  <c r="G946" i="8"/>
  <c r="G37" i="8"/>
  <c r="G79" i="8"/>
  <c r="G149" i="8"/>
  <c r="G205" i="8"/>
  <c r="G275" i="8"/>
  <c r="G359" i="8"/>
  <c r="G36" i="8"/>
  <c r="G106" i="8"/>
  <c r="G162" i="8"/>
  <c r="G232" i="8"/>
  <c r="G302" i="8"/>
  <c r="G400" i="8"/>
  <c r="G470" i="8"/>
  <c r="G512" i="8"/>
  <c r="G582" i="8"/>
  <c r="G652" i="8"/>
  <c r="G722" i="8"/>
  <c r="G778" i="8"/>
  <c r="G848" i="8"/>
  <c r="G918" i="8"/>
  <c r="G960" i="8"/>
  <c r="G51" i="8"/>
  <c r="G107" i="8"/>
  <c r="G163" i="8"/>
  <c r="G219" i="8"/>
  <c r="G261" i="8"/>
  <c r="G345" i="8"/>
  <c r="G78" i="8"/>
  <c r="G148" i="8"/>
  <c r="G204" i="8"/>
  <c r="G274" i="8"/>
  <c r="G358" i="8"/>
  <c r="G428" i="8"/>
  <c r="G498" i="8"/>
  <c r="G568" i="8"/>
  <c r="G638" i="8"/>
  <c r="G708" i="8"/>
  <c r="G764" i="8"/>
  <c r="G834" i="8"/>
  <c r="G904" i="8"/>
  <c r="G988" i="8"/>
  <c r="G23" i="8"/>
  <c r="G93" i="8"/>
  <c r="G121" i="8"/>
  <c r="G191" i="8"/>
  <c r="G233" i="8"/>
  <c r="G289" i="8"/>
  <c r="G317" i="8"/>
  <c r="G22" i="8"/>
  <c r="G92" i="8"/>
  <c r="G176" i="8"/>
  <c r="G246" i="8"/>
  <c r="G316" i="8"/>
  <c r="G386" i="8"/>
  <c r="G456" i="8"/>
  <c r="G540" i="8"/>
  <c r="G624" i="8"/>
  <c r="G694" i="8"/>
  <c r="G820" i="8"/>
  <c r="G890" i="8"/>
  <c r="G974" i="8"/>
  <c r="G65" i="8"/>
  <c r="G135" i="8"/>
  <c r="G177" i="8"/>
  <c r="G247" i="8"/>
  <c r="G303" i="8"/>
  <c r="G415" i="8"/>
  <c r="G457" i="8"/>
  <c r="G527" i="8"/>
  <c r="G583" i="8"/>
  <c r="G653" i="8"/>
  <c r="G681" i="8"/>
  <c r="G723" i="8"/>
  <c r="G737" i="8"/>
  <c r="G751" i="8"/>
  <c r="G765" i="8"/>
  <c r="G779" i="8"/>
  <c r="G793" i="8"/>
  <c r="G807" i="8"/>
  <c r="G821" i="8"/>
  <c r="G835" i="8"/>
  <c r="G849" i="8"/>
  <c r="G863" i="8"/>
  <c r="G877" i="8"/>
  <c r="G891" i="8"/>
  <c r="G905" i="8"/>
  <c r="G919" i="8"/>
  <c r="G933" i="8"/>
  <c r="G947" i="8"/>
  <c r="G961" i="8"/>
  <c r="G975" i="8"/>
  <c r="G989" i="8"/>
  <c r="G1003" i="8"/>
  <c r="G401" i="8"/>
  <c r="G471" i="8"/>
  <c r="G541" i="8"/>
  <c r="G611" i="8"/>
  <c r="G667" i="8"/>
  <c r="G52" i="8"/>
  <c r="G94" i="8"/>
  <c r="G136" i="8"/>
  <c r="G178" i="8"/>
  <c r="G206" i="8"/>
  <c r="G220" i="8"/>
  <c r="G234" i="8"/>
  <c r="G248" i="8"/>
  <c r="G262" i="8"/>
  <c r="G276" i="8"/>
  <c r="G290" i="8"/>
  <c r="G304" i="8"/>
  <c r="G318" i="8"/>
  <c r="G332" i="8"/>
  <c r="G346" i="8"/>
  <c r="G360" i="8"/>
  <c r="G374" i="8"/>
  <c r="G388" i="8"/>
  <c r="G402" i="8"/>
  <c r="G416" i="8"/>
  <c r="G430" i="8"/>
  <c r="G444" i="8"/>
  <c r="G458" i="8"/>
  <c r="G472" i="8"/>
  <c r="G486" i="8"/>
  <c r="G500" i="8"/>
  <c r="G514" i="8"/>
  <c r="G528" i="8"/>
  <c r="G542" i="8"/>
  <c r="G556" i="8"/>
  <c r="G570" i="8"/>
  <c r="G584" i="8"/>
  <c r="G598" i="8"/>
  <c r="G612" i="8"/>
  <c r="G626" i="8"/>
  <c r="G640" i="8"/>
  <c r="G654" i="8"/>
  <c r="G668" i="8"/>
  <c r="G682" i="8"/>
  <c r="G696" i="8"/>
  <c r="G710" i="8"/>
  <c r="G724" i="8"/>
  <c r="G738" i="8"/>
  <c r="G752" i="8"/>
  <c r="G766" i="8"/>
  <c r="G780" i="8"/>
  <c r="G794" i="8"/>
  <c r="G808" i="8"/>
  <c r="G822" i="8"/>
  <c r="G836" i="8"/>
  <c r="G850" i="8"/>
  <c r="G864" i="8"/>
  <c r="G878" i="8"/>
  <c r="G892" i="8"/>
  <c r="G906" i="8"/>
  <c r="G920" i="8"/>
  <c r="G934" i="8"/>
  <c r="G948" i="8"/>
  <c r="G962" i="8"/>
  <c r="G976" i="8"/>
  <c r="G990" i="8"/>
  <c r="G1004" i="8"/>
  <c r="G373" i="8"/>
  <c r="G429" i="8"/>
  <c r="G499" i="8"/>
  <c r="G569" i="8"/>
  <c r="G625" i="8"/>
  <c r="G695" i="8"/>
  <c r="G38" i="8"/>
  <c r="G80" i="8"/>
  <c r="G122" i="8"/>
  <c r="G164" i="8"/>
  <c r="G331" i="8"/>
  <c r="G387" i="8"/>
  <c r="G443" i="8"/>
  <c r="G485" i="8"/>
  <c r="G513" i="8"/>
  <c r="G555" i="8"/>
  <c r="G597" i="8"/>
  <c r="G639" i="8"/>
  <c r="G709" i="8"/>
  <c r="G24" i="8"/>
  <c r="G66" i="8"/>
  <c r="G108" i="8"/>
  <c r="G150" i="8"/>
  <c r="G192" i="8"/>
  <c r="G26" i="8"/>
  <c r="G40" i="8"/>
  <c r="G54" i="8"/>
  <c r="G68" i="8"/>
  <c r="G82" i="8"/>
  <c r="G96" i="8"/>
  <c r="G110" i="8"/>
  <c r="G124" i="8"/>
  <c r="G138" i="8"/>
  <c r="G152" i="8"/>
  <c r="G166" i="8"/>
  <c r="G180" i="8"/>
  <c r="G194" i="8"/>
  <c r="G208" i="8"/>
  <c r="G222" i="8"/>
  <c r="G236" i="8"/>
  <c r="G250" i="8"/>
  <c r="G264" i="8"/>
  <c r="G278" i="8"/>
  <c r="G292" i="8"/>
  <c r="G306" i="8"/>
  <c r="G320" i="8"/>
  <c r="G334" i="8"/>
  <c r="G348" i="8"/>
  <c r="G362" i="8"/>
  <c r="G376" i="8"/>
  <c r="G390" i="8"/>
  <c r="G404" i="8"/>
  <c r="G418" i="8"/>
  <c r="G432" i="8"/>
  <c r="G446" i="8"/>
  <c r="G460" i="8"/>
  <c r="G474" i="8"/>
  <c r="G488" i="8"/>
  <c r="G502" i="8"/>
  <c r="G516" i="8"/>
  <c r="G530" i="8"/>
  <c r="G544" i="8"/>
  <c r="G558" i="8"/>
  <c r="G572" i="8"/>
  <c r="G586" i="8"/>
  <c r="G600" i="8"/>
  <c r="G614" i="8"/>
  <c r="G628" i="8"/>
  <c r="G642" i="8"/>
  <c r="G656" i="8"/>
  <c r="G670" i="8"/>
  <c r="G684" i="8"/>
  <c r="G698" i="8"/>
  <c r="G712" i="8"/>
  <c r="G726" i="8"/>
  <c r="G740" i="8"/>
  <c r="G754" i="8"/>
  <c r="G768" i="8"/>
  <c r="G782" i="8"/>
  <c r="G796" i="8"/>
  <c r="G810" i="8"/>
  <c r="G824" i="8"/>
  <c r="G838" i="8"/>
  <c r="G852" i="8"/>
  <c r="G866" i="8"/>
  <c r="G880" i="8"/>
  <c r="G894" i="8"/>
  <c r="G908" i="8"/>
  <c r="G922" i="8"/>
  <c r="G936" i="8"/>
  <c r="G950" i="8"/>
  <c r="G964" i="8"/>
  <c r="G978" i="8"/>
  <c r="G992" i="8"/>
  <c r="G1006" i="8"/>
  <c r="G67" i="8"/>
  <c r="G55" i="8"/>
  <c r="G83" i="8"/>
  <c r="G125" i="8"/>
  <c r="G139" i="8"/>
  <c r="G153" i="8"/>
  <c r="G167" i="8"/>
  <c r="G181" i="8"/>
  <c r="G195" i="8"/>
  <c r="G209" i="8"/>
  <c r="G223" i="8"/>
  <c r="G237" i="8"/>
  <c r="G251" i="8"/>
  <c r="G265" i="8"/>
  <c r="G279" i="8"/>
  <c r="G293" i="8"/>
  <c r="G307" i="8"/>
  <c r="G321" i="8"/>
  <c r="G335" i="8"/>
  <c r="G349" i="8"/>
  <c r="G363" i="8"/>
  <c r="G377" i="8"/>
  <c r="G391" i="8"/>
  <c r="G405" i="8"/>
  <c r="G419" i="8"/>
  <c r="G433" i="8"/>
  <c r="G447" i="8"/>
  <c r="G461" i="8"/>
  <c r="G475" i="8"/>
  <c r="G489" i="8"/>
  <c r="G503" i="8"/>
  <c r="G517" i="8"/>
  <c r="G531" i="8"/>
  <c r="G545" i="8"/>
  <c r="G559" i="8"/>
  <c r="G573" i="8"/>
  <c r="G587" i="8"/>
  <c r="G601" i="8"/>
  <c r="G615" i="8"/>
  <c r="G629" i="8"/>
  <c r="G643" i="8"/>
  <c r="G657" i="8"/>
  <c r="G671" i="8"/>
  <c r="G685" i="8"/>
  <c r="G699" i="8"/>
  <c r="G713" i="8"/>
  <c r="G727" i="8"/>
  <c r="G741" i="8"/>
  <c r="G755" i="8"/>
  <c r="G769" i="8"/>
  <c r="G783" i="8"/>
  <c r="G797" i="8"/>
  <c r="G811" i="8"/>
  <c r="G825" i="8"/>
  <c r="G839" i="8"/>
  <c r="G853" i="8"/>
  <c r="G867" i="8"/>
  <c r="G881" i="8"/>
  <c r="G895" i="8"/>
  <c r="G909" i="8"/>
  <c r="G923" i="8"/>
  <c r="G937" i="8"/>
  <c r="G951" i="8"/>
  <c r="G965" i="8"/>
  <c r="G979" i="8"/>
  <c r="G993" i="8"/>
  <c r="G1007" i="8"/>
  <c r="G39" i="8"/>
  <c r="G41" i="8"/>
  <c r="G97" i="8"/>
  <c r="G53" i="8"/>
  <c r="G95" i="8"/>
  <c r="G27" i="8"/>
  <c r="G69" i="8"/>
  <c r="G111" i="8"/>
  <c r="G29" i="8"/>
  <c r="G43" i="8"/>
  <c r="G57" i="8"/>
  <c r="G71" i="8"/>
  <c r="G85" i="8"/>
  <c r="G99" i="8"/>
  <c r="G113" i="8"/>
  <c r="G127" i="8"/>
  <c r="G141" i="8"/>
  <c r="G155" i="8"/>
  <c r="G169" i="8"/>
  <c r="G183" i="8"/>
  <c r="G197" i="8"/>
  <c r="G211" i="8"/>
  <c r="G225" i="8"/>
  <c r="G239" i="8"/>
  <c r="G253" i="8"/>
  <c r="G267" i="8"/>
  <c r="G281" i="8"/>
  <c r="G295" i="8"/>
  <c r="G309" i="8"/>
  <c r="G323" i="8"/>
  <c r="G337" i="8"/>
  <c r="G351" i="8"/>
  <c r="G365" i="8"/>
  <c r="G379" i="8"/>
  <c r="G393" i="8"/>
  <c r="G407" i="8"/>
  <c r="G421" i="8"/>
  <c r="G435" i="8"/>
  <c r="G449" i="8"/>
  <c r="G463" i="8"/>
  <c r="G477" i="8"/>
  <c r="G491" i="8"/>
  <c r="G505" i="8"/>
  <c r="G519" i="8"/>
  <c r="G533" i="8"/>
  <c r="G547" i="8"/>
  <c r="G561" i="8"/>
  <c r="G575" i="8"/>
  <c r="G589" i="8"/>
  <c r="G603" i="8"/>
  <c r="G617" i="8"/>
  <c r="G631" i="8"/>
  <c r="G645" i="8"/>
  <c r="G659" i="8"/>
  <c r="G673" i="8"/>
  <c r="G687" i="8"/>
  <c r="G701" i="8"/>
  <c r="G715" i="8"/>
  <c r="G729" i="8"/>
  <c r="G743" i="8"/>
  <c r="G757" i="8"/>
  <c r="G771" i="8"/>
  <c r="G785" i="8"/>
  <c r="G799" i="8"/>
  <c r="G813" i="8"/>
  <c r="G827" i="8"/>
  <c r="G841" i="8"/>
  <c r="G855" i="8"/>
  <c r="G869" i="8"/>
  <c r="G883" i="8"/>
  <c r="G897" i="8"/>
  <c r="G911" i="8"/>
  <c r="G925" i="8"/>
  <c r="G939" i="8"/>
  <c r="G953" i="8"/>
  <c r="G967" i="8"/>
  <c r="G981" i="8"/>
  <c r="G995" i="8"/>
  <c r="G1009" i="8"/>
  <c r="G17" i="8"/>
  <c r="G31" i="8"/>
  <c r="G45" i="8"/>
  <c r="G59" i="8"/>
  <c r="G73" i="8"/>
  <c r="G87" i="8"/>
  <c r="G101" i="8"/>
  <c r="G115" i="8"/>
  <c r="G129" i="8"/>
  <c r="G143" i="8"/>
  <c r="G157" i="8"/>
  <c r="G171" i="8"/>
  <c r="G185" i="8"/>
  <c r="G199" i="8"/>
  <c r="G213" i="8"/>
  <c r="G227" i="8"/>
  <c r="G241" i="8"/>
  <c r="G255" i="8"/>
  <c r="G269" i="8"/>
  <c r="G283" i="8"/>
  <c r="G297" i="8"/>
  <c r="G311" i="8"/>
  <c r="G325" i="8"/>
  <c r="G339" i="8"/>
  <c r="G353" i="8"/>
  <c r="G367" i="8"/>
  <c r="G381" i="8"/>
  <c r="G395" i="8"/>
  <c r="G409" i="8"/>
  <c r="G423" i="8"/>
  <c r="G437" i="8"/>
  <c r="G451" i="8"/>
  <c r="G465" i="8"/>
  <c r="G479" i="8"/>
  <c r="G493" i="8"/>
  <c r="G507" i="8"/>
  <c r="G521" i="8"/>
  <c r="G535" i="8"/>
  <c r="G549" i="8"/>
  <c r="G563" i="8"/>
  <c r="G577" i="8"/>
  <c r="G591" i="8"/>
  <c r="G605" i="8"/>
  <c r="G619" i="8"/>
  <c r="G633" i="8"/>
  <c r="G647" i="8"/>
  <c r="G661" i="8"/>
  <c r="G675" i="8"/>
  <c r="G689" i="8"/>
  <c r="G703" i="8"/>
  <c r="G717" i="8"/>
  <c r="G731" i="8"/>
  <c r="G745" i="8"/>
  <c r="G759" i="8"/>
  <c r="G773" i="8"/>
  <c r="G787" i="8"/>
  <c r="G801" i="8"/>
  <c r="G815" i="8"/>
  <c r="G829" i="8"/>
  <c r="G843" i="8"/>
  <c r="G857" i="8"/>
  <c r="G871" i="8"/>
  <c r="G885" i="8"/>
  <c r="G899" i="8"/>
  <c r="G913" i="8"/>
  <c r="G927" i="8"/>
  <c r="G941" i="8"/>
  <c r="G955" i="8"/>
  <c r="G969" i="8"/>
  <c r="G983" i="8"/>
  <c r="G997" i="8"/>
  <c r="G1011" i="8"/>
  <c r="G81" i="8"/>
  <c r="G109" i="8"/>
  <c r="G123" i="8"/>
  <c r="G137" i="8"/>
  <c r="G151" i="8"/>
  <c r="G165" i="8"/>
  <c r="G179" i="8"/>
  <c r="G193" i="8"/>
  <c r="G207" i="8"/>
  <c r="G221" i="8"/>
  <c r="G235" i="8"/>
  <c r="G249" i="8"/>
  <c r="G263" i="8"/>
  <c r="G277" i="8"/>
  <c r="G291" i="8"/>
  <c r="G305" i="8"/>
  <c r="G319" i="8"/>
  <c r="G333" i="8"/>
  <c r="G347" i="8"/>
  <c r="G361" i="8"/>
  <c r="G375" i="8"/>
  <c r="G389" i="8"/>
  <c r="G403" i="8"/>
  <c r="G417" i="8"/>
  <c r="G431" i="8"/>
  <c r="G445" i="8"/>
  <c r="G459" i="8"/>
  <c r="G473" i="8"/>
  <c r="G487" i="8"/>
  <c r="G501" i="8"/>
  <c r="G515" i="8"/>
  <c r="G529" i="8"/>
  <c r="G543" i="8"/>
  <c r="G557" i="8"/>
  <c r="G571" i="8"/>
  <c r="G585" i="8"/>
  <c r="G599" i="8"/>
  <c r="G613" i="8"/>
  <c r="G627" i="8"/>
  <c r="G641" i="8"/>
  <c r="G655" i="8"/>
  <c r="G669" i="8"/>
  <c r="G683" i="8"/>
  <c r="G697" i="8"/>
  <c r="G711" i="8"/>
  <c r="G725" i="8"/>
  <c r="G739" i="8"/>
  <c r="G753" i="8"/>
  <c r="G767" i="8"/>
  <c r="G781" i="8"/>
  <c r="G795" i="8"/>
  <c r="G809" i="8"/>
  <c r="G823" i="8"/>
  <c r="G837" i="8"/>
  <c r="G851" i="8"/>
  <c r="G865" i="8"/>
  <c r="G879" i="8"/>
  <c r="G893" i="8"/>
  <c r="G907" i="8"/>
  <c r="G921" i="8"/>
  <c r="G935" i="8"/>
  <c r="G949" i="8"/>
  <c r="G963" i="8"/>
  <c r="G977" i="8"/>
  <c r="G991" i="8"/>
  <c r="G1005" i="8"/>
  <c r="G25" i="8"/>
  <c r="AG44" i="8" a="1"/>
  <c r="AG44" i="8" s="1"/>
  <c r="AG43" i="8" a="1"/>
  <c r="AG43" i="8" s="1"/>
  <c r="AG42" i="8" a="1"/>
  <c r="AG42" i="8" s="1"/>
  <c r="AG41" i="8" a="1"/>
  <c r="AG41" i="8" s="1"/>
  <c r="AG40" i="8" a="1"/>
  <c r="AG40" i="8" s="1"/>
  <c r="AG39" i="8" a="1"/>
  <c r="AG39" i="8" s="1"/>
  <c r="AG38" i="8" a="1"/>
  <c r="AG38" i="8" s="1"/>
  <c r="AG37" i="8" a="1"/>
  <c r="AG37" i="8" s="1"/>
  <c r="AG36" i="8" a="1"/>
  <c r="AG36" i="8" s="1"/>
  <c r="AG35" i="8" a="1"/>
  <c r="AG35" i="8" s="1"/>
  <c r="AG34" i="8" a="1"/>
  <c r="AG34" i="8" s="1"/>
  <c r="AG33" i="8" a="1"/>
  <c r="AG33" i="8" s="1"/>
  <c r="AG32" i="8" a="1"/>
  <c r="AG32" i="8" s="1"/>
  <c r="AG31" i="8" a="1"/>
  <c r="AG31" i="8" s="1"/>
  <c r="AG30" i="8" a="1"/>
  <c r="AG30" i="8" s="1"/>
  <c r="AG29" i="8" a="1"/>
  <c r="AG29" i="8" s="1"/>
  <c r="AG28" i="8" a="1"/>
  <c r="AG28" i="8" s="1"/>
  <c r="AG27" i="8" a="1"/>
  <c r="AG27" i="8" s="1"/>
  <c r="AG26" i="8" a="1"/>
  <c r="AG26" i="8" s="1"/>
  <c r="AG25" i="8" a="1"/>
  <c r="AG25" i="8" s="1"/>
  <c r="AG24" i="8" a="1"/>
  <c r="AG24" i="8" s="1"/>
  <c r="AG23" i="8" a="1"/>
  <c r="AG23" i="8" s="1"/>
  <c r="AG22" i="8" a="1"/>
  <c r="AG22" i="8" s="1"/>
  <c r="AG21" i="8" a="1"/>
  <c r="AG21" i="8" s="1"/>
  <c r="AG20" i="8" a="1"/>
  <c r="AG20" i="8" s="1"/>
  <c r="AG19" i="8" a="1"/>
  <c r="AG19" i="8" s="1"/>
  <c r="AG18" i="8" a="1"/>
  <c r="AG18" i="8" s="1"/>
  <c r="AG17" i="8" a="1"/>
  <c r="AG17" i="8" s="1"/>
  <c r="AG16" i="8" a="1"/>
  <c r="AG16" i="8" s="1"/>
  <c r="AG15" i="8" a="1"/>
  <c r="AG15" i="8" s="1"/>
  <c r="AG14" i="8" a="1"/>
  <c r="AG14" i="8" s="1"/>
  <c r="AG13" i="8" a="1"/>
  <c r="AG13" i="8" s="1"/>
  <c r="AG12" i="8" a="1"/>
  <c r="AG12" i="8" s="1"/>
  <c r="AG11" i="8" a="1"/>
  <c r="AG11" i="8" s="1"/>
  <c r="AG10" i="8" a="1"/>
  <c r="AG10" i="8" s="1"/>
  <c r="AG9" i="8" a="1"/>
  <c r="AG9" i="8" s="1"/>
  <c r="AG8" i="8" a="1"/>
  <c r="AG8" i="8" s="1"/>
  <c r="AG7" i="8" a="1"/>
  <c r="AG7" i="8" s="1"/>
  <c r="AG6" i="8" a="1"/>
  <c r="AG6" i="8" s="1"/>
  <c r="AG5" i="8" a="1"/>
  <c r="AG5" i="8" s="1"/>
  <c r="AF44" i="8" a="1"/>
  <c r="AF44" i="8" s="1"/>
  <c r="AF43" i="8" a="1"/>
  <c r="AF43" i="8" s="1"/>
  <c r="AF42" i="8" a="1"/>
  <c r="AF42" i="8" s="1"/>
  <c r="AF41" i="8" a="1"/>
  <c r="AF41" i="8" s="1"/>
  <c r="AF40" i="8" a="1"/>
  <c r="AF40" i="8" s="1"/>
  <c r="AF39" i="8" a="1"/>
  <c r="AF39" i="8" s="1"/>
  <c r="AF38" i="8" a="1"/>
  <c r="AF38" i="8" s="1"/>
  <c r="AF37" i="8" a="1"/>
  <c r="AF37" i="8" s="1"/>
  <c r="AF36" i="8" a="1"/>
  <c r="AF36" i="8" s="1"/>
  <c r="AF35" i="8" a="1"/>
  <c r="AF35" i="8" s="1"/>
  <c r="AF34" i="8" a="1"/>
  <c r="AF34" i="8" s="1"/>
  <c r="AF33" i="8" a="1"/>
  <c r="AF33" i="8" s="1"/>
  <c r="AF32" i="8" a="1"/>
  <c r="AF32" i="8" s="1"/>
  <c r="AF31" i="8" a="1"/>
  <c r="AF31" i="8" s="1"/>
  <c r="AF30" i="8" a="1"/>
  <c r="AF30" i="8" s="1"/>
  <c r="AF29" i="8" a="1"/>
  <c r="AF29" i="8" s="1"/>
  <c r="AF28" i="8" a="1"/>
  <c r="AF28" i="8" s="1"/>
  <c r="AF27" i="8" a="1"/>
  <c r="AF27" i="8" s="1"/>
  <c r="AF26" i="8" a="1"/>
  <c r="AF26" i="8" s="1"/>
  <c r="AF25" i="8" a="1"/>
  <c r="AF25" i="8" s="1"/>
  <c r="AF24" i="8" a="1"/>
  <c r="AF24" i="8" s="1"/>
  <c r="AF23" i="8" a="1"/>
  <c r="AF23" i="8" s="1"/>
  <c r="AF22" i="8" a="1"/>
  <c r="AF22" i="8" s="1"/>
  <c r="AF21" i="8" a="1"/>
  <c r="AF21" i="8" s="1"/>
  <c r="AF20" i="8" a="1"/>
  <c r="AF20" i="8" s="1"/>
  <c r="AF19" i="8" a="1"/>
  <c r="AF19" i="8" s="1"/>
  <c r="AF18" i="8" a="1"/>
  <c r="AF18" i="8" s="1"/>
  <c r="AF17" i="8" a="1"/>
  <c r="AF17" i="8" s="1"/>
  <c r="AF16" i="8" a="1"/>
  <c r="AF16" i="8" s="1"/>
  <c r="AF15" i="8" a="1"/>
  <c r="AF15" i="8" s="1"/>
  <c r="AF14" i="8" a="1"/>
  <c r="AF14" i="8" s="1"/>
  <c r="AF13" i="8" a="1"/>
  <c r="AF13" i="8" s="1"/>
  <c r="AF12" i="8" a="1"/>
  <c r="AF12" i="8" s="1"/>
  <c r="AF11" i="8" a="1"/>
  <c r="AF11" i="8" s="1"/>
  <c r="AF10" i="8" a="1"/>
  <c r="AF10" i="8" s="1"/>
  <c r="AF9" i="8" a="1"/>
  <c r="AF9" i="8" s="1"/>
  <c r="AF8" i="8" a="1"/>
  <c r="AF8" i="8" s="1"/>
  <c r="AF7" i="8" a="1"/>
  <c r="AF7" i="8" s="1"/>
  <c r="AF6" i="8" a="1"/>
  <c r="AF6" i="8" s="1"/>
  <c r="AF5" i="8" a="1"/>
  <c r="AF5" i="8" s="1"/>
  <c r="AE44" i="8" a="1"/>
  <c r="AE44" i="8" s="1"/>
  <c r="AE43" i="8" a="1"/>
  <c r="AE43" i="8" s="1"/>
  <c r="AE42" i="8" a="1"/>
  <c r="AE42" i="8" s="1"/>
  <c r="AE41" i="8" a="1"/>
  <c r="AE41" i="8" s="1"/>
  <c r="AE40" i="8" a="1"/>
  <c r="AE40" i="8" s="1"/>
  <c r="AE39" i="8" a="1"/>
  <c r="AE39" i="8" s="1"/>
  <c r="AE38" i="8" a="1"/>
  <c r="AE38" i="8" s="1"/>
  <c r="AE37" i="8" a="1"/>
  <c r="AE37" i="8" s="1"/>
  <c r="AE36" i="8" a="1"/>
  <c r="AE36" i="8" s="1"/>
  <c r="AE35" i="8" a="1"/>
  <c r="AE35" i="8" s="1"/>
  <c r="AE34" i="8" a="1"/>
  <c r="AE34" i="8" s="1"/>
  <c r="AE33" i="8" a="1"/>
  <c r="AE33" i="8" s="1"/>
  <c r="AE32" i="8" a="1"/>
  <c r="AE32" i="8" s="1"/>
  <c r="AE31" i="8" a="1"/>
  <c r="AE31" i="8" s="1"/>
  <c r="AE30" i="8" a="1"/>
  <c r="AE30" i="8" s="1"/>
  <c r="AE29" i="8" a="1"/>
  <c r="AE29" i="8" s="1"/>
  <c r="AE28" i="8" a="1"/>
  <c r="AE28" i="8" s="1"/>
  <c r="AE27" i="8" a="1"/>
  <c r="AE27" i="8" s="1"/>
  <c r="AE26" i="8" a="1"/>
  <c r="AE26" i="8" s="1"/>
  <c r="AE25" i="8" a="1"/>
  <c r="AE25" i="8" s="1"/>
  <c r="AE24" i="8" a="1"/>
  <c r="AE24" i="8" s="1"/>
  <c r="AE23" i="8" a="1"/>
  <c r="AE23" i="8" s="1"/>
  <c r="AE22" i="8" a="1"/>
  <c r="AE22" i="8" s="1"/>
  <c r="AE21" i="8" a="1"/>
  <c r="AE21" i="8" s="1"/>
  <c r="AE20" i="8" a="1"/>
  <c r="AE20" i="8" s="1"/>
  <c r="AE19" i="8" a="1"/>
  <c r="AE19" i="8" s="1"/>
  <c r="AE18" i="8" a="1"/>
  <c r="AE18" i="8" s="1"/>
  <c r="AE17" i="8" a="1"/>
  <c r="AE17" i="8" s="1"/>
  <c r="AE16" i="8" a="1"/>
  <c r="AE16" i="8" s="1"/>
  <c r="AE15" i="8" a="1"/>
  <c r="AE15" i="8" s="1"/>
  <c r="AE14" i="8" a="1"/>
  <c r="AE14" i="8" s="1"/>
  <c r="AE13" i="8" a="1"/>
  <c r="AE13" i="8" s="1"/>
  <c r="AE12" i="8" a="1"/>
  <c r="AE12" i="8" s="1"/>
  <c r="AE11" i="8" a="1"/>
  <c r="AE11" i="8" s="1"/>
  <c r="AE10" i="8" a="1"/>
  <c r="AE10" i="8" s="1"/>
  <c r="AE9" i="8" a="1"/>
  <c r="AE9" i="8" s="1"/>
  <c r="AE8" i="8" a="1"/>
  <c r="AE8" i="8" s="1"/>
  <c r="AE7" i="8" a="1"/>
  <c r="AE7" i="8" s="1"/>
  <c r="AE6" i="8" a="1"/>
  <c r="AE6" i="8" s="1"/>
  <c r="AE5" i="8" a="1"/>
  <c r="AE5" i="8" s="1"/>
  <c r="AB44" i="8" a="1"/>
  <c r="AB44" i="8" s="1"/>
  <c r="AB43" i="8" a="1"/>
  <c r="AB43" i="8" s="1"/>
  <c r="AB42" i="8" a="1"/>
  <c r="AB42" i="8" s="1"/>
  <c r="AB41" i="8" a="1"/>
  <c r="AB41" i="8" s="1"/>
  <c r="AB40" i="8" a="1"/>
  <c r="AB40" i="8" s="1"/>
  <c r="AB39" i="8" a="1"/>
  <c r="AB39" i="8" s="1"/>
  <c r="AB38" i="8" a="1"/>
  <c r="AB38" i="8" s="1"/>
  <c r="AB37" i="8" a="1"/>
  <c r="AB37" i="8" s="1"/>
  <c r="AB36" i="8" a="1"/>
  <c r="AB36" i="8" s="1"/>
  <c r="AB35" i="8" a="1"/>
  <c r="AB35" i="8" s="1"/>
  <c r="AB34" i="8" a="1"/>
  <c r="AB34" i="8" s="1"/>
  <c r="AB33" i="8" a="1"/>
  <c r="AB33" i="8" s="1"/>
  <c r="AB32" i="8" a="1"/>
  <c r="AB32" i="8" s="1"/>
  <c r="AB31" i="8" a="1"/>
  <c r="AB31" i="8" s="1"/>
  <c r="AB30" i="8" a="1"/>
  <c r="AB30" i="8" s="1"/>
  <c r="AB29" i="8" a="1"/>
  <c r="AB29" i="8" s="1"/>
  <c r="AB28" i="8" a="1"/>
  <c r="AB28" i="8" s="1"/>
  <c r="AB27" i="8" a="1"/>
  <c r="AB27" i="8" s="1"/>
  <c r="AB26" i="8" a="1"/>
  <c r="AB26" i="8" s="1"/>
  <c r="AB25" i="8" a="1"/>
  <c r="AB25" i="8" s="1"/>
  <c r="AB24" i="8" a="1"/>
  <c r="AB24" i="8" s="1"/>
  <c r="AB23" i="8" a="1"/>
  <c r="AB23" i="8" s="1"/>
  <c r="AB22" i="8" a="1"/>
  <c r="AB22" i="8" s="1"/>
  <c r="AB21" i="8" a="1"/>
  <c r="AB21" i="8" s="1"/>
  <c r="AB20" i="8" a="1"/>
  <c r="AB20" i="8" s="1"/>
  <c r="AB19" i="8" a="1"/>
  <c r="AB19" i="8" s="1"/>
  <c r="AB18" i="8" a="1"/>
  <c r="AB18" i="8" s="1"/>
  <c r="AB17" i="8" a="1"/>
  <c r="AB17" i="8" s="1"/>
  <c r="AB16" i="8" a="1"/>
  <c r="AB16" i="8" s="1"/>
  <c r="AB15" i="8" a="1"/>
  <c r="AB15" i="8" s="1"/>
  <c r="AB14" i="8" a="1"/>
  <c r="AB14" i="8" s="1"/>
  <c r="AB13" i="8" a="1"/>
  <c r="AB13" i="8" s="1"/>
  <c r="AB12" i="8" a="1"/>
  <c r="AB12" i="8" s="1"/>
  <c r="AB11" i="8" a="1"/>
  <c r="AB11" i="8" s="1"/>
  <c r="AB10" i="8" a="1"/>
  <c r="AB10" i="8" s="1"/>
  <c r="AB9" i="8" a="1"/>
  <c r="AB9" i="8" s="1"/>
  <c r="AB8" i="8" a="1"/>
  <c r="AB8" i="8" s="1"/>
  <c r="AB7" i="8" a="1"/>
  <c r="AB7" i="8" s="1"/>
  <c r="AB6" i="8" a="1"/>
  <c r="AB6" i="8" s="1"/>
  <c r="AB5" i="8" a="1"/>
  <c r="AB5" i="8" s="1"/>
  <c r="AA44" i="8" a="1"/>
  <c r="AA44" i="8" s="1"/>
  <c r="AA43" i="8" a="1"/>
  <c r="AA43" i="8" s="1"/>
  <c r="AA42" i="8" a="1"/>
  <c r="AA42" i="8" s="1"/>
  <c r="AA41" i="8" a="1"/>
  <c r="AA41" i="8" s="1"/>
  <c r="AA40" i="8" a="1"/>
  <c r="AA40" i="8" s="1"/>
  <c r="AA39" i="8" a="1"/>
  <c r="AA39" i="8" s="1"/>
  <c r="AA38" i="8" a="1"/>
  <c r="AA38" i="8" s="1"/>
  <c r="AA37" i="8" a="1"/>
  <c r="AA37" i="8" s="1"/>
  <c r="AA36" i="8" a="1"/>
  <c r="AA36" i="8" s="1"/>
  <c r="AA35" i="8" a="1"/>
  <c r="AA35" i="8" s="1"/>
  <c r="AA34" i="8" a="1"/>
  <c r="AA34" i="8" s="1"/>
  <c r="AA33" i="8" a="1"/>
  <c r="AA33" i="8" s="1"/>
  <c r="AA32" i="8" a="1"/>
  <c r="AA32" i="8" s="1"/>
  <c r="AA31" i="8" a="1"/>
  <c r="AA31" i="8" s="1"/>
  <c r="AA30" i="8" a="1"/>
  <c r="AA30" i="8" s="1"/>
  <c r="AA29" i="8" a="1"/>
  <c r="AA29" i="8" s="1"/>
  <c r="AA28" i="8" a="1"/>
  <c r="AA28" i="8" s="1"/>
  <c r="AA27" i="8" a="1"/>
  <c r="AA27" i="8" s="1"/>
  <c r="AA26" i="8" a="1"/>
  <c r="AA26" i="8" s="1"/>
  <c r="AA25" i="8" a="1"/>
  <c r="AA25" i="8" s="1"/>
  <c r="AA24" i="8" a="1"/>
  <c r="AA24" i="8" s="1"/>
  <c r="AA23" i="8" a="1"/>
  <c r="AA23" i="8" s="1"/>
  <c r="AA22" i="8" a="1"/>
  <c r="AA22" i="8" s="1"/>
  <c r="AA21" i="8" a="1"/>
  <c r="AA21" i="8" s="1"/>
  <c r="AA20" i="8" a="1"/>
  <c r="AA20" i="8" s="1"/>
  <c r="AA19" i="8" a="1"/>
  <c r="AA19" i="8" s="1"/>
  <c r="AA18" i="8" a="1"/>
  <c r="AA18" i="8" s="1"/>
  <c r="AA17" i="8" a="1"/>
  <c r="AA17" i="8" s="1"/>
  <c r="AA16" i="8" a="1"/>
  <c r="AA16" i="8" s="1"/>
  <c r="AA15" i="8" a="1"/>
  <c r="AA15" i="8" s="1"/>
  <c r="AA14" i="8" a="1"/>
  <c r="AA14" i="8" s="1"/>
  <c r="AA13" i="8" a="1"/>
  <c r="AA13" i="8" s="1"/>
  <c r="AA12" i="8" a="1"/>
  <c r="AA12" i="8" s="1"/>
  <c r="AA11" i="8" a="1"/>
  <c r="AA11" i="8" s="1"/>
  <c r="AA10" i="8" a="1"/>
  <c r="AA10" i="8" s="1"/>
  <c r="AA9" i="8" a="1"/>
  <c r="AA9" i="8" s="1"/>
  <c r="AA8" i="8" a="1"/>
  <c r="AA8" i="8" s="1"/>
  <c r="AA7" i="8" a="1"/>
  <c r="AA7" i="8" s="1"/>
  <c r="AA6" i="8" a="1"/>
  <c r="AA6" i="8" s="1"/>
  <c r="AA5" i="8" a="1"/>
  <c r="AA5" i="8" s="1"/>
  <c r="Z44" i="8" a="1"/>
  <c r="Z44" i="8" s="1"/>
  <c r="Z43" i="8" a="1"/>
  <c r="Z43" i="8" s="1"/>
  <c r="Z42" i="8" a="1"/>
  <c r="Z42" i="8" s="1"/>
  <c r="Z41" i="8" a="1"/>
  <c r="Z41" i="8" s="1"/>
  <c r="Z40" i="8" a="1"/>
  <c r="Z40" i="8" s="1"/>
  <c r="Z39" i="8" a="1"/>
  <c r="Z39" i="8" s="1"/>
  <c r="Z38" i="8" a="1"/>
  <c r="Z38" i="8" s="1"/>
  <c r="Z37" i="8" a="1"/>
  <c r="Z37" i="8" s="1"/>
  <c r="Z36" i="8" a="1"/>
  <c r="Z36" i="8" s="1"/>
  <c r="Z35" i="8" a="1"/>
  <c r="Z35" i="8" s="1"/>
  <c r="Z34" i="8" a="1"/>
  <c r="Z34" i="8" s="1"/>
  <c r="Z33" i="8" a="1"/>
  <c r="Z33" i="8" s="1"/>
  <c r="Z32" i="8" a="1"/>
  <c r="Z32" i="8" s="1"/>
  <c r="Z31" i="8" a="1"/>
  <c r="Z31" i="8" s="1"/>
  <c r="Z30" i="8" a="1"/>
  <c r="Z30" i="8" s="1"/>
  <c r="Z29" i="8" a="1"/>
  <c r="Z29" i="8" s="1"/>
  <c r="Z28" i="8" a="1"/>
  <c r="Z28" i="8" s="1"/>
  <c r="Z27" i="8" a="1"/>
  <c r="Z27" i="8" s="1"/>
  <c r="Z26" i="8" a="1"/>
  <c r="Z26" i="8" s="1"/>
  <c r="Z25" i="8" a="1"/>
  <c r="Z25" i="8" s="1"/>
  <c r="Z24" i="8" a="1"/>
  <c r="Z24" i="8" s="1"/>
  <c r="Z23" i="8" a="1"/>
  <c r="Z23" i="8" s="1"/>
  <c r="Z22" i="8" a="1"/>
  <c r="Z22" i="8" s="1"/>
  <c r="Z21" i="8" a="1"/>
  <c r="Z21" i="8" s="1"/>
  <c r="Z20" i="8" a="1"/>
  <c r="Z20" i="8" s="1"/>
  <c r="Z19" i="8" a="1"/>
  <c r="Z19" i="8" s="1"/>
  <c r="Z18" i="8" a="1"/>
  <c r="Z18" i="8" s="1"/>
  <c r="Z17" i="8" a="1"/>
  <c r="Z17" i="8" s="1"/>
  <c r="Z16" i="8" a="1"/>
  <c r="Z16" i="8" s="1"/>
  <c r="Z15" i="8" a="1"/>
  <c r="Z15" i="8" s="1"/>
  <c r="Z14" i="8" a="1"/>
  <c r="Z14" i="8" s="1"/>
  <c r="Z13" i="8" a="1"/>
  <c r="Z13" i="8" s="1"/>
  <c r="Z12" i="8" a="1"/>
  <c r="Z12" i="8" s="1"/>
  <c r="Z11" i="8" a="1"/>
  <c r="Z11" i="8" s="1"/>
  <c r="Z10" i="8" a="1"/>
  <c r="Z10" i="8" s="1"/>
  <c r="Z9" i="8" a="1"/>
  <c r="Z9" i="8" s="1"/>
  <c r="Z8" i="8" a="1"/>
  <c r="Z8" i="8" s="1"/>
  <c r="Z7" i="8" a="1"/>
  <c r="Z7" i="8" s="1"/>
  <c r="Z6" i="8" a="1"/>
  <c r="Z6" i="8" s="1"/>
  <c r="Z5" i="8" a="1"/>
  <c r="Z5" i="8" s="1"/>
  <c r="AF4" i="8" a="1"/>
  <c r="AF4" i="8" s="1"/>
  <c r="AG4" i="8" a="1"/>
  <c r="AG4" i="8" s="1"/>
  <c r="J8" i="8"/>
  <c r="AE4" i="8" a="1"/>
  <c r="AE4" i="8" s="1"/>
  <c r="AB4" i="8" a="1"/>
  <c r="AB4" i="8" s="1"/>
  <c r="AA4" i="8" a="1"/>
  <c r="AA4" i="8" s="1"/>
  <c r="Z4" i="8" a="1"/>
  <c r="Z4" i="8" s="1"/>
  <c r="K7" i="8"/>
  <c r="K8" i="8"/>
  <c r="K5" i="8"/>
  <c r="K6" i="8"/>
  <c r="J6" i="8"/>
  <c r="J7" i="8"/>
  <c r="G16" i="8"/>
  <c r="J5" i="8"/>
  <c r="F17" i="8"/>
  <c r="F18" i="8"/>
  <c r="F19" i="8"/>
  <c r="F20" i="8"/>
  <c r="F21" i="8"/>
  <c r="F22" i="8"/>
  <c r="F23" i="8"/>
  <c r="F24" i="8"/>
  <c r="F25" i="8"/>
  <c r="F26" i="8"/>
  <c r="F27" i="8"/>
  <c r="F28" i="8"/>
  <c r="F29" i="8"/>
  <c r="F30" i="8"/>
  <c r="F31" i="8"/>
  <c r="F32" i="8"/>
  <c r="F33" i="8"/>
  <c r="F34" i="8"/>
  <c r="F35" i="8"/>
  <c r="F36" i="8"/>
  <c r="F37" i="8"/>
  <c r="F38" i="8"/>
  <c r="F39" i="8"/>
  <c r="F40" i="8"/>
  <c r="F41" i="8"/>
  <c r="F42" i="8"/>
  <c r="F43" i="8"/>
  <c r="F44" i="8"/>
  <c r="F45" i="8"/>
  <c r="F46" i="8"/>
  <c r="F47" i="8"/>
  <c r="F48" i="8"/>
  <c r="F49" i="8"/>
  <c r="F50" i="8"/>
  <c r="F51" i="8"/>
  <c r="F52" i="8"/>
  <c r="F53" i="8"/>
  <c r="F54" i="8"/>
  <c r="F55" i="8"/>
  <c r="F56" i="8"/>
  <c r="F57" i="8"/>
  <c r="F58" i="8"/>
  <c r="F59" i="8"/>
  <c r="F60" i="8"/>
  <c r="F61" i="8"/>
  <c r="F62" i="8"/>
  <c r="F63" i="8"/>
  <c r="F64" i="8"/>
  <c r="F65" i="8"/>
  <c r="F66" i="8"/>
  <c r="F67" i="8"/>
  <c r="F68" i="8"/>
  <c r="F69" i="8"/>
  <c r="F70" i="8"/>
  <c r="F71" i="8"/>
  <c r="F72" i="8"/>
  <c r="F73" i="8"/>
  <c r="F74" i="8"/>
  <c r="F75" i="8"/>
  <c r="F76" i="8"/>
  <c r="F77" i="8"/>
  <c r="F78" i="8"/>
  <c r="F79" i="8"/>
  <c r="F80" i="8"/>
  <c r="F81" i="8"/>
  <c r="F82" i="8"/>
  <c r="F83" i="8"/>
  <c r="F84" i="8"/>
  <c r="F85" i="8"/>
  <c r="F86" i="8"/>
  <c r="F87" i="8"/>
  <c r="F88" i="8"/>
  <c r="F89" i="8"/>
  <c r="F90" i="8"/>
  <c r="F91" i="8"/>
  <c r="F92" i="8"/>
  <c r="F93" i="8"/>
  <c r="F94" i="8"/>
  <c r="F95" i="8"/>
  <c r="F96" i="8"/>
  <c r="F97" i="8"/>
  <c r="F98" i="8"/>
  <c r="F99" i="8"/>
  <c r="F100" i="8"/>
  <c r="F101" i="8"/>
  <c r="F102" i="8"/>
  <c r="F103" i="8"/>
  <c r="F104" i="8"/>
  <c r="F105" i="8"/>
  <c r="F106" i="8"/>
  <c r="F107" i="8"/>
  <c r="F108" i="8"/>
  <c r="F109" i="8"/>
  <c r="F110" i="8"/>
  <c r="F111" i="8"/>
  <c r="F112" i="8"/>
  <c r="F113" i="8"/>
  <c r="F114" i="8"/>
  <c r="F115" i="8"/>
  <c r="F116" i="8"/>
  <c r="F117" i="8"/>
  <c r="F118" i="8"/>
  <c r="F119" i="8"/>
  <c r="F120" i="8"/>
  <c r="F121" i="8"/>
  <c r="F122" i="8"/>
  <c r="F123" i="8"/>
  <c r="F124" i="8"/>
  <c r="F125" i="8"/>
  <c r="F126" i="8"/>
  <c r="F127" i="8"/>
  <c r="F128" i="8"/>
  <c r="F129" i="8"/>
  <c r="F130" i="8"/>
  <c r="F131" i="8"/>
  <c r="F132" i="8"/>
  <c r="F133" i="8"/>
  <c r="F134" i="8"/>
  <c r="F135" i="8"/>
  <c r="F136" i="8"/>
  <c r="F137" i="8"/>
  <c r="F138" i="8"/>
  <c r="F139" i="8"/>
  <c r="F140" i="8"/>
  <c r="F141" i="8"/>
  <c r="F142" i="8"/>
  <c r="F143" i="8"/>
  <c r="F144" i="8"/>
  <c r="F145" i="8"/>
  <c r="F146" i="8"/>
  <c r="F147" i="8"/>
  <c r="F148" i="8"/>
  <c r="F149" i="8"/>
  <c r="F150" i="8"/>
  <c r="F151" i="8"/>
  <c r="F152" i="8"/>
  <c r="F153" i="8"/>
  <c r="F154" i="8"/>
  <c r="F155" i="8"/>
  <c r="F156" i="8"/>
  <c r="F157" i="8"/>
  <c r="F158" i="8"/>
  <c r="F159" i="8"/>
  <c r="F160" i="8"/>
  <c r="F161" i="8"/>
  <c r="F162" i="8"/>
  <c r="F163" i="8"/>
  <c r="F164" i="8"/>
  <c r="F165" i="8"/>
  <c r="F166" i="8"/>
  <c r="F167" i="8"/>
  <c r="F168" i="8"/>
  <c r="F169" i="8"/>
  <c r="F170" i="8"/>
  <c r="F171" i="8"/>
  <c r="F172" i="8"/>
  <c r="F173" i="8"/>
  <c r="F174" i="8"/>
  <c r="F175" i="8"/>
  <c r="F176" i="8"/>
  <c r="F177" i="8"/>
  <c r="F178" i="8"/>
  <c r="F179" i="8"/>
  <c r="F180" i="8"/>
  <c r="F181" i="8"/>
  <c r="F182" i="8"/>
  <c r="F183" i="8"/>
  <c r="F184" i="8"/>
  <c r="F185" i="8"/>
  <c r="F186" i="8"/>
  <c r="F187" i="8"/>
  <c r="F188" i="8"/>
  <c r="F189" i="8"/>
  <c r="F190" i="8"/>
  <c r="F191" i="8"/>
  <c r="F192" i="8"/>
  <c r="F193" i="8"/>
  <c r="F194" i="8"/>
  <c r="F195" i="8"/>
  <c r="F196" i="8"/>
  <c r="F197" i="8"/>
  <c r="F198" i="8"/>
  <c r="F199" i="8"/>
  <c r="F200" i="8"/>
  <c r="F201" i="8"/>
  <c r="F202" i="8"/>
  <c r="F203" i="8"/>
  <c r="F204" i="8"/>
  <c r="F205" i="8"/>
  <c r="F206" i="8"/>
  <c r="F207" i="8"/>
  <c r="F208" i="8"/>
  <c r="F209" i="8"/>
  <c r="F210" i="8"/>
  <c r="F211" i="8"/>
  <c r="F212" i="8"/>
  <c r="F213" i="8"/>
  <c r="F214" i="8"/>
  <c r="F215" i="8"/>
  <c r="F216" i="8"/>
  <c r="F217" i="8"/>
  <c r="F218" i="8"/>
  <c r="F219" i="8"/>
  <c r="F220" i="8"/>
  <c r="F221" i="8"/>
  <c r="F222" i="8"/>
  <c r="F223" i="8"/>
  <c r="F224" i="8"/>
  <c r="F225" i="8"/>
  <c r="F226" i="8"/>
  <c r="F227" i="8"/>
  <c r="F228" i="8"/>
  <c r="F229" i="8"/>
  <c r="F230" i="8"/>
  <c r="F231" i="8"/>
  <c r="F232" i="8"/>
  <c r="F233" i="8"/>
  <c r="F234" i="8"/>
  <c r="F235" i="8"/>
  <c r="F236" i="8"/>
  <c r="F237" i="8"/>
  <c r="F238" i="8"/>
  <c r="F239" i="8"/>
  <c r="F240" i="8"/>
  <c r="F241" i="8"/>
  <c r="F242" i="8"/>
  <c r="F243" i="8"/>
  <c r="F244" i="8"/>
  <c r="F245" i="8"/>
  <c r="F246" i="8"/>
  <c r="F247" i="8"/>
  <c r="F248" i="8"/>
  <c r="F249" i="8"/>
  <c r="F250" i="8"/>
  <c r="F251" i="8"/>
  <c r="F252" i="8"/>
  <c r="F253" i="8"/>
  <c r="F254" i="8"/>
  <c r="F255" i="8"/>
  <c r="F256" i="8"/>
  <c r="F257" i="8"/>
  <c r="F258" i="8"/>
  <c r="F259" i="8"/>
  <c r="F260" i="8"/>
  <c r="F261" i="8"/>
  <c r="F262" i="8"/>
  <c r="F263" i="8"/>
  <c r="F264" i="8"/>
  <c r="F265" i="8"/>
  <c r="F266" i="8"/>
  <c r="F267" i="8"/>
  <c r="F268" i="8"/>
  <c r="F269" i="8"/>
  <c r="F270" i="8"/>
  <c r="F271" i="8"/>
  <c r="F272" i="8"/>
  <c r="F273" i="8"/>
  <c r="F274" i="8"/>
  <c r="F275" i="8"/>
  <c r="F276" i="8"/>
  <c r="F277" i="8"/>
  <c r="F278" i="8"/>
  <c r="F279" i="8"/>
  <c r="F280" i="8"/>
  <c r="F281" i="8"/>
  <c r="F282" i="8"/>
  <c r="F283" i="8"/>
  <c r="F284" i="8"/>
  <c r="F285" i="8"/>
  <c r="F286" i="8"/>
  <c r="F287" i="8"/>
  <c r="F288" i="8"/>
  <c r="F289" i="8"/>
  <c r="F290" i="8"/>
  <c r="F291" i="8"/>
  <c r="F292" i="8"/>
  <c r="F293" i="8"/>
  <c r="F294" i="8"/>
  <c r="F295" i="8"/>
  <c r="F296" i="8"/>
  <c r="F297" i="8"/>
  <c r="F298" i="8"/>
  <c r="F299" i="8"/>
  <c r="F300" i="8"/>
  <c r="F301" i="8"/>
  <c r="F302" i="8"/>
  <c r="F303" i="8"/>
  <c r="F304" i="8"/>
  <c r="F305" i="8"/>
  <c r="F306" i="8"/>
  <c r="F307" i="8"/>
  <c r="F308" i="8"/>
  <c r="F309" i="8"/>
  <c r="F310" i="8"/>
  <c r="F311" i="8"/>
  <c r="F312" i="8"/>
  <c r="F313" i="8"/>
  <c r="F314" i="8"/>
  <c r="F315" i="8"/>
  <c r="F316" i="8"/>
  <c r="F317" i="8"/>
  <c r="F318" i="8"/>
  <c r="F319" i="8"/>
  <c r="F320" i="8"/>
  <c r="F321" i="8"/>
  <c r="F322" i="8"/>
  <c r="F323" i="8"/>
  <c r="F324" i="8"/>
  <c r="F325" i="8"/>
  <c r="F326" i="8"/>
  <c r="F327" i="8"/>
  <c r="F328" i="8"/>
  <c r="F329" i="8"/>
  <c r="F330" i="8"/>
  <c r="F331" i="8"/>
  <c r="F332" i="8"/>
  <c r="F333" i="8"/>
  <c r="F334" i="8"/>
  <c r="F335" i="8"/>
  <c r="F336" i="8"/>
  <c r="F337" i="8"/>
  <c r="F338" i="8"/>
  <c r="F339" i="8"/>
  <c r="F340" i="8"/>
  <c r="F341" i="8"/>
  <c r="F342" i="8"/>
  <c r="F343" i="8"/>
  <c r="F344" i="8"/>
  <c r="F345" i="8"/>
  <c r="F346" i="8"/>
  <c r="F347" i="8"/>
  <c r="F348" i="8"/>
  <c r="F349" i="8"/>
  <c r="F350" i="8"/>
  <c r="F351" i="8"/>
  <c r="F352" i="8"/>
  <c r="F353" i="8"/>
  <c r="F354" i="8"/>
  <c r="F355" i="8"/>
  <c r="F356" i="8"/>
  <c r="F357" i="8"/>
  <c r="F358" i="8"/>
  <c r="F359" i="8"/>
  <c r="F360" i="8"/>
  <c r="F361" i="8"/>
  <c r="F362" i="8"/>
  <c r="F363" i="8"/>
  <c r="F364" i="8"/>
  <c r="F365" i="8"/>
  <c r="F366" i="8"/>
  <c r="F367" i="8"/>
  <c r="F368" i="8"/>
  <c r="F369" i="8"/>
  <c r="F370" i="8"/>
  <c r="F371" i="8"/>
  <c r="F372" i="8"/>
  <c r="F373" i="8"/>
  <c r="F374" i="8"/>
  <c r="F375" i="8"/>
  <c r="F376" i="8"/>
  <c r="F377" i="8"/>
  <c r="F378" i="8"/>
  <c r="F379" i="8"/>
  <c r="F380" i="8"/>
  <c r="F381" i="8"/>
  <c r="F382" i="8"/>
  <c r="F383" i="8"/>
  <c r="F384" i="8"/>
  <c r="F385" i="8"/>
  <c r="F386" i="8"/>
  <c r="F387" i="8"/>
  <c r="F388" i="8"/>
  <c r="F389" i="8"/>
  <c r="F390" i="8"/>
  <c r="F391" i="8"/>
  <c r="F392" i="8"/>
  <c r="F393" i="8"/>
  <c r="F394" i="8"/>
  <c r="F395" i="8"/>
  <c r="F396" i="8"/>
  <c r="F397" i="8"/>
  <c r="F398" i="8"/>
  <c r="F399" i="8"/>
  <c r="F400" i="8"/>
  <c r="F401" i="8"/>
  <c r="F402" i="8"/>
  <c r="F403" i="8"/>
  <c r="F404" i="8"/>
  <c r="F405" i="8"/>
  <c r="F406" i="8"/>
  <c r="F407" i="8"/>
  <c r="F408" i="8"/>
  <c r="F409" i="8"/>
  <c r="F410" i="8"/>
  <c r="F411" i="8"/>
  <c r="F412" i="8"/>
  <c r="F413" i="8"/>
  <c r="F414" i="8"/>
  <c r="F415" i="8"/>
  <c r="F416" i="8"/>
  <c r="F417" i="8"/>
  <c r="F418" i="8"/>
  <c r="F419" i="8"/>
  <c r="F420" i="8"/>
  <c r="F421" i="8"/>
  <c r="F422" i="8"/>
  <c r="F423" i="8"/>
  <c r="F424" i="8"/>
  <c r="F425" i="8"/>
  <c r="F426" i="8"/>
  <c r="F427" i="8"/>
  <c r="F428" i="8"/>
  <c r="F429" i="8"/>
  <c r="F430" i="8"/>
  <c r="F431" i="8"/>
  <c r="F432" i="8"/>
  <c r="F433" i="8"/>
  <c r="F434" i="8"/>
  <c r="F435" i="8"/>
  <c r="F436" i="8"/>
  <c r="F437" i="8"/>
  <c r="F438" i="8"/>
  <c r="F439" i="8"/>
  <c r="F440" i="8"/>
  <c r="F441" i="8"/>
  <c r="F442" i="8"/>
  <c r="F443" i="8"/>
  <c r="F444" i="8"/>
  <c r="F445" i="8"/>
  <c r="F446" i="8"/>
  <c r="F447" i="8"/>
  <c r="F448" i="8"/>
  <c r="F449" i="8"/>
  <c r="F450" i="8"/>
  <c r="F451" i="8"/>
  <c r="F452" i="8"/>
  <c r="F453" i="8"/>
  <c r="F454" i="8"/>
  <c r="F455" i="8"/>
  <c r="F456" i="8"/>
  <c r="F457" i="8"/>
  <c r="F458" i="8"/>
  <c r="F459" i="8"/>
  <c r="F460" i="8"/>
  <c r="F461" i="8"/>
  <c r="F462" i="8"/>
  <c r="F463" i="8"/>
  <c r="F464" i="8"/>
  <c r="F465" i="8"/>
  <c r="F466" i="8"/>
  <c r="F467" i="8"/>
  <c r="F468" i="8"/>
  <c r="F469" i="8"/>
  <c r="F470" i="8"/>
  <c r="F471" i="8"/>
  <c r="F472" i="8"/>
  <c r="F473" i="8"/>
  <c r="F474" i="8"/>
  <c r="F475" i="8"/>
  <c r="F476" i="8"/>
  <c r="F477" i="8"/>
  <c r="F478" i="8"/>
  <c r="F479" i="8"/>
  <c r="F480" i="8"/>
  <c r="F481" i="8"/>
  <c r="F482" i="8"/>
  <c r="F483" i="8"/>
  <c r="F484" i="8"/>
  <c r="F485" i="8"/>
  <c r="F486" i="8"/>
  <c r="F487" i="8"/>
  <c r="F488" i="8"/>
  <c r="F489" i="8"/>
  <c r="F490" i="8"/>
  <c r="F491" i="8"/>
  <c r="F492" i="8"/>
  <c r="F493" i="8"/>
  <c r="F494" i="8"/>
  <c r="F495" i="8"/>
  <c r="F496" i="8"/>
  <c r="F497" i="8"/>
  <c r="F498" i="8"/>
  <c r="F499" i="8"/>
  <c r="F500" i="8"/>
  <c r="F501" i="8"/>
  <c r="F502" i="8"/>
  <c r="F503" i="8"/>
  <c r="F504" i="8"/>
  <c r="F505" i="8"/>
  <c r="F506" i="8"/>
  <c r="F507" i="8"/>
  <c r="F508" i="8"/>
  <c r="F509" i="8"/>
  <c r="F510" i="8"/>
  <c r="F511" i="8"/>
  <c r="F512" i="8"/>
  <c r="F513" i="8"/>
  <c r="F514" i="8"/>
  <c r="F515" i="8"/>
  <c r="F516" i="8"/>
  <c r="F517" i="8"/>
  <c r="F518" i="8"/>
  <c r="F519" i="8"/>
  <c r="F520" i="8"/>
  <c r="F521" i="8"/>
  <c r="F522" i="8"/>
  <c r="F523" i="8"/>
  <c r="F524" i="8"/>
  <c r="F525" i="8"/>
  <c r="F526" i="8"/>
  <c r="F527" i="8"/>
  <c r="F528" i="8"/>
  <c r="F529" i="8"/>
  <c r="F530" i="8"/>
  <c r="F531" i="8"/>
  <c r="F532" i="8"/>
  <c r="F533" i="8"/>
  <c r="F534" i="8"/>
  <c r="F535" i="8"/>
  <c r="F536" i="8"/>
  <c r="F537" i="8"/>
  <c r="F538" i="8"/>
  <c r="F539" i="8"/>
  <c r="F540" i="8"/>
  <c r="F541" i="8"/>
  <c r="F542" i="8"/>
  <c r="F543" i="8"/>
  <c r="F544" i="8"/>
  <c r="F545" i="8"/>
  <c r="F546" i="8"/>
  <c r="F547" i="8"/>
  <c r="F548" i="8"/>
  <c r="F549" i="8"/>
  <c r="F550" i="8"/>
  <c r="F551" i="8"/>
  <c r="F552" i="8"/>
  <c r="F553" i="8"/>
  <c r="F554" i="8"/>
  <c r="F555" i="8"/>
  <c r="F556" i="8"/>
  <c r="F557" i="8"/>
  <c r="F558" i="8"/>
  <c r="F559" i="8"/>
  <c r="F560" i="8"/>
  <c r="F561" i="8"/>
  <c r="F562" i="8"/>
  <c r="F563" i="8"/>
  <c r="F564" i="8"/>
  <c r="F565" i="8"/>
  <c r="F566" i="8"/>
  <c r="F567" i="8"/>
  <c r="F568" i="8"/>
  <c r="F569" i="8"/>
  <c r="F570" i="8"/>
  <c r="F571" i="8"/>
  <c r="F572" i="8"/>
  <c r="F573" i="8"/>
  <c r="F574" i="8"/>
  <c r="F575" i="8"/>
  <c r="F576" i="8"/>
  <c r="F577" i="8"/>
  <c r="F578" i="8"/>
  <c r="F579" i="8"/>
  <c r="F580" i="8"/>
  <c r="F581" i="8"/>
  <c r="F582" i="8"/>
  <c r="F583" i="8"/>
  <c r="F584" i="8"/>
  <c r="F585" i="8"/>
  <c r="F586" i="8"/>
  <c r="F587" i="8"/>
  <c r="F588" i="8"/>
  <c r="F589" i="8"/>
  <c r="F590" i="8"/>
  <c r="F591" i="8"/>
  <c r="F592" i="8"/>
  <c r="F593" i="8"/>
  <c r="F594" i="8"/>
  <c r="F595" i="8"/>
  <c r="F596" i="8"/>
  <c r="F597" i="8"/>
  <c r="F598" i="8"/>
  <c r="F599" i="8"/>
  <c r="F600" i="8"/>
  <c r="F601" i="8"/>
  <c r="F602" i="8"/>
  <c r="F603" i="8"/>
  <c r="F604" i="8"/>
  <c r="F605" i="8"/>
  <c r="F606" i="8"/>
  <c r="F607" i="8"/>
  <c r="F608" i="8"/>
  <c r="F609" i="8"/>
  <c r="F610" i="8"/>
  <c r="F611" i="8"/>
  <c r="F612" i="8"/>
  <c r="F613" i="8"/>
  <c r="F614" i="8"/>
  <c r="F615" i="8"/>
  <c r="F616" i="8"/>
  <c r="F617" i="8"/>
  <c r="F618" i="8"/>
  <c r="F619" i="8"/>
  <c r="F620" i="8"/>
  <c r="F621" i="8"/>
  <c r="F622" i="8"/>
  <c r="F623" i="8"/>
  <c r="F624" i="8"/>
  <c r="F625" i="8"/>
  <c r="F626" i="8"/>
  <c r="F627" i="8"/>
  <c r="F628" i="8"/>
  <c r="F629" i="8"/>
  <c r="F630" i="8"/>
  <c r="F631" i="8"/>
  <c r="F632" i="8"/>
  <c r="F633" i="8"/>
  <c r="F634" i="8"/>
  <c r="F635" i="8"/>
  <c r="F636" i="8"/>
  <c r="F637" i="8"/>
  <c r="F638" i="8"/>
  <c r="F639" i="8"/>
  <c r="F640" i="8"/>
  <c r="F641" i="8"/>
  <c r="F642" i="8"/>
  <c r="F643" i="8"/>
  <c r="F644" i="8"/>
  <c r="F645" i="8"/>
  <c r="F646" i="8"/>
  <c r="F647" i="8"/>
  <c r="F648" i="8"/>
  <c r="F649" i="8"/>
  <c r="F650" i="8"/>
  <c r="F651" i="8"/>
  <c r="F652" i="8"/>
  <c r="F653" i="8"/>
  <c r="F654" i="8"/>
  <c r="F655" i="8"/>
  <c r="F656" i="8"/>
  <c r="F657" i="8"/>
  <c r="F658" i="8"/>
  <c r="F659" i="8"/>
  <c r="F660" i="8"/>
  <c r="F661" i="8"/>
  <c r="F662" i="8"/>
  <c r="F663" i="8"/>
  <c r="F664" i="8"/>
  <c r="F665" i="8"/>
  <c r="F666" i="8"/>
  <c r="F667" i="8"/>
  <c r="F668" i="8"/>
  <c r="F669" i="8"/>
  <c r="F670" i="8"/>
  <c r="F671" i="8"/>
  <c r="F672" i="8"/>
  <c r="F673" i="8"/>
  <c r="F674" i="8"/>
  <c r="F675" i="8"/>
  <c r="F676" i="8"/>
  <c r="F677" i="8"/>
  <c r="F678" i="8"/>
  <c r="F679" i="8"/>
  <c r="F680" i="8"/>
  <c r="F681" i="8"/>
  <c r="F682" i="8"/>
  <c r="F683" i="8"/>
  <c r="F684" i="8"/>
  <c r="F685" i="8"/>
  <c r="F686" i="8"/>
  <c r="F687" i="8"/>
  <c r="F688" i="8"/>
  <c r="F689" i="8"/>
  <c r="F690" i="8"/>
  <c r="F691" i="8"/>
  <c r="F692" i="8"/>
  <c r="F693" i="8"/>
  <c r="F694" i="8"/>
  <c r="F695" i="8"/>
  <c r="F696" i="8"/>
  <c r="F697" i="8"/>
  <c r="F698" i="8"/>
  <c r="F699" i="8"/>
  <c r="F700" i="8"/>
  <c r="F701" i="8"/>
  <c r="F702" i="8"/>
  <c r="F703" i="8"/>
  <c r="F704" i="8"/>
  <c r="F705" i="8"/>
  <c r="F706" i="8"/>
  <c r="F707" i="8"/>
  <c r="F708" i="8"/>
  <c r="F709" i="8"/>
  <c r="F710" i="8"/>
  <c r="F711" i="8"/>
  <c r="F712" i="8"/>
  <c r="F713" i="8"/>
  <c r="F714" i="8"/>
  <c r="F715" i="8"/>
  <c r="F716" i="8"/>
  <c r="F717" i="8"/>
  <c r="F718" i="8"/>
  <c r="F719" i="8"/>
  <c r="F720" i="8"/>
  <c r="F721" i="8"/>
  <c r="F722" i="8"/>
  <c r="F723" i="8"/>
  <c r="F724" i="8"/>
  <c r="F725" i="8"/>
  <c r="F726" i="8"/>
  <c r="F727" i="8"/>
  <c r="F728" i="8"/>
  <c r="F729" i="8"/>
  <c r="F730" i="8"/>
  <c r="F731" i="8"/>
  <c r="F732" i="8"/>
  <c r="F733" i="8"/>
  <c r="F734" i="8"/>
  <c r="F735" i="8"/>
  <c r="F736" i="8"/>
  <c r="F737" i="8"/>
  <c r="F738" i="8"/>
  <c r="F739" i="8"/>
  <c r="F740" i="8"/>
  <c r="F741" i="8"/>
  <c r="F742" i="8"/>
  <c r="F743" i="8"/>
  <c r="F744" i="8"/>
  <c r="F745" i="8"/>
  <c r="F746" i="8"/>
  <c r="F747" i="8"/>
  <c r="F748" i="8"/>
  <c r="F749" i="8"/>
  <c r="F750" i="8"/>
  <c r="F751" i="8"/>
  <c r="F752" i="8"/>
  <c r="F753" i="8"/>
  <c r="F754" i="8"/>
  <c r="F755" i="8"/>
  <c r="F756" i="8"/>
  <c r="F757" i="8"/>
  <c r="F758" i="8"/>
  <c r="F759" i="8"/>
  <c r="F760" i="8"/>
  <c r="F761" i="8"/>
  <c r="F762" i="8"/>
  <c r="F763" i="8"/>
  <c r="F764" i="8"/>
  <c r="F765" i="8"/>
  <c r="F766" i="8"/>
  <c r="F767" i="8"/>
  <c r="F768" i="8"/>
  <c r="F769" i="8"/>
  <c r="F770" i="8"/>
  <c r="F771" i="8"/>
  <c r="F772" i="8"/>
  <c r="F773" i="8"/>
  <c r="F774" i="8"/>
  <c r="F775" i="8"/>
  <c r="F776" i="8"/>
  <c r="F777" i="8"/>
  <c r="F778" i="8"/>
  <c r="F779" i="8"/>
  <c r="F780" i="8"/>
  <c r="F781" i="8"/>
  <c r="F782" i="8"/>
  <c r="F783" i="8"/>
  <c r="F784" i="8"/>
  <c r="F785" i="8"/>
  <c r="F786" i="8"/>
  <c r="F787" i="8"/>
  <c r="F788" i="8"/>
  <c r="F789" i="8"/>
  <c r="F790" i="8"/>
  <c r="F791" i="8"/>
  <c r="F792" i="8"/>
  <c r="F793" i="8"/>
  <c r="F794" i="8"/>
  <c r="F795" i="8"/>
  <c r="F796" i="8"/>
  <c r="F797" i="8"/>
  <c r="F798" i="8"/>
  <c r="F799" i="8"/>
  <c r="F800" i="8"/>
  <c r="F801" i="8"/>
  <c r="F802" i="8"/>
  <c r="F803" i="8"/>
  <c r="F804" i="8"/>
  <c r="F805" i="8"/>
  <c r="F806" i="8"/>
  <c r="F807" i="8"/>
  <c r="F808" i="8"/>
  <c r="F809" i="8"/>
  <c r="F810" i="8"/>
  <c r="F811" i="8"/>
  <c r="F812" i="8"/>
  <c r="F813" i="8"/>
  <c r="F814" i="8"/>
  <c r="F815" i="8"/>
  <c r="F816" i="8"/>
  <c r="F817" i="8"/>
  <c r="F818" i="8"/>
  <c r="F819" i="8"/>
  <c r="F820" i="8"/>
  <c r="F821" i="8"/>
  <c r="F822" i="8"/>
  <c r="F823" i="8"/>
  <c r="F824" i="8"/>
  <c r="F825" i="8"/>
  <c r="F826" i="8"/>
  <c r="F827" i="8"/>
  <c r="F828" i="8"/>
  <c r="F829" i="8"/>
  <c r="F830" i="8"/>
  <c r="F831" i="8"/>
  <c r="F832" i="8"/>
  <c r="F833" i="8"/>
  <c r="F834" i="8"/>
  <c r="F835" i="8"/>
  <c r="F836" i="8"/>
  <c r="F837" i="8"/>
  <c r="F838" i="8"/>
  <c r="F839" i="8"/>
  <c r="F840" i="8"/>
  <c r="F841" i="8"/>
  <c r="F842" i="8"/>
  <c r="F843" i="8"/>
  <c r="F844" i="8"/>
  <c r="F845" i="8"/>
  <c r="F846" i="8"/>
  <c r="F847" i="8"/>
  <c r="F848" i="8"/>
  <c r="F849" i="8"/>
  <c r="F850" i="8"/>
  <c r="F851" i="8"/>
  <c r="F852" i="8"/>
  <c r="F853" i="8"/>
  <c r="F854" i="8"/>
  <c r="F855" i="8"/>
  <c r="F856" i="8"/>
  <c r="F857" i="8"/>
  <c r="F858" i="8"/>
  <c r="F859" i="8"/>
  <c r="F860" i="8"/>
  <c r="F861" i="8"/>
  <c r="F862" i="8"/>
  <c r="F863" i="8"/>
  <c r="F864" i="8"/>
  <c r="F865" i="8"/>
  <c r="F866" i="8"/>
  <c r="F867" i="8"/>
  <c r="F868" i="8"/>
  <c r="F869" i="8"/>
  <c r="F870" i="8"/>
  <c r="F871" i="8"/>
  <c r="F872" i="8"/>
  <c r="F873" i="8"/>
  <c r="F874" i="8"/>
  <c r="F875" i="8"/>
  <c r="F876" i="8"/>
  <c r="F877" i="8"/>
  <c r="F878" i="8"/>
  <c r="F879" i="8"/>
  <c r="F880" i="8"/>
  <c r="F881" i="8"/>
  <c r="F882" i="8"/>
  <c r="F883" i="8"/>
  <c r="F884" i="8"/>
  <c r="F885" i="8"/>
  <c r="F886" i="8"/>
  <c r="F887" i="8"/>
  <c r="F888" i="8"/>
  <c r="F889" i="8"/>
  <c r="F890" i="8"/>
  <c r="F891" i="8"/>
  <c r="F892" i="8"/>
  <c r="F893" i="8"/>
  <c r="F894" i="8"/>
  <c r="F895" i="8"/>
  <c r="F896" i="8"/>
  <c r="F897" i="8"/>
  <c r="F898" i="8"/>
  <c r="F899" i="8"/>
  <c r="F900" i="8"/>
  <c r="F901" i="8"/>
  <c r="F902" i="8"/>
  <c r="F903" i="8"/>
  <c r="F904" i="8"/>
  <c r="F905" i="8"/>
  <c r="F906" i="8"/>
  <c r="F907" i="8"/>
  <c r="F908" i="8"/>
  <c r="F909" i="8"/>
  <c r="F910" i="8"/>
  <c r="F911" i="8"/>
  <c r="F912" i="8"/>
  <c r="F913" i="8"/>
  <c r="F914" i="8"/>
  <c r="F915" i="8"/>
  <c r="F916" i="8"/>
  <c r="F917" i="8"/>
  <c r="F918" i="8"/>
  <c r="F919" i="8"/>
  <c r="F920" i="8"/>
  <c r="F921" i="8"/>
  <c r="F922" i="8"/>
  <c r="F923" i="8"/>
  <c r="F924" i="8"/>
  <c r="F925" i="8"/>
  <c r="F926" i="8"/>
  <c r="F927" i="8"/>
  <c r="F928" i="8"/>
  <c r="F929" i="8"/>
  <c r="F930" i="8"/>
  <c r="F931" i="8"/>
  <c r="F932" i="8"/>
  <c r="F933" i="8"/>
  <c r="F934" i="8"/>
  <c r="F935" i="8"/>
  <c r="F936" i="8"/>
  <c r="F937" i="8"/>
  <c r="F938" i="8"/>
  <c r="F939" i="8"/>
  <c r="F940" i="8"/>
  <c r="F941" i="8"/>
  <c r="F942" i="8"/>
  <c r="F943" i="8"/>
  <c r="F944" i="8"/>
  <c r="F945" i="8"/>
  <c r="F946" i="8"/>
  <c r="F947" i="8"/>
  <c r="F948" i="8"/>
  <c r="F949" i="8"/>
  <c r="F950" i="8"/>
  <c r="F951" i="8"/>
  <c r="F952" i="8"/>
  <c r="F953" i="8"/>
  <c r="F954" i="8"/>
  <c r="F955" i="8"/>
  <c r="F956" i="8"/>
  <c r="F957" i="8"/>
  <c r="F958" i="8"/>
  <c r="F959" i="8"/>
  <c r="F960" i="8"/>
  <c r="F961" i="8"/>
  <c r="F962" i="8"/>
  <c r="F963" i="8"/>
  <c r="F964" i="8"/>
  <c r="F965" i="8"/>
  <c r="F966" i="8"/>
  <c r="F967" i="8"/>
  <c r="F968" i="8"/>
  <c r="F969" i="8"/>
  <c r="F970" i="8"/>
  <c r="F971" i="8"/>
  <c r="F972" i="8"/>
  <c r="F973" i="8"/>
  <c r="F974" i="8"/>
  <c r="F975" i="8"/>
  <c r="F976" i="8"/>
  <c r="F977" i="8"/>
  <c r="F978" i="8"/>
  <c r="F979" i="8"/>
  <c r="F980" i="8"/>
  <c r="F981" i="8"/>
  <c r="F982" i="8"/>
  <c r="F983" i="8"/>
  <c r="F984" i="8"/>
  <c r="F985" i="8"/>
  <c r="F986" i="8"/>
  <c r="F987" i="8"/>
  <c r="F988" i="8"/>
  <c r="F989" i="8"/>
  <c r="F990" i="8"/>
  <c r="F991" i="8"/>
  <c r="F992" i="8"/>
  <c r="F993" i="8"/>
  <c r="F994" i="8"/>
  <c r="F995" i="8"/>
  <c r="F996" i="8"/>
  <c r="F997" i="8"/>
  <c r="F998" i="8"/>
  <c r="F999" i="8"/>
  <c r="F1000" i="8"/>
  <c r="F1001" i="8"/>
  <c r="F1002" i="8"/>
  <c r="F1003" i="8"/>
  <c r="F1004" i="8"/>
  <c r="F1005" i="8"/>
  <c r="F1006" i="8"/>
  <c r="F1007" i="8"/>
  <c r="F1008" i="8"/>
  <c r="F1009" i="8"/>
  <c r="F1010" i="8"/>
  <c r="F1011" i="8"/>
  <c r="F1012" i="8"/>
  <c r="F1013" i="8"/>
  <c r="F1014" i="8"/>
  <c r="F1015" i="8"/>
  <c r="F16" i="8"/>
  <c r="D37" i="7"/>
  <c r="E37" i="7"/>
  <c r="D38" i="7"/>
  <c r="E38" i="7"/>
  <c r="D39" i="7"/>
  <c r="E39" i="7"/>
  <c r="D40" i="7"/>
  <c r="E40" i="7"/>
  <c r="D41" i="7"/>
  <c r="E41" i="7"/>
  <c r="D42" i="7"/>
  <c r="E42" i="7"/>
  <c r="D43" i="7"/>
  <c r="E43" i="7"/>
  <c r="D44" i="7"/>
  <c r="E44" i="7"/>
  <c r="D45" i="7"/>
  <c r="E45" i="7"/>
  <c r="D32" i="7"/>
  <c r="B37" i="7"/>
  <c r="B38" i="7"/>
  <c r="B39" i="7"/>
  <c r="B40" i="7"/>
  <c r="B41" i="7"/>
  <c r="B42" i="7"/>
  <c r="B43" i="7"/>
  <c r="B44" i="7"/>
  <c r="B45" i="7"/>
  <c r="E36" i="7"/>
  <c r="E35" i="7"/>
  <c r="E34" i="7"/>
  <c r="E33" i="7"/>
  <c r="E32" i="7"/>
  <c r="E31" i="7"/>
  <c r="E30" i="7"/>
  <c r="E29" i="7"/>
  <c r="D36" i="7"/>
  <c r="D35" i="7"/>
  <c r="D34" i="7"/>
  <c r="D33" i="7"/>
  <c r="D31" i="7"/>
  <c r="D30" i="7"/>
  <c r="D29" i="7"/>
  <c r="B36" i="7"/>
  <c r="B35" i="7"/>
  <c r="B34" i="7"/>
  <c r="B33" i="7"/>
  <c r="B32" i="7"/>
  <c r="B31" i="7"/>
  <c r="B30" i="7"/>
  <c r="B29" i="7"/>
  <c r="B18" i="7"/>
  <c r="B19" i="7" s="1"/>
  <c r="B20" i="7"/>
  <c r="B21" i="7"/>
  <c r="B24" i="7"/>
  <c r="F11" i="7" s="1"/>
  <c r="L102" i="2"/>
  <c r="K102" i="2"/>
  <c r="K66" i="2"/>
  <c r="R43" i="3"/>
  <c r="C38" i="2"/>
  <c r="I130" i="2"/>
  <c r="E130" i="2"/>
  <c r="M130" i="2"/>
  <c r="G130" i="2"/>
  <c r="K159" i="2"/>
  <c r="K72" i="2"/>
  <c r="K103" i="2"/>
  <c r="L103" i="2"/>
  <c r="K131" i="2"/>
  <c r="K197" i="2"/>
  <c r="K30" i="2"/>
  <c r="B141" i="4"/>
  <c r="R146" i="3"/>
  <c r="C141" i="2"/>
  <c r="H141" i="2"/>
  <c r="E207" i="2"/>
  <c r="L207" i="2"/>
  <c r="C73" i="4"/>
  <c r="K73" i="2"/>
  <c r="C114" i="2"/>
  <c r="M162" i="2"/>
  <c r="G162" i="2"/>
  <c r="E162" i="2"/>
  <c r="K162" i="2"/>
  <c r="I183" i="2"/>
  <c r="K183" i="2"/>
  <c r="G183" i="2"/>
  <c r="E183" i="2"/>
  <c r="D191" i="2"/>
  <c r="H113" i="2"/>
  <c r="C113" i="2"/>
  <c r="H21" i="2"/>
  <c r="M40" i="2"/>
  <c r="G40" i="2"/>
  <c r="L40" i="2"/>
  <c r="I40" i="2"/>
  <c r="K40" i="2"/>
  <c r="K198" i="2"/>
  <c r="E40" i="2"/>
  <c r="K64" i="2"/>
  <c r="L130" i="2"/>
  <c r="M106" i="2"/>
  <c r="K75" i="2"/>
  <c r="L75" i="2"/>
  <c r="C92" i="2"/>
  <c r="K33" i="2"/>
  <c r="H145" i="2"/>
  <c r="C145" i="2"/>
  <c r="C145" i="4" s="1"/>
  <c r="M183" i="2"/>
  <c r="K201" i="2"/>
  <c r="L201" i="2"/>
  <c r="M201" i="2"/>
  <c r="I201" i="2"/>
  <c r="L162" i="2"/>
  <c r="D25" i="2"/>
  <c r="K184" i="2"/>
  <c r="I59" i="2"/>
  <c r="M59" i="2"/>
  <c r="K59" i="2"/>
  <c r="D118" i="2"/>
  <c r="D146" i="2"/>
  <c r="K166" i="2"/>
  <c r="L44" i="2"/>
  <c r="G44" i="2"/>
  <c r="K44" i="2"/>
  <c r="G59" i="2"/>
  <c r="E86" i="2"/>
  <c r="L86" i="2"/>
  <c r="K86" i="2"/>
  <c r="C109" i="2"/>
  <c r="C109" i="4" s="1"/>
  <c r="L138" i="2"/>
  <c r="K138" i="2"/>
  <c r="K176" i="2"/>
  <c r="D18" i="2"/>
  <c r="C36" i="2"/>
  <c r="E44" i="2"/>
  <c r="E94" i="2"/>
  <c r="C142" i="2"/>
  <c r="H142" i="2"/>
  <c r="B155" i="4"/>
  <c r="H155" i="2"/>
  <c r="C155" i="2"/>
  <c r="C135" i="2"/>
  <c r="D52" i="2"/>
  <c r="D117" i="2"/>
  <c r="D110" i="2"/>
  <c r="D63" i="2"/>
  <c r="D149" i="2"/>
  <c r="D81" i="2"/>
  <c r="D77" i="2"/>
  <c r="D51" i="2"/>
  <c r="D129" i="2"/>
  <c r="D79" i="2"/>
  <c r="D61" i="2"/>
  <c r="D153" i="2"/>
  <c r="D107" i="2"/>
  <c r="D85" i="2"/>
  <c r="D38" i="2"/>
  <c r="D33" i="2"/>
  <c r="D19" i="2"/>
  <c r="D132" i="2"/>
  <c r="D196" i="2"/>
  <c r="D57" i="2"/>
  <c r="D43" i="2"/>
  <c r="D67" i="2"/>
  <c r="I101" i="2"/>
  <c r="M101" i="2"/>
  <c r="K101" i="2"/>
  <c r="D108" i="2"/>
  <c r="E194" i="2"/>
  <c r="L194" i="2"/>
  <c r="K194" i="2"/>
  <c r="E201" i="2"/>
  <c r="K80" i="2"/>
  <c r="L199" i="2"/>
  <c r="B35" i="4"/>
  <c r="R40" i="3"/>
  <c r="H35" i="2"/>
  <c r="H68" i="2"/>
  <c r="C68" i="2"/>
  <c r="K78" i="2"/>
  <c r="I78" i="2"/>
  <c r="G101" i="2"/>
  <c r="H184" i="2"/>
  <c r="E78" i="2"/>
  <c r="M78" i="2"/>
  <c r="H86" i="2"/>
  <c r="G94" i="2"/>
  <c r="L106" i="2"/>
  <c r="L59" i="2"/>
  <c r="H78" i="2"/>
  <c r="C170" i="2"/>
  <c r="S175" i="3" s="1"/>
  <c r="V175" i="3" s="1"/>
  <c r="K128" i="2"/>
  <c r="L47" i="2"/>
  <c r="K82" i="2"/>
  <c r="K54" i="2"/>
  <c r="C45" i="2"/>
  <c r="C58" i="2"/>
  <c r="C87" i="2"/>
  <c r="C169" i="2"/>
  <c r="C173" i="2"/>
  <c r="C173" i="4" s="1"/>
  <c r="C8" i="2"/>
  <c r="C8" i="4" s="1"/>
  <c r="C31" i="2"/>
  <c r="H87" i="2"/>
  <c r="C100" i="2"/>
  <c r="C117" i="2"/>
  <c r="C182" i="2"/>
  <c r="C187" i="2"/>
  <c r="C156" i="2"/>
  <c r="H9" i="2"/>
  <c r="H169" i="2"/>
  <c r="C120" i="4"/>
  <c r="S125" i="3"/>
  <c r="C75" i="4"/>
  <c r="S80" i="3"/>
  <c r="V80" i="3" s="1"/>
  <c r="I75" i="2"/>
  <c r="G75" i="2"/>
  <c r="E75" i="2"/>
  <c r="M75" i="2"/>
  <c r="C47" i="4"/>
  <c r="S52" i="3"/>
  <c r="V52" i="3" s="1"/>
  <c r="I47" i="2"/>
  <c r="G47" i="2"/>
  <c r="E47" i="2"/>
  <c r="M47" i="2"/>
  <c r="C124" i="4"/>
  <c r="S129" i="3"/>
  <c r="C177" i="4"/>
  <c r="S182" i="3"/>
  <c r="C25" i="4"/>
  <c r="S30" i="3"/>
  <c r="V30" i="3" s="1"/>
  <c r="M25" i="2"/>
  <c r="I25" i="2"/>
  <c r="E25" i="2"/>
  <c r="G25" i="2"/>
  <c r="B27" i="4"/>
  <c r="C27" i="2"/>
  <c r="C56" i="2"/>
  <c r="B65" i="4"/>
  <c r="R70" i="3"/>
  <c r="H65" i="2"/>
  <c r="C65" i="2"/>
  <c r="B90" i="4"/>
  <c r="R95" i="3"/>
  <c r="H90" i="2"/>
  <c r="C94" i="4"/>
  <c r="S99" i="3"/>
  <c r="V99" i="3" s="1"/>
  <c r="M94" i="2"/>
  <c r="I94" i="2"/>
  <c r="C103" i="4"/>
  <c r="S108" i="3"/>
  <c r="V108" i="3" s="1"/>
  <c r="I103" i="2"/>
  <c r="G103" i="2"/>
  <c r="E103" i="2"/>
  <c r="R120" i="3"/>
  <c r="B115" i="4"/>
  <c r="H115" i="2"/>
  <c r="C127" i="4"/>
  <c r="S132" i="3"/>
  <c r="R148" i="3"/>
  <c r="B143" i="4"/>
  <c r="H143" i="2"/>
  <c r="C143" i="2"/>
  <c r="B161" i="4"/>
  <c r="R166" i="3"/>
  <c r="H161" i="2"/>
  <c r="C161" i="2"/>
  <c r="B195" i="4"/>
  <c r="R200" i="3"/>
  <c r="C195" i="2"/>
  <c r="H195" i="2"/>
  <c r="S27" i="3"/>
  <c r="B10" i="4"/>
  <c r="H10" i="2"/>
  <c r="K10" i="2" s="1"/>
  <c r="R15" i="3"/>
  <c r="H27" i="2"/>
  <c r="B43" i="4"/>
  <c r="R48" i="3"/>
  <c r="C43" i="2"/>
  <c r="D47" i="2"/>
  <c r="D65" i="2"/>
  <c r="S79" i="3"/>
  <c r="C74" i="4"/>
  <c r="C81" i="2"/>
  <c r="B83" i="4"/>
  <c r="R88" i="3"/>
  <c r="C83" i="2"/>
  <c r="C90" i="2"/>
  <c r="D94" i="2"/>
  <c r="B99" i="4"/>
  <c r="R104" i="3"/>
  <c r="C99" i="2"/>
  <c r="D103" i="2"/>
  <c r="B108" i="4"/>
  <c r="R113" i="3"/>
  <c r="C108" i="2"/>
  <c r="B110" i="4"/>
  <c r="R115" i="3"/>
  <c r="H110" i="2"/>
  <c r="C110" i="2"/>
  <c r="C115" i="2"/>
  <c r="D143" i="2"/>
  <c r="D161" i="2"/>
  <c r="B148" i="4"/>
  <c r="R153" i="3"/>
  <c r="H148" i="2"/>
  <c r="B12" i="4"/>
  <c r="C12" i="2"/>
  <c r="R17" i="3"/>
  <c r="C38" i="4"/>
  <c r="M38" i="2"/>
  <c r="I38" i="2"/>
  <c r="C148" i="2"/>
  <c r="B61" i="4"/>
  <c r="R66" i="3"/>
  <c r="H61" i="2"/>
  <c r="B23" i="4"/>
  <c r="R28" i="3"/>
  <c r="H23" i="2"/>
  <c r="B165" i="4"/>
  <c r="C165" i="2"/>
  <c r="R170" i="3"/>
  <c r="H165" i="2"/>
  <c r="C32" i="4"/>
  <c r="S37" i="3"/>
  <c r="B95" i="4"/>
  <c r="R100" i="3"/>
  <c r="M103" i="2"/>
  <c r="H124" i="2"/>
  <c r="K124" i="2" s="1"/>
  <c r="B28" i="4"/>
  <c r="R33" i="3"/>
  <c r="H28" i="2"/>
  <c r="B97" i="4"/>
  <c r="R102" i="3"/>
  <c r="C97" i="2"/>
  <c r="B104" i="4"/>
  <c r="R109" i="3"/>
  <c r="B111" i="4"/>
  <c r="R116" i="3"/>
  <c r="C111" i="2"/>
  <c r="B136" i="4"/>
  <c r="C136" i="2"/>
  <c r="R141" i="3"/>
  <c r="H136" i="2"/>
  <c r="C139" i="2"/>
  <c r="D159" i="2"/>
  <c r="D162" i="2"/>
  <c r="C171" i="4"/>
  <c r="S176" i="3"/>
  <c r="B185" i="4"/>
  <c r="R190" i="3"/>
  <c r="H185" i="2"/>
  <c r="R134" i="3"/>
  <c r="B129" i="4"/>
  <c r="H129" i="2"/>
  <c r="C190" i="4"/>
  <c r="S195" i="3"/>
  <c r="V195" i="3" s="1"/>
  <c r="M190" i="2"/>
  <c r="I190" i="2"/>
  <c r="G190" i="2"/>
  <c r="E190" i="2"/>
  <c r="B25" i="4"/>
  <c r="R30" i="3"/>
  <c r="C30" i="4"/>
  <c r="S35" i="3"/>
  <c r="B39" i="4"/>
  <c r="R44" i="3"/>
  <c r="C144" i="4"/>
  <c r="S149" i="3"/>
  <c r="C13" i="2"/>
  <c r="C28" i="2"/>
  <c r="D35" i="2"/>
  <c r="C66" i="4"/>
  <c r="S71" i="3"/>
  <c r="B84" i="4"/>
  <c r="H84" i="2"/>
  <c r="R89" i="3"/>
  <c r="G86" i="2"/>
  <c r="I88" i="2"/>
  <c r="D95" i="2"/>
  <c r="H97" i="2"/>
  <c r="C104" i="2"/>
  <c r="C106" i="4"/>
  <c r="S111" i="3"/>
  <c r="V111" i="3" s="1"/>
  <c r="G106" i="2"/>
  <c r="E106" i="2"/>
  <c r="D111" i="2"/>
  <c r="B116" i="4"/>
  <c r="H116" i="2"/>
  <c r="R121" i="3"/>
  <c r="C116" i="2"/>
  <c r="B122" i="4"/>
  <c r="R127" i="3"/>
  <c r="C122" i="2"/>
  <c r="H122" i="2"/>
  <c r="D125" i="2"/>
  <c r="D136" i="2"/>
  <c r="D139" i="2"/>
  <c r="C166" i="4"/>
  <c r="S171" i="3"/>
  <c r="B179" i="4"/>
  <c r="C179" i="2"/>
  <c r="C185" i="2"/>
  <c r="B120" i="4"/>
  <c r="H120" i="2"/>
  <c r="K120" i="2" s="1"/>
  <c r="R125" i="3"/>
  <c r="B121" i="4"/>
  <c r="R126" i="3"/>
  <c r="C121" i="2"/>
  <c r="B79" i="4"/>
  <c r="R84" i="3"/>
  <c r="H79" i="2"/>
  <c r="C79" i="2"/>
  <c r="B75" i="4"/>
  <c r="R80" i="3"/>
  <c r="H75" i="2"/>
  <c r="H81" i="2"/>
  <c r="B11" i="4"/>
  <c r="R16" i="3"/>
  <c r="H11" i="2"/>
  <c r="D13" i="2"/>
  <c r="B37" i="4"/>
  <c r="H37" i="2"/>
  <c r="R42" i="3"/>
  <c r="C37" i="2"/>
  <c r="C44" i="4"/>
  <c r="M44" i="2"/>
  <c r="B53" i="4"/>
  <c r="R58" i="3"/>
  <c r="B62" i="4"/>
  <c r="R67" i="3"/>
  <c r="H62" i="2"/>
  <c r="D66" i="2"/>
  <c r="B71" i="4"/>
  <c r="R76" i="3"/>
  <c r="C71" i="2"/>
  <c r="D75" i="2"/>
  <c r="C84" i="2"/>
  <c r="D91" i="2"/>
  <c r="C100" i="4"/>
  <c r="S105" i="3"/>
  <c r="I106" i="2"/>
  <c r="B150" i="4"/>
  <c r="R155" i="3"/>
  <c r="C150" i="2"/>
  <c r="H150" i="2"/>
  <c r="C172" i="4"/>
  <c r="S177" i="3"/>
  <c r="D175" i="2"/>
  <c r="H179" i="2"/>
  <c r="D185" i="2"/>
  <c r="B81" i="4"/>
  <c r="B18" i="4"/>
  <c r="C18" i="2"/>
  <c r="R23" i="3"/>
  <c r="B34" i="4"/>
  <c r="R39" i="3"/>
  <c r="H34" i="2"/>
  <c r="B70" i="4"/>
  <c r="R75" i="3"/>
  <c r="H70" i="2"/>
  <c r="C86" i="4"/>
  <c r="S91" i="3"/>
  <c r="V91" i="3" s="1"/>
  <c r="M86" i="2"/>
  <c r="B17" i="4"/>
  <c r="R22" i="3"/>
  <c r="H17" i="2"/>
  <c r="C11" i="2"/>
  <c r="C17" i="2"/>
  <c r="B33" i="4"/>
  <c r="R38" i="3"/>
  <c r="H33" i="2"/>
  <c r="D37" i="2"/>
  <c r="H39" i="2"/>
  <c r="D44" i="2"/>
  <c r="C53" i="2"/>
  <c r="R60" i="3"/>
  <c r="B55" i="4"/>
  <c r="C55" i="2"/>
  <c r="C62" i="2"/>
  <c r="D71" i="2"/>
  <c r="I86" i="2"/>
  <c r="B93" i="4"/>
  <c r="R98" i="3"/>
  <c r="H93" i="2"/>
  <c r="C93" i="2"/>
  <c r="D100" i="2"/>
  <c r="R159" i="3"/>
  <c r="B154" i="4"/>
  <c r="H154" i="2"/>
  <c r="C154" i="2"/>
  <c r="C22" i="4"/>
  <c r="B56" i="4"/>
  <c r="H56" i="2"/>
  <c r="C129" i="2"/>
  <c r="C34" i="2"/>
  <c r="C16" i="4"/>
  <c r="S21" i="3"/>
  <c r="G38" i="2"/>
  <c r="C52" i="4"/>
  <c r="S57" i="3"/>
  <c r="C138" i="4"/>
  <c r="S143" i="3"/>
  <c r="V143" i="3" s="1"/>
  <c r="I138" i="2"/>
  <c r="G138" i="2"/>
  <c r="M138" i="2"/>
  <c r="E138" i="2"/>
  <c r="B48" i="4"/>
  <c r="R53" i="3"/>
  <c r="H48" i="2"/>
  <c r="B41" i="4"/>
  <c r="R46" i="3"/>
  <c r="C41" i="2"/>
  <c r="C48" i="2"/>
  <c r="C88" i="4"/>
  <c r="S93" i="3"/>
  <c r="V93" i="3" s="1"/>
  <c r="G88" i="2"/>
  <c r="E88" i="2"/>
  <c r="M88" i="2"/>
  <c r="C95" i="2"/>
  <c r="B4" i="4"/>
  <c r="D205" i="2"/>
  <c r="D192" i="2"/>
  <c r="D197" i="2"/>
  <c r="D183" i="2"/>
  <c r="D169" i="2"/>
  <c r="D155" i="2"/>
  <c r="D141" i="2"/>
  <c r="D127" i="2"/>
  <c r="D113" i="2"/>
  <c r="D202" i="2"/>
  <c r="D188" i="2"/>
  <c r="D174" i="2"/>
  <c r="D193" i="2"/>
  <c r="D179" i="2"/>
  <c r="D165" i="2"/>
  <c r="D151" i="2"/>
  <c r="D137" i="2"/>
  <c r="D123" i="2"/>
  <c r="D206" i="2"/>
  <c r="D198" i="2"/>
  <c r="D184" i="2"/>
  <c r="D170" i="2"/>
  <c r="D156" i="2"/>
  <c r="D142" i="2"/>
  <c r="D128" i="2"/>
  <c r="D203" i="2"/>
  <c r="D194" i="2"/>
  <c r="D180" i="2"/>
  <c r="D166" i="2"/>
  <c r="D152" i="2"/>
  <c r="D138" i="2"/>
  <c r="D124" i="2"/>
  <c r="D204" i="2"/>
  <c r="D200" i="2"/>
  <c r="D186" i="2"/>
  <c r="D172" i="2"/>
  <c r="D158" i="2"/>
  <c r="D178" i="2"/>
  <c r="D164" i="2"/>
  <c r="D147" i="2"/>
  <c r="D130" i="2"/>
  <c r="D105" i="2"/>
  <c r="D96" i="2"/>
  <c r="D82" i="2"/>
  <c r="D68" i="2"/>
  <c r="D54" i="2"/>
  <c r="D40" i="2"/>
  <c r="D26" i="2"/>
  <c r="D8" i="2"/>
  <c r="D73" i="2"/>
  <c r="D59" i="2"/>
  <c r="D160" i="2"/>
  <c r="D135" i="2"/>
  <c r="D109" i="2"/>
  <c r="D101" i="2"/>
  <c r="D87" i="2"/>
  <c r="D45" i="2"/>
  <c r="D31" i="2"/>
  <c r="D182" i="2"/>
  <c r="D133" i="2"/>
  <c r="D92" i="2"/>
  <c r="D78" i="2"/>
  <c r="D64" i="2"/>
  <c r="D50" i="2"/>
  <c r="D36" i="2"/>
  <c r="D21" i="2"/>
  <c r="D15" i="2"/>
  <c r="D9" i="2"/>
  <c r="D207" i="2"/>
  <c r="D121" i="2"/>
  <c r="D116" i="2"/>
  <c r="D97" i="2"/>
  <c r="D83" i="2"/>
  <c r="D69" i="2"/>
  <c r="D55" i="2"/>
  <c r="D41" i="2"/>
  <c r="D27" i="2"/>
  <c r="D199" i="2"/>
  <c r="D195" i="2"/>
  <c r="D190" i="2"/>
  <c r="D171" i="2"/>
  <c r="D145" i="2"/>
  <c r="D140" i="2"/>
  <c r="D119" i="2"/>
  <c r="D106" i="2"/>
  <c r="D102" i="2"/>
  <c r="D88" i="2"/>
  <c r="D74" i="2"/>
  <c r="D60" i="2"/>
  <c r="D46" i="2"/>
  <c r="D32" i="2"/>
  <c r="D22" i="2"/>
  <c r="D16" i="2"/>
  <c r="D10" i="2"/>
  <c r="D177" i="2"/>
  <c r="D173" i="2"/>
  <c r="D167" i="2"/>
  <c r="D163" i="2"/>
  <c r="D150" i="2"/>
  <c r="D148" i="2"/>
  <c r="D131" i="2"/>
  <c r="D126" i="2"/>
  <c r="D114" i="2"/>
  <c r="D98" i="2"/>
  <c r="D84" i="2"/>
  <c r="D70" i="2"/>
  <c r="D56" i="2"/>
  <c r="D42" i="2"/>
  <c r="D28" i="2"/>
  <c r="D23" i="2"/>
  <c r="D17" i="2"/>
  <c r="D189" i="2"/>
  <c r="D187" i="2"/>
  <c r="D122" i="2"/>
  <c r="D120" i="2"/>
  <c r="D104" i="2"/>
  <c r="D90" i="2"/>
  <c r="D76" i="2"/>
  <c r="D62" i="2"/>
  <c r="D48" i="2"/>
  <c r="D34" i="2"/>
  <c r="D11" i="2"/>
  <c r="C33" i="4"/>
  <c r="S38" i="3"/>
  <c r="C46" i="4"/>
  <c r="S51" i="3"/>
  <c r="D53" i="2"/>
  <c r="B89" i="4"/>
  <c r="R94" i="3"/>
  <c r="H89" i="2"/>
  <c r="D93" i="2"/>
  <c r="H95" i="2"/>
  <c r="C102" i="4"/>
  <c r="S107" i="3"/>
  <c r="V107" i="3" s="1"/>
  <c r="G102" i="2"/>
  <c r="E102" i="2"/>
  <c r="M102" i="2"/>
  <c r="H104" i="2"/>
  <c r="H111" i="2"/>
  <c r="C131" i="4"/>
  <c r="S136" i="3"/>
  <c r="B151" i="4"/>
  <c r="R156" i="3"/>
  <c r="C151" i="2"/>
  <c r="H151" i="2"/>
  <c r="D154" i="2"/>
  <c r="B157" i="4"/>
  <c r="R162" i="3"/>
  <c r="H157" i="2"/>
  <c r="C157" i="2"/>
  <c r="B163" i="4"/>
  <c r="R168" i="3"/>
  <c r="H163" i="2"/>
  <c r="C176" i="4"/>
  <c r="S181" i="3"/>
  <c r="B204" i="4"/>
  <c r="R209" i="3"/>
  <c r="H204" i="2"/>
  <c r="N14" i="3"/>
  <c r="J7" i="5" s="1"/>
  <c r="N6" i="3"/>
  <c r="N7" i="3" s="1"/>
  <c r="N19" i="3" s="1"/>
  <c r="J11" i="5" s="1"/>
  <c r="R32" i="3"/>
  <c r="S43" i="3"/>
  <c r="V43" i="3" s="1"/>
  <c r="C60" i="4"/>
  <c r="S65" i="3"/>
  <c r="B124" i="4"/>
  <c r="R129" i="3"/>
  <c r="C196" i="4"/>
  <c r="S201" i="3"/>
  <c r="B19" i="4"/>
  <c r="R24" i="3"/>
  <c r="C70" i="2"/>
  <c r="B153" i="4"/>
  <c r="R158" i="3"/>
  <c r="C153" i="2"/>
  <c r="C19" i="2"/>
  <c r="C23" i="2"/>
  <c r="C39" i="2"/>
  <c r="B139" i="4"/>
  <c r="R144" i="3"/>
  <c r="C199" i="4"/>
  <c r="S204" i="3"/>
  <c r="V204" i="3" s="1"/>
  <c r="I199" i="2"/>
  <c r="G199" i="2"/>
  <c r="E199" i="2"/>
  <c r="M199" i="2"/>
  <c r="H13" i="2"/>
  <c r="B29" i="4"/>
  <c r="C29" i="2"/>
  <c r="B67" i="4"/>
  <c r="R72" i="3"/>
  <c r="B76" i="4"/>
  <c r="R81" i="3"/>
  <c r="H76" i="2"/>
  <c r="C80" i="4"/>
  <c r="S85" i="3"/>
  <c r="C89" i="2"/>
  <c r="B98" i="4"/>
  <c r="R103" i="3"/>
  <c r="H98" i="2"/>
  <c r="I102" i="2"/>
  <c r="R124" i="3"/>
  <c r="B119" i="4"/>
  <c r="H119" i="2"/>
  <c r="C119" i="2"/>
  <c r="B126" i="4"/>
  <c r="R131" i="3"/>
  <c r="H126" i="2"/>
  <c r="K126" i="2" s="1"/>
  <c r="C134" i="4"/>
  <c r="S139" i="3"/>
  <c r="S150" i="3"/>
  <c r="D157" i="2"/>
  <c r="C163" i="2"/>
  <c r="D176" i="2"/>
  <c r="D201" i="2"/>
  <c r="C204" i="2"/>
  <c r="R18" i="3"/>
  <c r="B177" i="4"/>
  <c r="R182" i="3"/>
  <c r="H177" i="2"/>
  <c r="K177" i="2" s="1"/>
  <c r="B47" i="4"/>
  <c r="R52" i="3"/>
  <c r="H47" i="2"/>
  <c r="C72" i="4"/>
  <c r="S77" i="3"/>
  <c r="C10" i="4"/>
  <c r="S15" i="3"/>
  <c r="C152" i="4"/>
  <c r="S157" i="3"/>
  <c r="C61" i="2"/>
  <c r="H12" i="2"/>
  <c r="B57" i="4"/>
  <c r="R62" i="3"/>
  <c r="C57" i="2"/>
  <c r="H25" i="2"/>
  <c r="C24" i="4"/>
  <c r="S29" i="3"/>
  <c r="B42" i="4"/>
  <c r="H42" i="2"/>
  <c r="R47" i="3"/>
  <c r="B7" i="3"/>
  <c r="E11" i="3" s="1"/>
  <c r="B12" i="3" s="1"/>
  <c r="D20" i="2"/>
  <c r="D24" i="2"/>
  <c r="D29" i="2"/>
  <c r="C42" i="2"/>
  <c r="D49" i="2"/>
  <c r="B51" i="4"/>
  <c r="R56" i="3"/>
  <c r="H51" i="2"/>
  <c r="C51" i="2"/>
  <c r="D58" i="2"/>
  <c r="C67" i="2"/>
  <c r="B69" i="4"/>
  <c r="R74" i="3"/>
  <c r="C69" i="2"/>
  <c r="C76" i="2"/>
  <c r="D80" i="2"/>
  <c r="B85" i="4"/>
  <c r="R90" i="3"/>
  <c r="C85" i="2"/>
  <c r="D89" i="2"/>
  <c r="C98" i="2"/>
  <c r="C107" i="4"/>
  <c r="S112" i="3"/>
  <c r="D112" i="2"/>
  <c r="C114" i="4"/>
  <c r="S119" i="3"/>
  <c r="C117" i="4"/>
  <c r="S122" i="3"/>
  <c r="C126" i="4"/>
  <c r="S131" i="3"/>
  <c r="D134" i="2"/>
  <c r="C140" i="4"/>
  <c r="S145" i="3"/>
  <c r="V145" i="3" s="1"/>
  <c r="M140" i="2"/>
  <c r="G140" i="2"/>
  <c r="E140" i="2"/>
  <c r="C155" i="4"/>
  <c r="S160" i="3"/>
  <c r="V160" i="3" s="1"/>
  <c r="I155" i="2"/>
  <c r="B167" i="4"/>
  <c r="R172" i="3"/>
  <c r="C167" i="2"/>
  <c r="H167" i="2"/>
  <c r="B181" i="4"/>
  <c r="R186" i="3"/>
  <c r="C181" i="2"/>
  <c r="C194" i="4"/>
  <c r="I194" i="2"/>
  <c r="G194" i="2"/>
  <c r="S199" i="3"/>
  <c r="V199" i="3" s="1"/>
  <c r="M194" i="2"/>
  <c r="R34" i="3"/>
  <c r="C170" i="4"/>
  <c r="B189" i="4"/>
  <c r="R194" i="3"/>
  <c r="H189" i="2"/>
  <c r="C189" i="2"/>
  <c r="B203" i="4"/>
  <c r="R208" i="3"/>
  <c r="H203" i="2"/>
  <c r="R26" i="3"/>
  <c r="B24" i="4"/>
  <c r="R29" i="3"/>
  <c r="H26" i="2"/>
  <c r="B52" i="4"/>
  <c r="R57" i="3"/>
  <c r="H54" i="2"/>
  <c r="B66" i="4"/>
  <c r="R71" i="3"/>
  <c r="B80" i="4"/>
  <c r="R85" i="3"/>
  <c r="B94" i="4"/>
  <c r="R99" i="3"/>
  <c r="H96" i="2"/>
  <c r="K96" i="2" s="1"/>
  <c r="B107" i="4"/>
  <c r="R112" i="3"/>
  <c r="B134" i="4"/>
  <c r="R139" i="3"/>
  <c r="H134" i="2"/>
  <c r="K134" i="2" s="1"/>
  <c r="C141" i="4"/>
  <c r="S146" i="3"/>
  <c r="C159" i="4"/>
  <c r="B194" i="4"/>
  <c r="H194" i="2"/>
  <c r="C203" i="2"/>
  <c r="R14" i="3"/>
  <c r="B38" i="4"/>
  <c r="B16" i="4"/>
  <c r="R21" i="3"/>
  <c r="B22" i="4"/>
  <c r="R27" i="3"/>
  <c r="B32" i="4"/>
  <c r="R37" i="3"/>
  <c r="B46" i="4"/>
  <c r="R51" i="3"/>
  <c r="B60" i="4"/>
  <c r="R65" i="3"/>
  <c r="B74" i="4"/>
  <c r="R79" i="3"/>
  <c r="B88" i="4"/>
  <c r="R93" i="3"/>
  <c r="R107" i="3"/>
  <c r="B102" i="4"/>
  <c r="B106" i="4"/>
  <c r="R111" i="3"/>
  <c r="B138" i="4"/>
  <c r="R143" i="3"/>
  <c r="B140" i="4"/>
  <c r="R145" i="3"/>
  <c r="B152" i="4"/>
  <c r="R157" i="3"/>
  <c r="R176" i="3"/>
  <c r="B171" i="4"/>
  <c r="H171" i="2"/>
  <c r="K171" i="2" s="1"/>
  <c r="H175" i="2"/>
  <c r="B175" i="4"/>
  <c r="C175" i="2"/>
  <c r="B199" i="4"/>
  <c r="R204" i="3"/>
  <c r="H199" i="2"/>
  <c r="R31" i="3"/>
  <c r="R36" i="3"/>
  <c r="S92" i="3"/>
  <c r="B15" i="4"/>
  <c r="R20" i="3"/>
  <c r="H24" i="2"/>
  <c r="K24" i="2" s="1"/>
  <c r="B36" i="4"/>
  <c r="R41" i="3"/>
  <c r="H38" i="2"/>
  <c r="B50" i="4"/>
  <c r="R55" i="3"/>
  <c r="H52" i="2"/>
  <c r="K52" i="2" s="1"/>
  <c r="B64" i="4"/>
  <c r="R69" i="3"/>
  <c r="H66" i="2"/>
  <c r="B78" i="4"/>
  <c r="R83" i="3"/>
  <c r="H80" i="2"/>
  <c r="B92" i="4"/>
  <c r="R97" i="3"/>
  <c r="H94" i="2"/>
  <c r="H107" i="2"/>
  <c r="K107" i="2" s="1"/>
  <c r="B158" i="4"/>
  <c r="R163" i="3"/>
  <c r="H158" i="2"/>
  <c r="B186" i="4"/>
  <c r="R191" i="3"/>
  <c r="H186" i="2"/>
  <c r="C207" i="4"/>
  <c r="S212" i="3"/>
  <c r="V212" i="3" s="1"/>
  <c r="M207" i="2"/>
  <c r="I207" i="2"/>
  <c r="G207" i="2"/>
  <c r="R199" i="3"/>
  <c r="C9" i="2"/>
  <c r="C15" i="2"/>
  <c r="C21" i="2"/>
  <c r="C36" i="4"/>
  <c r="S41" i="3"/>
  <c r="V41" i="3" s="1"/>
  <c r="B45" i="4"/>
  <c r="R50" i="3"/>
  <c r="C50" i="4"/>
  <c r="S55" i="3"/>
  <c r="B59" i="4"/>
  <c r="R64" i="3"/>
  <c r="C64" i="4"/>
  <c r="S69" i="3"/>
  <c r="B73" i="4"/>
  <c r="R78" i="3"/>
  <c r="C78" i="4"/>
  <c r="S83" i="3"/>
  <c r="V83" i="3" s="1"/>
  <c r="S97" i="3"/>
  <c r="V97" i="3" s="1"/>
  <c r="B101" i="4"/>
  <c r="R106" i="3"/>
  <c r="B109" i="4"/>
  <c r="R114" i="3"/>
  <c r="C113" i="4"/>
  <c r="S118" i="3"/>
  <c r="B133" i="4"/>
  <c r="R138" i="3"/>
  <c r="H133" i="2"/>
  <c r="C133" i="2"/>
  <c r="B135" i="4"/>
  <c r="R140" i="3"/>
  <c r="H138" i="2"/>
  <c r="H152" i="2"/>
  <c r="K152" i="2" s="1"/>
  <c r="C156" i="4"/>
  <c r="S161" i="3"/>
  <c r="V161" i="3" s="1"/>
  <c r="G156" i="2"/>
  <c r="E156" i="2"/>
  <c r="M156" i="2"/>
  <c r="C158" i="2"/>
  <c r="S187" i="3"/>
  <c r="C182" i="4"/>
  <c r="C186" i="2"/>
  <c r="S78" i="3"/>
  <c r="B8" i="4"/>
  <c r="R13" i="3"/>
  <c r="B40" i="4"/>
  <c r="R45" i="3"/>
  <c r="C45" i="4"/>
  <c r="C59" i="4"/>
  <c r="S64" i="3"/>
  <c r="V64" i="3" s="1"/>
  <c r="B68" i="4"/>
  <c r="R73" i="3"/>
  <c r="E73" i="4"/>
  <c r="B82" i="4"/>
  <c r="R87" i="3"/>
  <c r="C101" i="4"/>
  <c r="S106" i="3"/>
  <c r="V106" i="3" s="1"/>
  <c r="B105" i="4"/>
  <c r="R110" i="3"/>
  <c r="H105" i="2"/>
  <c r="K105" i="2" s="1"/>
  <c r="B123" i="4"/>
  <c r="R128" i="3"/>
  <c r="C123" i="2"/>
  <c r="C128" i="4"/>
  <c r="S133" i="3"/>
  <c r="B130" i="4"/>
  <c r="R135" i="3"/>
  <c r="H130" i="2"/>
  <c r="C135" i="4"/>
  <c r="S140" i="3"/>
  <c r="R205" i="3"/>
  <c r="B200" i="4"/>
  <c r="H200" i="2"/>
  <c r="S164" i="3"/>
  <c r="B20" i="4"/>
  <c r="R25" i="3"/>
  <c r="C26" i="2"/>
  <c r="C40" i="4"/>
  <c r="S45" i="3"/>
  <c r="V45" i="3" s="1"/>
  <c r="B63" i="4"/>
  <c r="R68" i="3"/>
  <c r="B77" i="4"/>
  <c r="R82" i="3"/>
  <c r="C82" i="4"/>
  <c r="S87" i="3"/>
  <c r="B91" i="4"/>
  <c r="R96" i="3"/>
  <c r="C96" i="4"/>
  <c r="S101" i="3"/>
  <c r="C105" i="4"/>
  <c r="S110" i="3"/>
  <c r="B112" i="4"/>
  <c r="R117" i="3"/>
  <c r="B125" i="4"/>
  <c r="R130" i="3"/>
  <c r="C130" i="4"/>
  <c r="S135" i="3"/>
  <c r="V135" i="3" s="1"/>
  <c r="B147" i="4"/>
  <c r="R152" i="3"/>
  <c r="H147" i="2"/>
  <c r="C147" i="2"/>
  <c r="B149" i="4"/>
  <c r="R154" i="3"/>
  <c r="B164" i="4"/>
  <c r="C164" i="2"/>
  <c r="H164" i="2"/>
  <c r="B168" i="4"/>
  <c r="R173" i="3"/>
  <c r="B180" i="4"/>
  <c r="R185" i="3"/>
  <c r="H180" i="2"/>
  <c r="B191" i="4"/>
  <c r="R196" i="3"/>
  <c r="B193" i="4"/>
  <c r="C193" i="2"/>
  <c r="C200" i="2"/>
  <c r="R101" i="3"/>
  <c r="B14" i="4"/>
  <c r="R19" i="3"/>
  <c r="B49" i="4"/>
  <c r="R54" i="3"/>
  <c r="C54" i="4"/>
  <c r="S59" i="3"/>
  <c r="C68" i="4"/>
  <c r="S73" i="3"/>
  <c r="C14" i="2"/>
  <c r="H16" i="2"/>
  <c r="K16" i="2" s="1"/>
  <c r="C20" i="2"/>
  <c r="H22" i="2"/>
  <c r="K22" i="2" s="1"/>
  <c r="B30" i="4"/>
  <c r="R35" i="3"/>
  <c r="H32" i="2"/>
  <c r="K32" i="2" s="1"/>
  <c r="C35" i="2"/>
  <c r="B44" i="4"/>
  <c r="R49" i="3"/>
  <c r="E45" i="2"/>
  <c r="H46" i="2"/>
  <c r="K46" i="2" s="1"/>
  <c r="C49" i="2"/>
  <c r="B58" i="4"/>
  <c r="R63" i="3"/>
  <c r="E59" i="2"/>
  <c r="H60" i="2"/>
  <c r="K60" i="2" s="1"/>
  <c r="C63" i="2"/>
  <c r="B72" i="4"/>
  <c r="R77" i="3"/>
  <c r="H74" i="2"/>
  <c r="K74" i="2" s="1"/>
  <c r="C77" i="2"/>
  <c r="B86" i="4"/>
  <c r="R91" i="3"/>
  <c r="H88" i="2"/>
  <c r="C91" i="2"/>
  <c r="B100" i="4"/>
  <c r="R105" i="3"/>
  <c r="E101" i="2"/>
  <c r="H102" i="2"/>
  <c r="H106" i="2"/>
  <c r="C112" i="2"/>
  <c r="C125" i="2"/>
  <c r="B137" i="4"/>
  <c r="R142" i="3"/>
  <c r="C137" i="2"/>
  <c r="H140" i="2"/>
  <c r="C142" i="4"/>
  <c r="S147" i="3"/>
  <c r="B144" i="4"/>
  <c r="R149" i="3"/>
  <c r="H144" i="2"/>
  <c r="K144" i="2" s="1"/>
  <c r="C149" i="2"/>
  <c r="C162" i="4"/>
  <c r="S167" i="3"/>
  <c r="V167" i="3" s="1"/>
  <c r="I162" i="2"/>
  <c r="B166" i="4"/>
  <c r="R171" i="3"/>
  <c r="C168" i="2"/>
  <c r="B172" i="4"/>
  <c r="R177" i="3"/>
  <c r="H172" i="2"/>
  <c r="K172" i="2" s="1"/>
  <c r="C180" i="2"/>
  <c r="C184" i="4"/>
  <c r="S189" i="3"/>
  <c r="C191" i="2"/>
  <c r="H193" i="2"/>
  <c r="R59" i="3"/>
  <c r="B162" i="4"/>
  <c r="R167" i="3"/>
  <c r="I169" i="2"/>
  <c r="B176" i="4"/>
  <c r="R181" i="3"/>
  <c r="B190" i="4"/>
  <c r="R195" i="3"/>
  <c r="G201" i="2"/>
  <c r="B207" i="4"/>
  <c r="O7" i="4" s="1"/>
  <c r="R212" i="3"/>
  <c r="B114" i="4"/>
  <c r="R119" i="3"/>
  <c r="B128" i="4"/>
  <c r="R133" i="3"/>
  <c r="B142" i="4"/>
  <c r="R147" i="3"/>
  <c r="B156" i="4"/>
  <c r="R161" i="3"/>
  <c r="B170" i="4"/>
  <c r="R175" i="3"/>
  <c r="B184" i="4"/>
  <c r="R189" i="3"/>
  <c r="B198" i="4"/>
  <c r="R203" i="3"/>
  <c r="C198" i="4"/>
  <c r="S203" i="3"/>
  <c r="B206" i="4"/>
  <c r="C206" i="2"/>
  <c r="R211" i="3"/>
  <c r="R174" i="3"/>
  <c r="B118" i="4"/>
  <c r="R123" i="3"/>
  <c r="B132" i="4"/>
  <c r="R137" i="3"/>
  <c r="B146" i="4"/>
  <c r="R151" i="3"/>
  <c r="B160" i="4"/>
  <c r="R165" i="3"/>
  <c r="H162" i="2"/>
  <c r="B174" i="4"/>
  <c r="R179" i="3"/>
  <c r="H176" i="2"/>
  <c r="B188" i="4"/>
  <c r="R193" i="3"/>
  <c r="H190" i="2"/>
  <c r="B202" i="4"/>
  <c r="R207" i="3"/>
  <c r="S174" i="3"/>
  <c r="V174" i="3" s="1"/>
  <c r="B113" i="4"/>
  <c r="R118" i="3"/>
  <c r="C118" i="2"/>
  <c r="B127" i="4"/>
  <c r="R132" i="3"/>
  <c r="C132" i="2"/>
  <c r="C146" i="2"/>
  <c r="C160" i="2"/>
  <c r="C174" i="2"/>
  <c r="B183" i="4"/>
  <c r="R188" i="3"/>
  <c r="C188" i="2"/>
  <c r="B197" i="4"/>
  <c r="R202" i="3"/>
  <c r="C202" i="2"/>
  <c r="B196" i="4"/>
  <c r="B178" i="4"/>
  <c r="R183" i="3"/>
  <c r="C183" i="4"/>
  <c r="S188" i="3"/>
  <c r="V188" i="3" s="1"/>
  <c r="B192" i="4"/>
  <c r="R197" i="3"/>
  <c r="C197" i="4"/>
  <c r="S202" i="3"/>
  <c r="R210" i="3"/>
  <c r="B205" i="4"/>
  <c r="B103" i="4"/>
  <c r="R108" i="3"/>
  <c r="B117" i="4"/>
  <c r="R122" i="3"/>
  <c r="B131" i="4"/>
  <c r="R136" i="3"/>
  <c r="B145" i="4"/>
  <c r="R150" i="3"/>
  <c r="B159" i="4"/>
  <c r="R164" i="3"/>
  <c r="B173" i="4"/>
  <c r="R178" i="3"/>
  <c r="C178" i="2"/>
  <c r="B187" i="4"/>
  <c r="R192" i="3"/>
  <c r="C192" i="2"/>
  <c r="C205" i="2"/>
  <c r="H206" i="2"/>
  <c r="R160" i="3"/>
  <c r="R187" i="3"/>
  <c r="B182" i="4"/>
  <c r="C187" i="4"/>
  <c r="S192" i="3"/>
  <c r="C201" i="4"/>
  <c r="S206" i="3"/>
  <c r="V206" i="3" s="1"/>
  <c r="B201" i="4"/>
  <c r="R206" i="3"/>
  <c r="L7" i="8" l="1"/>
  <c r="L8" i="8"/>
  <c r="L5" i="8"/>
  <c r="L6" i="8"/>
  <c r="F8" i="7"/>
  <c r="B22" i="7"/>
  <c r="F9" i="7" s="1"/>
  <c r="B23" i="7"/>
  <c r="F10" i="7" s="1"/>
  <c r="S13" i="3"/>
  <c r="E8" i="2"/>
  <c r="F8" i="2" s="1"/>
  <c r="L205" i="2"/>
  <c r="K205" i="2"/>
  <c r="K15" i="2"/>
  <c r="K133" i="2"/>
  <c r="L95" i="2"/>
  <c r="K95" i="2"/>
  <c r="K71" i="2"/>
  <c r="L71" i="2"/>
  <c r="K122" i="2"/>
  <c r="K108" i="2"/>
  <c r="K58" i="2"/>
  <c r="K21" i="2"/>
  <c r="K202" i="2"/>
  <c r="K9" i="2"/>
  <c r="K189" i="2"/>
  <c r="L189" i="2"/>
  <c r="L98" i="2"/>
  <c r="K98" i="2"/>
  <c r="K77" i="2"/>
  <c r="K35" i="2"/>
  <c r="K26" i="2"/>
  <c r="K186" i="2"/>
  <c r="K181" i="2"/>
  <c r="K154" i="2"/>
  <c r="K161" i="2"/>
  <c r="I45" i="2"/>
  <c r="M45" i="2"/>
  <c r="G45" i="2"/>
  <c r="K45" i="2"/>
  <c r="L45" i="2"/>
  <c r="K142" i="2"/>
  <c r="I92" i="2"/>
  <c r="K92" i="2"/>
  <c r="M92" i="2"/>
  <c r="E92" i="2"/>
  <c r="G92" i="2"/>
  <c r="L92" i="2"/>
  <c r="K49" i="2"/>
  <c r="L49" i="2"/>
  <c r="K180" i="2"/>
  <c r="K192" i="2"/>
  <c r="K12" i="2"/>
  <c r="K56" i="2"/>
  <c r="K118" i="2"/>
  <c r="K57" i="2"/>
  <c r="L137" i="2"/>
  <c r="K137" i="2"/>
  <c r="K85" i="2"/>
  <c r="L85" i="2"/>
  <c r="L53" i="2"/>
  <c r="K53" i="2"/>
  <c r="K188" i="2"/>
  <c r="K123" i="2"/>
  <c r="L42" i="2"/>
  <c r="K42" i="2"/>
  <c r="L39" i="2"/>
  <c r="K39" i="2"/>
  <c r="K157" i="2"/>
  <c r="K116" i="2"/>
  <c r="L97" i="2"/>
  <c r="K97" i="2"/>
  <c r="L165" i="2"/>
  <c r="K165" i="2"/>
  <c r="K43" i="2"/>
  <c r="L27" i="2"/>
  <c r="K27" i="2"/>
  <c r="L156" i="2"/>
  <c r="K156" i="2"/>
  <c r="I156" i="2"/>
  <c r="L125" i="2"/>
  <c r="K125" i="2"/>
  <c r="K200" i="2"/>
  <c r="L200" i="2"/>
  <c r="K158" i="2"/>
  <c r="M170" i="2"/>
  <c r="S178" i="3"/>
  <c r="K61" i="2"/>
  <c r="K204" i="2"/>
  <c r="S63" i="3"/>
  <c r="L23" i="2"/>
  <c r="K23" i="2"/>
  <c r="K99" i="2"/>
  <c r="K187" i="2"/>
  <c r="K141" i="2"/>
  <c r="K178" i="2"/>
  <c r="K119" i="2"/>
  <c r="L119" i="2"/>
  <c r="K112" i="2"/>
  <c r="K63" i="2"/>
  <c r="L63" i="2"/>
  <c r="K193" i="2"/>
  <c r="K147" i="2"/>
  <c r="L147" i="2"/>
  <c r="E170" i="2"/>
  <c r="C58" i="4"/>
  <c r="K19" i="2"/>
  <c r="L19" i="2"/>
  <c r="L150" i="2"/>
  <c r="K150" i="2"/>
  <c r="K185" i="2"/>
  <c r="K143" i="2"/>
  <c r="L143" i="2"/>
  <c r="K182" i="2"/>
  <c r="K174" i="2"/>
  <c r="K20" i="2"/>
  <c r="L20" i="2"/>
  <c r="S114" i="3"/>
  <c r="G170" i="2"/>
  <c r="K76" i="2"/>
  <c r="L76" i="2"/>
  <c r="K29" i="2"/>
  <c r="L29" i="2"/>
  <c r="K153" i="2"/>
  <c r="K48" i="2"/>
  <c r="L48" i="2"/>
  <c r="K93" i="2"/>
  <c r="L179" i="2"/>
  <c r="K179" i="2"/>
  <c r="K117" i="2"/>
  <c r="K135" i="2"/>
  <c r="M36" i="2"/>
  <c r="I36" i="2"/>
  <c r="E36" i="2"/>
  <c r="K36" i="2"/>
  <c r="G36" i="2"/>
  <c r="L36" i="2"/>
  <c r="K203" i="2"/>
  <c r="L203" i="2"/>
  <c r="K164" i="2"/>
  <c r="K168" i="2"/>
  <c r="K160" i="2"/>
  <c r="L160" i="2"/>
  <c r="L206" i="2"/>
  <c r="K206" i="2"/>
  <c r="S50" i="3"/>
  <c r="V50" i="3" s="1"/>
  <c r="K167" i="2"/>
  <c r="K69" i="2"/>
  <c r="L163" i="2"/>
  <c r="K163" i="2"/>
  <c r="L41" i="2"/>
  <c r="K41" i="2"/>
  <c r="K139" i="2"/>
  <c r="K100" i="2"/>
  <c r="K146" i="2"/>
  <c r="L146" i="2"/>
  <c r="K149" i="2"/>
  <c r="K14" i="2"/>
  <c r="K90" i="2"/>
  <c r="L90" i="2"/>
  <c r="L170" i="2"/>
  <c r="K170" i="2"/>
  <c r="I170" i="2"/>
  <c r="K132" i="2"/>
  <c r="L191" i="2"/>
  <c r="K191" i="2"/>
  <c r="K70" i="2"/>
  <c r="K151" i="2"/>
  <c r="K17" i="2"/>
  <c r="K79" i="2"/>
  <c r="L28" i="2"/>
  <c r="K28" i="2"/>
  <c r="K115" i="2"/>
  <c r="L115" i="2"/>
  <c r="K83" i="2"/>
  <c r="C31" i="4"/>
  <c r="E31" i="4" s="1"/>
  <c r="K31" i="2"/>
  <c r="S36" i="3"/>
  <c r="K68" i="2"/>
  <c r="E38" i="2"/>
  <c r="L38" i="2"/>
  <c r="K38" i="2"/>
  <c r="C92" i="4"/>
  <c r="K175" i="2"/>
  <c r="L67" i="2"/>
  <c r="K67" i="2"/>
  <c r="K89" i="2"/>
  <c r="K34" i="2"/>
  <c r="L34" i="2"/>
  <c r="K11" i="2"/>
  <c r="L18" i="2"/>
  <c r="K18" i="2"/>
  <c r="K13" i="2"/>
  <c r="K136" i="2"/>
  <c r="K110" i="2"/>
  <c r="K8" i="2"/>
  <c r="M155" i="2"/>
  <c r="K155" i="2"/>
  <c r="L155" i="2"/>
  <c r="E155" i="2"/>
  <c r="G155" i="2"/>
  <c r="K114" i="2"/>
  <c r="K129" i="2"/>
  <c r="L37" i="2"/>
  <c r="K37" i="2"/>
  <c r="K148" i="2"/>
  <c r="K173" i="2"/>
  <c r="K109" i="2"/>
  <c r="K145" i="2"/>
  <c r="K91" i="2"/>
  <c r="L51" i="2"/>
  <c r="K51" i="2"/>
  <c r="K62" i="2"/>
  <c r="L84" i="2"/>
  <c r="K84" i="2"/>
  <c r="K104" i="2"/>
  <c r="L104" i="2"/>
  <c r="K111" i="2"/>
  <c r="K81" i="2"/>
  <c r="K195" i="2"/>
  <c r="L65" i="2"/>
  <c r="K65" i="2"/>
  <c r="C169" i="4"/>
  <c r="G169" i="2"/>
  <c r="E169" i="2"/>
  <c r="K169" i="2"/>
  <c r="M169" i="2"/>
  <c r="L169" i="2"/>
  <c r="K113" i="2"/>
  <c r="K55" i="2"/>
  <c r="K121" i="2"/>
  <c r="C87" i="4"/>
  <c r="E87" i="4" s="1"/>
  <c r="K87" i="2"/>
  <c r="C12" i="3"/>
  <c r="E128" i="4"/>
  <c r="C123" i="4"/>
  <c r="S128" i="3"/>
  <c r="F156" i="4"/>
  <c r="E156" i="4"/>
  <c r="E198" i="4"/>
  <c r="E54" i="4"/>
  <c r="E173" i="4"/>
  <c r="E140" i="4"/>
  <c r="F140" i="4"/>
  <c r="E117" i="4"/>
  <c r="C41" i="4"/>
  <c r="S46" i="3"/>
  <c r="V46" i="3" s="1"/>
  <c r="G41" i="2"/>
  <c r="E41" i="2"/>
  <c r="M41" i="2"/>
  <c r="I41" i="2"/>
  <c r="F138" i="4"/>
  <c r="E138" i="4"/>
  <c r="C34" i="4"/>
  <c r="S39" i="3"/>
  <c r="V39" i="3" s="1"/>
  <c r="M34" i="2"/>
  <c r="I34" i="2"/>
  <c r="G34" i="2"/>
  <c r="E34" i="2"/>
  <c r="C150" i="4"/>
  <c r="S155" i="3"/>
  <c r="V155" i="3" s="1"/>
  <c r="M150" i="2"/>
  <c r="I150" i="2"/>
  <c r="G150" i="2"/>
  <c r="E150" i="2"/>
  <c r="C71" i="4"/>
  <c r="S76" i="3"/>
  <c r="V76" i="3" s="1"/>
  <c r="M71" i="2"/>
  <c r="I71" i="2"/>
  <c r="G71" i="2"/>
  <c r="E71" i="2"/>
  <c r="C108" i="4"/>
  <c r="S113" i="3"/>
  <c r="C192" i="4"/>
  <c r="S197" i="3"/>
  <c r="C77" i="4"/>
  <c r="S82" i="3"/>
  <c r="F130" i="4"/>
  <c r="E130" i="4"/>
  <c r="F92" i="4"/>
  <c r="E92" i="4"/>
  <c r="E141" i="4"/>
  <c r="C189" i="4"/>
  <c r="S194" i="3"/>
  <c r="V194" i="3" s="1"/>
  <c r="I189" i="2"/>
  <c r="G189" i="2"/>
  <c r="E189" i="2"/>
  <c r="M189" i="2"/>
  <c r="E107" i="4"/>
  <c r="C51" i="4"/>
  <c r="S56" i="3"/>
  <c r="V56" i="3" s="1"/>
  <c r="I51" i="2"/>
  <c r="G51" i="2"/>
  <c r="E51" i="2"/>
  <c r="M51" i="2"/>
  <c r="C61" i="4"/>
  <c r="S66" i="3"/>
  <c r="E60" i="4"/>
  <c r="C129" i="4"/>
  <c r="S134" i="3"/>
  <c r="C121" i="4"/>
  <c r="S126" i="3"/>
  <c r="E166" i="4"/>
  <c r="E144" i="4"/>
  <c r="C111" i="4"/>
  <c r="S116" i="3"/>
  <c r="E74" i="4"/>
  <c r="F103" i="4"/>
  <c r="E103" i="4"/>
  <c r="E25" i="4"/>
  <c r="F25" i="4"/>
  <c r="C132" i="4"/>
  <c r="S137" i="3"/>
  <c r="E159" i="4"/>
  <c r="C48" i="4"/>
  <c r="M48" i="2"/>
  <c r="I48" i="2"/>
  <c r="G48" i="2"/>
  <c r="E48" i="2"/>
  <c r="S53" i="3"/>
  <c r="V53" i="3" s="1"/>
  <c r="E36" i="4"/>
  <c r="F36" i="4"/>
  <c r="C167" i="4"/>
  <c r="S172" i="3"/>
  <c r="C204" i="4"/>
  <c r="S209" i="3"/>
  <c r="F162" i="4"/>
  <c r="E162" i="4"/>
  <c r="E109" i="4"/>
  <c r="F194" i="4"/>
  <c r="E194" i="4"/>
  <c r="E78" i="4"/>
  <c r="H78" i="4"/>
  <c r="F78" i="4"/>
  <c r="C15" i="4"/>
  <c r="S20" i="3"/>
  <c r="C175" i="4"/>
  <c r="S180" i="3"/>
  <c r="C181" i="4"/>
  <c r="S186" i="3"/>
  <c r="E134" i="4"/>
  <c r="E58" i="4"/>
  <c r="C93" i="4"/>
  <c r="S98" i="3"/>
  <c r="C99" i="4"/>
  <c r="S104" i="3"/>
  <c r="C27" i="4"/>
  <c r="G27" i="2"/>
  <c r="E27" i="2"/>
  <c r="S32" i="3"/>
  <c r="V32" i="3" s="1"/>
  <c r="M27" i="2"/>
  <c r="I27" i="2"/>
  <c r="C143" i="4"/>
  <c r="S148" i="3"/>
  <c r="V148" i="3" s="1"/>
  <c r="G143" i="2"/>
  <c r="E143" i="2"/>
  <c r="M143" i="2"/>
  <c r="I143" i="2"/>
  <c r="C12" i="4"/>
  <c r="S17" i="3"/>
  <c r="C89" i="4"/>
  <c r="S94" i="3"/>
  <c r="C149" i="4"/>
  <c r="S154" i="3"/>
  <c r="C164" i="4"/>
  <c r="S169" i="3"/>
  <c r="F201" i="4"/>
  <c r="E201" i="4"/>
  <c r="E184" i="4"/>
  <c r="E40" i="4"/>
  <c r="F40" i="4"/>
  <c r="E135" i="4"/>
  <c r="E182" i="4"/>
  <c r="C133" i="4"/>
  <c r="S138" i="3"/>
  <c r="C9" i="4"/>
  <c r="E9" i="2"/>
  <c r="P6" i="2"/>
  <c r="P5" i="2"/>
  <c r="S14" i="3"/>
  <c r="P9" i="2"/>
  <c r="C85" i="4"/>
  <c r="S90" i="3"/>
  <c r="V90" i="3" s="1"/>
  <c r="M85" i="2"/>
  <c r="I85" i="2"/>
  <c r="G85" i="2"/>
  <c r="E85" i="2"/>
  <c r="C29" i="4"/>
  <c r="M29" i="2"/>
  <c r="I29" i="2"/>
  <c r="G29" i="2"/>
  <c r="S34" i="3"/>
  <c r="V34" i="3" s="1"/>
  <c r="E29" i="2"/>
  <c r="S44" i="3"/>
  <c r="V44" i="3" s="1"/>
  <c r="C39" i="4"/>
  <c r="M39" i="2"/>
  <c r="I39" i="2"/>
  <c r="E39" i="2"/>
  <c r="G39" i="2"/>
  <c r="D204" i="4"/>
  <c r="D190" i="4"/>
  <c r="D176" i="4"/>
  <c r="D162" i="4"/>
  <c r="D148" i="4"/>
  <c r="D134" i="4"/>
  <c r="F134" i="4" s="1"/>
  <c r="D205" i="4"/>
  <c r="D191" i="4"/>
  <c r="D177" i="4"/>
  <c r="D163" i="4"/>
  <c r="D149" i="4"/>
  <c r="D135" i="4"/>
  <c r="H135" i="4" s="1"/>
  <c r="D121" i="4"/>
  <c r="D202" i="4"/>
  <c r="D188" i="4"/>
  <c r="D174" i="4"/>
  <c r="D160" i="4"/>
  <c r="D146" i="4"/>
  <c r="D132" i="4"/>
  <c r="D207" i="4"/>
  <c r="D193" i="4"/>
  <c r="D179" i="4"/>
  <c r="D165" i="4"/>
  <c r="D151" i="4"/>
  <c r="D137" i="4"/>
  <c r="D123" i="4"/>
  <c r="D192" i="4"/>
  <c r="D167" i="4"/>
  <c r="D142" i="4"/>
  <c r="D126" i="4"/>
  <c r="D117" i="4"/>
  <c r="D103" i="4"/>
  <c r="D89" i="4"/>
  <c r="D199" i="4"/>
  <c r="D183" i="4"/>
  <c r="D158" i="4"/>
  <c r="D133" i="4"/>
  <c r="D108" i="4"/>
  <c r="D94" i="4"/>
  <c r="D181" i="4"/>
  <c r="D156" i="4"/>
  <c r="D140" i="4"/>
  <c r="D124" i="4"/>
  <c r="D113" i="4"/>
  <c r="H113" i="4" s="1"/>
  <c r="D99" i="4"/>
  <c r="D197" i="4"/>
  <c r="D172" i="4"/>
  <c r="D147" i="4"/>
  <c r="D131" i="4"/>
  <c r="H131" i="4" s="1"/>
  <c r="D118" i="4"/>
  <c r="D104" i="4"/>
  <c r="D90" i="4"/>
  <c r="D206" i="4"/>
  <c r="D195" i="4"/>
  <c r="D170" i="4"/>
  <c r="D154" i="4"/>
  <c r="D138" i="4"/>
  <c r="D122" i="4"/>
  <c r="D109" i="4"/>
  <c r="F109" i="4" s="1"/>
  <c r="D95" i="4"/>
  <c r="D186" i="4"/>
  <c r="D161" i="4"/>
  <c r="D184" i="4"/>
  <c r="F184" i="4" s="1"/>
  <c r="D168" i="4"/>
  <c r="D145" i="4"/>
  <c r="D93" i="4"/>
  <c r="D73" i="4"/>
  <c r="D59" i="4"/>
  <c r="D45" i="4"/>
  <c r="D198" i="4"/>
  <c r="D166" i="4"/>
  <c r="D159" i="4"/>
  <c r="D87" i="4"/>
  <c r="D78" i="4"/>
  <c r="D64" i="4"/>
  <c r="D50" i="4"/>
  <c r="D173" i="4"/>
  <c r="D83" i="4"/>
  <c r="D69" i="4"/>
  <c r="D55" i="4"/>
  <c r="D180" i="4"/>
  <c r="D114" i="4"/>
  <c r="D74" i="4"/>
  <c r="D60" i="4"/>
  <c r="D46" i="4"/>
  <c r="D201" i="4"/>
  <c r="D169" i="4"/>
  <c r="D112" i="4"/>
  <c r="D102" i="4"/>
  <c r="D92" i="4"/>
  <c r="D75" i="4"/>
  <c r="D61" i="4"/>
  <c r="D200" i="4"/>
  <c r="D175" i="4"/>
  <c r="D152" i="4"/>
  <c r="D155" i="4"/>
  <c r="D150" i="4"/>
  <c r="D106" i="4"/>
  <c r="D35" i="4"/>
  <c r="D21" i="4"/>
  <c r="D97" i="4"/>
  <c r="D54" i="4"/>
  <c r="F54" i="4" s="1"/>
  <c r="D52" i="4"/>
  <c r="D40" i="4"/>
  <c r="D130" i="4"/>
  <c r="H130" i="4" s="1"/>
  <c r="D125" i="4"/>
  <c r="D115" i="4"/>
  <c r="D43" i="4"/>
  <c r="D31" i="4"/>
  <c r="D10" i="4"/>
  <c r="D203" i="4"/>
  <c r="D185" i="4"/>
  <c r="D96" i="4"/>
  <c r="D85" i="4"/>
  <c r="D79" i="4"/>
  <c r="D36" i="4"/>
  <c r="D22" i="4"/>
  <c r="D189" i="4"/>
  <c r="D171" i="4"/>
  <c r="H171" i="4" s="1"/>
  <c r="D129" i="4"/>
  <c r="D105" i="4"/>
  <c r="D77" i="4"/>
  <c r="D67" i="4"/>
  <c r="D57" i="4"/>
  <c r="D48" i="4"/>
  <c r="D32" i="4"/>
  <c r="D18" i="4"/>
  <c r="D17" i="4"/>
  <c r="D16" i="4"/>
  <c r="D15" i="4"/>
  <c r="D14" i="4"/>
  <c r="D13" i="4"/>
  <c r="D12" i="4"/>
  <c r="D11" i="4"/>
  <c r="D187" i="4"/>
  <c r="D127" i="4"/>
  <c r="D101" i="4"/>
  <c r="D84" i="4"/>
  <c r="D80" i="4"/>
  <c r="D178" i="4"/>
  <c r="D157" i="4"/>
  <c r="D139" i="4"/>
  <c r="D107" i="4"/>
  <c r="F107" i="4" s="1"/>
  <c r="D72" i="4"/>
  <c r="D24" i="4"/>
  <c r="D58" i="4"/>
  <c r="D51" i="4"/>
  <c r="D111" i="4"/>
  <c r="D100" i="4"/>
  <c r="D82" i="4"/>
  <c r="D71" i="4"/>
  <c r="D9" i="4"/>
  <c r="D164" i="4"/>
  <c r="D116" i="4"/>
  <c r="D68" i="4"/>
  <c r="D38" i="4"/>
  <c r="D29" i="4"/>
  <c r="D144" i="4"/>
  <c r="D136" i="4"/>
  <c r="D88" i="4"/>
  <c r="D34" i="4"/>
  <c r="D182" i="4"/>
  <c r="D70" i="4"/>
  <c r="D63" i="4"/>
  <c r="D53" i="4"/>
  <c r="D25" i="4"/>
  <c r="D23" i="4"/>
  <c r="D30" i="4"/>
  <c r="D28" i="4"/>
  <c r="D194" i="4"/>
  <c r="H194" i="4" s="1"/>
  <c r="D98" i="4"/>
  <c r="D47" i="4"/>
  <c r="D119" i="4"/>
  <c r="D66" i="4"/>
  <c r="D41" i="4"/>
  <c r="D37" i="4"/>
  <c r="D19" i="4"/>
  <c r="D65" i="4"/>
  <c r="D8" i="4"/>
  <c r="D86" i="4"/>
  <c r="D33" i="4"/>
  <c r="D26" i="4"/>
  <c r="D128" i="4"/>
  <c r="D143" i="4"/>
  <c r="D56" i="4"/>
  <c r="D44" i="4"/>
  <c r="D141" i="4"/>
  <c r="H141" i="4" s="1"/>
  <c r="D62" i="4"/>
  <c r="D91" i="4"/>
  <c r="D196" i="4"/>
  <c r="D42" i="4"/>
  <c r="D39" i="4"/>
  <c r="D27" i="4"/>
  <c r="D120" i="4"/>
  <c r="D81" i="4"/>
  <c r="D153" i="4"/>
  <c r="D20" i="4"/>
  <c r="D110" i="4"/>
  <c r="D49" i="4"/>
  <c r="D76" i="4"/>
  <c r="E86" i="4"/>
  <c r="F86" i="4"/>
  <c r="F171" i="4"/>
  <c r="E171" i="4"/>
  <c r="C195" i="4"/>
  <c r="S200" i="3"/>
  <c r="E127" i="4"/>
  <c r="F47" i="4"/>
  <c r="E47" i="4"/>
  <c r="C70" i="4"/>
  <c r="S75" i="3"/>
  <c r="E177" i="4"/>
  <c r="E16" i="4"/>
  <c r="C186" i="4"/>
  <c r="S191" i="3"/>
  <c r="C56" i="4"/>
  <c r="S61" i="3"/>
  <c r="D31" i="5"/>
  <c r="D29" i="5"/>
  <c r="D30" i="5"/>
  <c r="C163" i="4"/>
  <c r="S168" i="3"/>
  <c r="V168" i="3" s="1"/>
  <c r="M163" i="2"/>
  <c r="I163" i="2"/>
  <c r="E163" i="2"/>
  <c r="G163" i="2"/>
  <c r="C23" i="4"/>
  <c r="S28" i="3"/>
  <c r="V28" i="3" s="1"/>
  <c r="I23" i="2"/>
  <c r="G23" i="2"/>
  <c r="E23" i="2"/>
  <c r="M23" i="2"/>
  <c r="E196" i="4"/>
  <c r="C95" i="4"/>
  <c r="S100" i="3"/>
  <c r="V100" i="3" s="1"/>
  <c r="M95" i="2"/>
  <c r="I95" i="2"/>
  <c r="E95" i="2"/>
  <c r="G95" i="2"/>
  <c r="E52" i="4"/>
  <c r="F106" i="4"/>
  <c r="E106" i="4"/>
  <c r="E66" i="4"/>
  <c r="F66" i="4"/>
  <c r="C97" i="4"/>
  <c r="S102" i="3"/>
  <c r="V102" i="3" s="1"/>
  <c r="G97" i="2"/>
  <c r="E97" i="2"/>
  <c r="M97" i="2"/>
  <c r="I97" i="2"/>
  <c r="C148" i="4"/>
  <c r="S153" i="3"/>
  <c r="E152" i="4"/>
  <c r="S210" i="3"/>
  <c r="V210" i="3" s="1"/>
  <c r="C205" i="4"/>
  <c r="M205" i="2"/>
  <c r="G205" i="2"/>
  <c r="E205" i="2"/>
  <c r="I205" i="2"/>
  <c r="C18" i="4"/>
  <c r="S23" i="3"/>
  <c r="V23" i="3" s="1"/>
  <c r="M18" i="2"/>
  <c r="I18" i="2"/>
  <c r="G18" i="2"/>
  <c r="E18" i="2"/>
  <c r="F190" i="4"/>
  <c r="E190" i="4"/>
  <c r="S47" i="3"/>
  <c r="V47" i="3" s="1"/>
  <c r="C42" i="4"/>
  <c r="I42" i="2"/>
  <c r="G42" i="2"/>
  <c r="M42" i="2"/>
  <c r="E42" i="2"/>
  <c r="E24" i="4"/>
  <c r="C19" i="4"/>
  <c r="S24" i="3"/>
  <c r="V24" i="3" s="1"/>
  <c r="M19" i="2"/>
  <c r="I19" i="2"/>
  <c r="E19" i="2"/>
  <c r="G19" i="2"/>
  <c r="C185" i="4"/>
  <c r="S190" i="3"/>
  <c r="C104" i="4"/>
  <c r="S109" i="3"/>
  <c r="V109" i="3" s="1"/>
  <c r="E104" i="2"/>
  <c r="M104" i="2"/>
  <c r="I104" i="2"/>
  <c r="G104" i="2"/>
  <c r="E30" i="4"/>
  <c r="E94" i="4"/>
  <c r="F94" i="4"/>
  <c r="E68" i="4"/>
  <c r="E50" i="4"/>
  <c r="C137" i="4"/>
  <c r="S142" i="3"/>
  <c r="V142" i="3" s="1"/>
  <c r="I137" i="2"/>
  <c r="G137" i="2"/>
  <c r="E137" i="2"/>
  <c r="M137" i="2"/>
  <c r="C191" i="4"/>
  <c r="S196" i="3"/>
  <c r="V196" i="3" s="1"/>
  <c r="M191" i="2"/>
  <c r="I191" i="2"/>
  <c r="E191" i="2"/>
  <c r="G191" i="2"/>
  <c r="E131" i="4"/>
  <c r="F59" i="4"/>
  <c r="E59" i="4"/>
  <c r="C188" i="4"/>
  <c r="S193" i="3"/>
  <c r="C200" i="4"/>
  <c r="M200" i="2"/>
  <c r="I200" i="2"/>
  <c r="S205" i="3"/>
  <c r="V205" i="3" s="1"/>
  <c r="E200" i="2"/>
  <c r="G200" i="2"/>
  <c r="E105" i="4"/>
  <c r="E187" i="4"/>
  <c r="S25" i="3"/>
  <c r="V25" i="3" s="1"/>
  <c r="G20" i="2"/>
  <c r="M20" i="2"/>
  <c r="E20" i="2"/>
  <c r="I20" i="2"/>
  <c r="C20" i="4"/>
  <c r="C193" i="4"/>
  <c r="S198" i="3"/>
  <c r="C147" i="4"/>
  <c r="S152" i="3"/>
  <c r="V152" i="3" s="1"/>
  <c r="E147" i="2"/>
  <c r="M147" i="2"/>
  <c r="I147" i="2"/>
  <c r="G147" i="2"/>
  <c r="E101" i="4"/>
  <c r="F101" i="4"/>
  <c r="F45" i="4"/>
  <c r="E45" i="4"/>
  <c r="C158" i="4"/>
  <c r="S163" i="3"/>
  <c r="E64" i="4"/>
  <c r="C203" i="4"/>
  <c r="S208" i="3"/>
  <c r="V208" i="3" s="1"/>
  <c r="I203" i="2"/>
  <c r="G203" i="2"/>
  <c r="E203" i="2"/>
  <c r="M203" i="2"/>
  <c r="F155" i="4"/>
  <c r="E155" i="4"/>
  <c r="E126" i="4"/>
  <c r="E114" i="4"/>
  <c r="E72" i="4"/>
  <c r="H72" i="4" s="1"/>
  <c r="C151" i="4"/>
  <c r="S156" i="3"/>
  <c r="C179" i="4"/>
  <c r="S184" i="3"/>
  <c r="V184" i="3" s="1"/>
  <c r="E179" i="2"/>
  <c r="M179" i="2"/>
  <c r="I179" i="2"/>
  <c r="G179" i="2"/>
  <c r="C122" i="4"/>
  <c r="S127" i="3"/>
  <c r="C139" i="4"/>
  <c r="S144" i="3"/>
  <c r="E32" i="4"/>
  <c r="C90" i="4"/>
  <c r="S95" i="3"/>
  <c r="V95" i="3" s="1"/>
  <c r="M90" i="2"/>
  <c r="G90" i="2"/>
  <c r="I90" i="2"/>
  <c r="E90" i="2"/>
  <c r="C161" i="4"/>
  <c r="S166" i="3"/>
  <c r="S67" i="3"/>
  <c r="C62" i="4"/>
  <c r="E82" i="4"/>
  <c r="C55" i="4"/>
  <c r="S60" i="3"/>
  <c r="C125" i="4"/>
  <c r="S130" i="3"/>
  <c r="V130" i="3" s="1"/>
  <c r="M125" i="2"/>
  <c r="I125" i="2"/>
  <c r="G125" i="2"/>
  <c r="E125" i="2"/>
  <c r="E199" i="4"/>
  <c r="F199" i="4"/>
  <c r="E33" i="4"/>
  <c r="E10" i="4"/>
  <c r="E197" i="4"/>
  <c r="H197" i="4" s="1"/>
  <c r="C26" i="4"/>
  <c r="S31" i="3"/>
  <c r="C180" i="4"/>
  <c r="S185" i="3"/>
  <c r="E96" i="4"/>
  <c r="C76" i="4"/>
  <c r="S81" i="3"/>
  <c r="V81" i="3" s="1"/>
  <c r="M76" i="2"/>
  <c r="I76" i="2"/>
  <c r="G76" i="2"/>
  <c r="E76" i="2"/>
  <c r="C119" i="4"/>
  <c r="E119" i="2"/>
  <c r="S124" i="3"/>
  <c r="V124" i="3" s="1"/>
  <c r="I119" i="2"/>
  <c r="G119" i="2"/>
  <c r="M119" i="2"/>
  <c r="E80" i="4"/>
  <c r="C153" i="4"/>
  <c r="S158" i="3"/>
  <c r="F102" i="4"/>
  <c r="E102" i="4"/>
  <c r="E46" i="4"/>
  <c r="F46" i="4" s="1"/>
  <c r="E22" i="4"/>
  <c r="E100" i="4"/>
  <c r="S33" i="3"/>
  <c r="V33" i="3" s="1"/>
  <c r="C28" i="4"/>
  <c r="I28" i="2"/>
  <c r="G28" i="2"/>
  <c r="M28" i="2"/>
  <c r="E28" i="2"/>
  <c r="C115" i="4"/>
  <c r="S120" i="3"/>
  <c r="V120" i="3" s="1"/>
  <c r="E115" i="2"/>
  <c r="M115" i="2"/>
  <c r="G115" i="2"/>
  <c r="I115" i="2"/>
  <c r="C83" i="4"/>
  <c r="S88" i="3"/>
  <c r="C43" i="4"/>
  <c r="S48" i="3"/>
  <c r="C146" i="4"/>
  <c r="S151" i="3"/>
  <c r="V151" i="3" s="1"/>
  <c r="E146" i="2"/>
  <c r="M146" i="2"/>
  <c r="I146" i="2"/>
  <c r="G146" i="2"/>
  <c r="E145" i="4"/>
  <c r="E176" i="4"/>
  <c r="C37" i="4"/>
  <c r="I37" i="2"/>
  <c r="S42" i="3"/>
  <c r="V42" i="3" s="1"/>
  <c r="G37" i="2"/>
  <c r="E37" i="2"/>
  <c r="M37" i="2"/>
  <c r="C81" i="4"/>
  <c r="S86" i="3"/>
  <c r="E207" i="4"/>
  <c r="O8" i="4"/>
  <c r="F207" i="4"/>
  <c r="C67" i="4"/>
  <c r="M67" i="2"/>
  <c r="S72" i="3"/>
  <c r="V72" i="3" s="1"/>
  <c r="I67" i="2"/>
  <c r="E67" i="2"/>
  <c r="G67" i="2"/>
  <c r="C118" i="4"/>
  <c r="S123" i="3"/>
  <c r="C157" i="4"/>
  <c r="S162" i="3"/>
  <c r="F75" i="4"/>
  <c r="E75" i="4"/>
  <c r="C21" i="4"/>
  <c r="S26" i="3"/>
  <c r="C98" i="4"/>
  <c r="S103" i="3"/>
  <c r="V103" i="3" s="1"/>
  <c r="I98" i="2"/>
  <c r="G98" i="2"/>
  <c r="E98" i="2"/>
  <c r="M98" i="2"/>
  <c r="C91" i="4"/>
  <c r="S96" i="3"/>
  <c r="S19" i="3"/>
  <c r="C14" i="4"/>
  <c r="E8" i="4"/>
  <c r="E113" i="4"/>
  <c r="F170" i="4"/>
  <c r="E170" i="4"/>
  <c r="C69" i="4"/>
  <c r="S74" i="3"/>
  <c r="F9" i="2"/>
  <c r="G9" i="2" s="1"/>
  <c r="I9" i="2" s="1"/>
  <c r="L9" i="2" s="1"/>
  <c r="G8" i="2"/>
  <c r="I8" i="2" s="1"/>
  <c r="L8" i="2" s="1"/>
  <c r="C17" i="4"/>
  <c r="S22" i="3"/>
  <c r="C13" i="4"/>
  <c r="S18" i="3"/>
  <c r="C110" i="4"/>
  <c r="S115" i="3"/>
  <c r="E124" i="4"/>
  <c r="E120" i="4"/>
  <c r="F120" i="4" s="1"/>
  <c r="C84" i="4"/>
  <c r="I84" i="2"/>
  <c r="G84" i="2"/>
  <c r="S89" i="3"/>
  <c r="V89" i="3" s="1"/>
  <c r="M84" i="2"/>
  <c r="E84" i="2"/>
  <c r="C65" i="4"/>
  <c r="S70" i="3"/>
  <c r="V70" i="3" s="1"/>
  <c r="I65" i="2"/>
  <c r="G65" i="2"/>
  <c r="E65" i="2"/>
  <c r="M65" i="2"/>
  <c r="S40" i="3"/>
  <c r="C35" i="4"/>
  <c r="C53" i="4"/>
  <c r="S58" i="3"/>
  <c r="V58" i="3" s="1"/>
  <c r="M53" i="2"/>
  <c r="I53" i="2"/>
  <c r="E53" i="2"/>
  <c r="G53" i="2"/>
  <c r="C202" i="4"/>
  <c r="S207" i="3"/>
  <c r="C112" i="4"/>
  <c r="S117" i="3"/>
  <c r="C178" i="4"/>
  <c r="S183" i="3"/>
  <c r="S68" i="3"/>
  <c r="V68" i="3" s="1"/>
  <c r="C63" i="4"/>
  <c r="G63" i="2"/>
  <c r="I63" i="2"/>
  <c r="M63" i="2"/>
  <c r="E63" i="2"/>
  <c r="E183" i="4"/>
  <c r="F183" i="4"/>
  <c r="C174" i="4"/>
  <c r="S179" i="3"/>
  <c r="C160" i="4"/>
  <c r="S165" i="3"/>
  <c r="V165" i="3" s="1"/>
  <c r="E160" i="2"/>
  <c r="I160" i="2"/>
  <c r="G160" i="2"/>
  <c r="M160" i="2"/>
  <c r="C206" i="4"/>
  <c r="G206" i="2"/>
  <c r="I206" i="2"/>
  <c r="S211" i="3"/>
  <c r="V211" i="3" s="1"/>
  <c r="E206" i="2"/>
  <c r="M206" i="2"/>
  <c r="C168" i="4"/>
  <c r="S173" i="3"/>
  <c r="E142" i="4"/>
  <c r="C49" i="4"/>
  <c r="S54" i="3"/>
  <c r="V54" i="3" s="1"/>
  <c r="G49" i="2"/>
  <c r="M49" i="2"/>
  <c r="E49" i="2"/>
  <c r="I49" i="2"/>
  <c r="C57" i="4"/>
  <c r="S62" i="3"/>
  <c r="E88" i="4"/>
  <c r="F88" i="4"/>
  <c r="C154" i="4"/>
  <c r="S159" i="3"/>
  <c r="C11" i="4"/>
  <c r="S16" i="3"/>
  <c r="E172" i="4"/>
  <c r="H44" i="4"/>
  <c r="F44" i="4"/>
  <c r="E44" i="4"/>
  <c r="C79" i="4"/>
  <c r="S84" i="3"/>
  <c r="C116" i="4"/>
  <c r="S121" i="3"/>
  <c r="C136" i="4"/>
  <c r="S141" i="3"/>
  <c r="C165" i="4"/>
  <c r="S170" i="3"/>
  <c r="V170" i="3" s="1"/>
  <c r="M165" i="2"/>
  <c r="I165" i="2"/>
  <c r="E165" i="2"/>
  <c r="G165" i="2"/>
  <c r="F38" i="4"/>
  <c r="E38" i="4"/>
  <c r="F72" i="4" l="1"/>
  <c r="H190" i="4"/>
  <c r="F128" i="4"/>
  <c r="H138" i="4"/>
  <c r="H38" i="4"/>
  <c r="F124" i="4"/>
  <c r="F113" i="4"/>
  <c r="H59" i="4"/>
  <c r="F198" i="4"/>
  <c r="H169" i="4"/>
  <c r="H159" i="4"/>
  <c r="F10" i="4"/>
  <c r="H127" i="4"/>
  <c r="E169" i="4"/>
  <c r="F169" i="4"/>
  <c r="F142" i="4"/>
  <c r="H30" i="4"/>
  <c r="H82" i="4"/>
  <c r="H182" i="4"/>
  <c r="H183" i="4"/>
  <c r="F50" i="4"/>
  <c r="H88" i="4"/>
  <c r="F176" i="4"/>
  <c r="H64" i="4"/>
  <c r="F64" i="4"/>
  <c r="H47" i="4"/>
  <c r="F144" i="4"/>
  <c r="H36" i="4"/>
  <c r="H176" i="4"/>
  <c r="H196" i="4"/>
  <c r="H58" i="4"/>
  <c r="H40" i="4"/>
  <c r="H199" i="4"/>
  <c r="H207" i="4"/>
  <c r="H54" i="4"/>
  <c r="H103" i="4"/>
  <c r="H66" i="4"/>
  <c r="H177" i="4"/>
  <c r="H201" i="4"/>
  <c r="F96" i="4"/>
  <c r="H46" i="4"/>
  <c r="F197" i="4"/>
  <c r="F126" i="4"/>
  <c r="H50" i="4"/>
  <c r="F60" i="4"/>
  <c r="H166" i="4"/>
  <c r="H33" i="4"/>
  <c r="H80" i="4"/>
  <c r="F74" i="4"/>
  <c r="H170" i="4"/>
  <c r="H156" i="4"/>
  <c r="H107" i="4"/>
  <c r="F22" i="4"/>
  <c r="H68" i="4"/>
  <c r="H109" i="4"/>
  <c r="F166" i="4"/>
  <c r="H75" i="4"/>
  <c r="H102" i="4"/>
  <c r="F173" i="4"/>
  <c r="H92" i="4"/>
  <c r="H198" i="4"/>
  <c r="F16" i="4"/>
  <c r="H142" i="4"/>
  <c r="H134" i="4"/>
  <c r="H184" i="4"/>
  <c r="F131" i="4"/>
  <c r="H24" i="4"/>
  <c r="F32" i="4"/>
  <c r="H106" i="4"/>
  <c r="F80" i="4"/>
  <c r="H45" i="4"/>
  <c r="H120" i="4"/>
  <c r="H86" i="4"/>
  <c r="H25" i="4"/>
  <c r="H10" i="4"/>
  <c r="H155" i="4"/>
  <c r="H114" i="4"/>
  <c r="F135" i="4"/>
  <c r="H162" i="4"/>
  <c r="H96" i="4"/>
  <c r="F8" i="4"/>
  <c r="G8" i="4" s="1"/>
  <c r="H101" i="4"/>
  <c r="H152" i="4"/>
  <c r="H94" i="4"/>
  <c r="F117" i="4"/>
  <c r="H128" i="4"/>
  <c r="H52" i="4"/>
  <c r="H22" i="4"/>
  <c r="F172" i="4"/>
  <c r="H100" i="4"/>
  <c r="H187" i="4"/>
  <c r="H105" i="4"/>
  <c r="F145" i="4"/>
  <c r="F177" i="4"/>
  <c r="H140" i="4"/>
  <c r="D12" i="3"/>
  <c r="E12" i="3" s="1"/>
  <c r="C13" i="3" s="1"/>
  <c r="H126" i="4"/>
  <c r="F150" i="4"/>
  <c r="E150" i="4"/>
  <c r="H150" i="4" s="1"/>
  <c r="E168" i="4"/>
  <c r="H168" i="4" s="1"/>
  <c r="F168" i="4"/>
  <c r="E57" i="4"/>
  <c r="H57" i="4" s="1"/>
  <c r="E185" i="4"/>
  <c r="H185" i="4" s="1"/>
  <c r="E175" i="4"/>
  <c r="F175" i="4" s="1"/>
  <c r="F159" i="4"/>
  <c r="E121" i="4"/>
  <c r="H121" i="4" s="1"/>
  <c r="H8" i="4"/>
  <c r="I8" i="4" s="1"/>
  <c r="F100" i="4"/>
  <c r="F187" i="4"/>
  <c r="F196" i="4"/>
  <c r="H16" i="4"/>
  <c r="E39" i="4"/>
  <c r="H39" i="4" s="1"/>
  <c r="F39" i="4"/>
  <c r="F143" i="4"/>
  <c r="E143" i="4"/>
  <c r="H143" i="4" s="1"/>
  <c r="H144" i="4"/>
  <c r="H60" i="4"/>
  <c r="E123" i="4"/>
  <c r="F123" i="4"/>
  <c r="H123" i="4"/>
  <c r="E165" i="4"/>
  <c r="H165" i="4" s="1"/>
  <c r="F165" i="4"/>
  <c r="E122" i="4"/>
  <c r="H122" i="4" s="1"/>
  <c r="E15" i="4"/>
  <c r="F15" i="4" s="1"/>
  <c r="E132" i="4"/>
  <c r="F132" i="4" s="1"/>
  <c r="F28" i="4"/>
  <c r="E28" i="4"/>
  <c r="H28" i="4" s="1"/>
  <c r="E137" i="4"/>
  <c r="H137" i="4" s="1"/>
  <c r="F137" i="4"/>
  <c r="F127" i="4"/>
  <c r="H172" i="4"/>
  <c r="E202" i="4"/>
  <c r="F202" i="4" s="1"/>
  <c r="E76" i="4"/>
  <c r="H76" i="4" s="1"/>
  <c r="F76" i="4"/>
  <c r="E157" i="4"/>
  <c r="H157" i="4" s="1"/>
  <c r="E55" i="4"/>
  <c r="F55" i="4" s="1"/>
  <c r="E77" i="4"/>
  <c r="F77" i="4" s="1"/>
  <c r="H124" i="4"/>
  <c r="E148" i="4"/>
  <c r="H148" i="4" s="1"/>
  <c r="E111" i="4"/>
  <c r="H111" i="4" s="1"/>
  <c r="E43" i="4"/>
  <c r="F43" i="4" s="1"/>
  <c r="E49" i="4"/>
  <c r="H49" i="4" s="1"/>
  <c r="F49" i="4"/>
  <c r="F160" i="4"/>
  <c r="E160" i="4"/>
  <c r="H160" i="4" s="1"/>
  <c r="E37" i="4"/>
  <c r="H37" i="4" s="1"/>
  <c r="F37" i="4"/>
  <c r="F82" i="4"/>
  <c r="E193" i="4"/>
  <c r="F193" i="4" s="1"/>
  <c r="F191" i="4"/>
  <c r="E191" i="4"/>
  <c r="H191" i="4" s="1"/>
  <c r="F68" i="4"/>
  <c r="F24" i="4"/>
  <c r="F152" i="4"/>
  <c r="E56" i="4"/>
  <c r="H56" i="4" s="1"/>
  <c r="E133" i="4"/>
  <c r="F133" i="4" s="1"/>
  <c r="H133" i="4"/>
  <c r="H173" i="4"/>
  <c r="E161" i="4"/>
  <c r="F161" i="4" s="1"/>
  <c r="F30" i="4"/>
  <c r="F48" i="4"/>
  <c r="E48" i="4"/>
  <c r="H48" i="4" s="1"/>
  <c r="H117" i="4"/>
  <c r="F65" i="4"/>
  <c r="E65" i="4"/>
  <c r="H65" i="4" s="1"/>
  <c r="E112" i="4"/>
  <c r="F112" i="4" s="1"/>
  <c r="E69" i="4"/>
  <c r="F69" i="4" s="1"/>
  <c r="F115" i="4"/>
  <c r="E115" i="4"/>
  <c r="H115" i="4" s="1"/>
  <c r="F119" i="4"/>
  <c r="E119" i="4"/>
  <c r="H119" i="4" s="1"/>
  <c r="E125" i="4"/>
  <c r="H125" i="4" s="1"/>
  <c r="F125" i="4"/>
  <c r="F90" i="4"/>
  <c r="E90" i="4"/>
  <c r="H90" i="4"/>
  <c r="E179" i="4"/>
  <c r="H179" i="4" s="1"/>
  <c r="F179" i="4"/>
  <c r="F20" i="4"/>
  <c r="E20" i="4"/>
  <c r="H20" i="4" s="1"/>
  <c r="F105" i="4"/>
  <c r="E70" i="4"/>
  <c r="H70" i="4" s="1"/>
  <c r="F182" i="4"/>
  <c r="E93" i="4"/>
  <c r="H93" i="4" s="1"/>
  <c r="F93" i="4"/>
  <c r="H74" i="4"/>
  <c r="F71" i="4"/>
  <c r="E71" i="4"/>
  <c r="H71" i="4" s="1"/>
  <c r="E62" i="4"/>
  <c r="F62" i="4" s="1"/>
  <c r="E174" i="4"/>
  <c r="F174" i="4" s="1"/>
  <c r="E186" i="4"/>
  <c r="F186" i="4" s="1"/>
  <c r="E139" i="4"/>
  <c r="F139" i="4" s="1"/>
  <c r="E136" i="4"/>
  <c r="H136" i="4" s="1"/>
  <c r="E98" i="4"/>
  <c r="H98" i="4" s="1"/>
  <c r="F98" i="4"/>
  <c r="F67" i="4"/>
  <c r="E67" i="4"/>
  <c r="H67" i="4" s="1"/>
  <c r="F146" i="4"/>
  <c r="E146" i="4"/>
  <c r="H146" i="4" s="1"/>
  <c r="F33" i="4"/>
  <c r="H32" i="4"/>
  <c r="F52" i="4"/>
  <c r="F85" i="4"/>
  <c r="E85" i="4"/>
  <c r="H85" i="4" s="1"/>
  <c r="E164" i="4"/>
  <c r="H164" i="4" s="1"/>
  <c r="F189" i="4"/>
  <c r="E189" i="4"/>
  <c r="H189" i="4" s="1"/>
  <c r="F41" i="4"/>
  <c r="E41" i="4"/>
  <c r="H41" i="4" s="1"/>
  <c r="H42" i="4"/>
  <c r="F42" i="4"/>
  <c r="E42" i="4"/>
  <c r="E116" i="4"/>
  <c r="H116" i="4" s="1"/>
  <c r="E19" i="4"/>
  <c r="H19" i="4" s="1"/>
  <c r="F19" i="4"/>
  <c r="E151" i="4"/>
  <c r="F151" i="4" s="1"/>
  <c r="H151" i="4"/>
  <c r="E205" i="4"/>
  <c r="H205" i="4" s="1"/>
  <c r="F205" i="4"/>
  <c r="E17" i="4"/>
  <c r="F17" i="4" s="1"/>
  <c r="H17" i="4"/>
  <c r="F18" i="4"/>
  <c r="E18" i="4"/>
  <c r="H18" i="4" s="1"/>
  <c r="F163" i="4"/>
  <c r="E163" i="4"/>
  <c r="H163" i="4" s="1"/>
  <c r="E195" i="4"/>
  <c r="H195" i="4" s="1"/>
  <c r="H87" i="4"/>
  <c r="F87" i="4"/>
  <c r="E99" i="4"/>
  <c r="F99" i="4" s="1"/>
  <c r="E181" i="4"/>
  <c r="H181" i="4" s="1"/>
  <c r="F181" i="4"/>
  <c r="F203" i="4"/>
  <c r="E203" i="4"/>
  <c r="H203" i="4" s="1"/>
  <c r="E79" i="4"/>
  <c r="H79" i="4" s="1"/>
  <c r="E11" i="4"/>
  <c r="H11" i="4" s="1"/>
  <c r="F114" i="4"/>
  <c r="F104" i="4"/>
  <c r="E104" i="4"/>
  <c r="H104" i="4"/>
  <c r="F58" i="4"/>
  <c r="E204" i="4"/>
  <c r="F204" i="4" s="1"/>
  <c r="F141" i="4"/>
  <c r="E108" i="4"/>
  <c r="H108" i="4"/>
  <c r="F108" i="4"/>
  <c r="F29" i="4"/>
  <c r="E29" i="4"/>
  <c r="H29" i="4" s="1"/>
  <c r="F27" i="4"/>
  <c r="E27" i="4"/>
  <c r="H27" i="4" s="1"/>
  <c r="E63" i="4"/>
  <c r="H63" i="4" s="1"/>
  <c r="F63" i="4"/>
  <c r="E110" i="4"/>
  <c r="F110" i="4" s="1"/>
  <c r="E14" i="4"/>
  <c r="H14" i="4" s="1"/>
  <c r="E23" i="4"/>
  <c r="H23" i="4" s="1"/>
  <c r="F23" i="4"/>
  <c r="H73" i="4"/>
  <c r="F73" i="4"/>
  <c r="E129" i="4"/>
  <c r="H129" i="4" s="1"/>
  <c r="F200" i="4"/>
  <c r="E200" i="4"/>
  <c r="H200" i="4" s="1"/>
  <c r="E21" i="4"/>
  <c r="H21" i="4" s="1"/>
  <c r="F21" i="4"/>
  <c r="E61" i="4"/>
  <c r="F61" i="4" s="1"/>
  <c r="E154" i="4"/>
  <c r="H154" i="4" s="1"/>
  <c r="F95" i="4"/>
  <c r="E95" i="4"/>
  <c r="H95" i="4" s="1"/>
  <c r="E12" i="4"/>
  <c r="H12" i="4" s="1"/>
  <c r="F12" i="4"/>
  <c r="E167" i="4"/>
  <c r="F167" i="4" s="1"/>
  <c r="H167" i="4"/>
  <c r="E81" i="4"/>
  <c r="F81" i="4" s="1"/>
  <c r="E10" i="2"/>
  <c r="F10" i="2" s="1"/>
  <c r="E153" i="4"/>
  <c r="H153" i="4" s="1"/>
  <c r="F153" i="4"/>
  <c r="E26" i="4"/>
  <c r="H26" i="4" s="1"/>
  <c r="E178" i="4"/>
  <c r="H178" i="4" s="1"/>
  <c r="E53" i="4"/>
  <c r="F53" i="4"/>
  <c r="H53" i="4"/>
  <c r="F84" i="4"/>
  <c r="E84" i="4"/>
  <c r="H84" i="4" s="1"/>
  <c r="E91" i="4"/>
  <c r="H91" i="4" s="1"/>
  <c r="H145" i="4"/>
  <c r="E180" i="4"/>
  <c r="F180" i="4" s="1"/>
  <c r="E158" i="4"/>
  <c r="F158" i="4" s="1"/>
  <c r="E188" i="4"/>
  <c r="F188" i="4" s="1"/>
  <c r="E9" i="4"/>
  <c r="F9" i="4" s="1"/>
  <c r="H9" i="4"/>
  <c r="F51" i="4"/>
  <c r="E51" i="4"/>
  <c r="H51" i="4" s="1"/>
  <c r="F34" i="4"/>
  <c r="E34" i="4"/>
  <c r="H34" i="4" s="1"/>
  <c r="F12" i="3"/>
  <c r="E83" i="4"/>
  <c r="F83" i="4" s="1"/>
  <c r="E192" i="4"/>
  <c r="F192" i="4" s="1"/>
  <c r="H192" i="4"/>
  <c r="F31" i="4"/>
  <c r="H31" i="4"/>
  <c r="E149" i="4"/>
  <c r="F149" i="4" s="1"/>
  <c r="F206" i="4"/>
  <c r="E206" i="4"/>
  <c r="H206" i="4" s="1"/>
  <c r="E35" i="4"/>
  <c r="H35" i="4" s="1"/>
  <c r="E13" i="4"/>
  <c r="F13" i="4" s="1"/>
  <c r="H13" i="4"/>
  <c r="E118" i="4"/>
  <c r="F118" i="4" s="1"/>
  <c r="F147" i="4"/>
  <c r="E147" i="4"/>
  <c r="H147" i="4" s="1"/>
  <c r="E97" i="4"/>
  <c r="H97" i="4"/>
  <c r="F97" i="4"/>
  <c r="E89" i="4"/>
  <c r="F89" i="4" s="1"/>
  <c r="F164" i="4" l="1"/>
  <c r="H139" i="4"/>
  <c r="H89" i="4"/>
  <c r="H158" i="4"/>
  <c r="H55" i="4"/>
  <c r="J8" i="4"/>
  <c r="F35" i="4"/>
  <c r="H149" i="4"/>
  <c r="H202" i="4"/>
  <c r="H175" i="4"/>
  <c r="F70" i="4"/>
  <c r="H118" i="4"/>
  <c r="H83" i="4"/>
  <c r="H43" i="4"/>
  <c r="H193" i="4"/>
  <c r="H180" i="4"/>
  <c r="H61" i="4"/>
  <c r="H132" i="4"/>
  <c r="F14" i="4"/>
  <c r="H81" i="4"/>
  <c r="F157" i="4"/>
  <c r="H204" i="4"/>
  <c r="U13" i="3"/>
  <c r="L8" i="4"/>
  <c r="H112" i="4"/>
  <c r="F57" i="4"/>
  <c r="H110" i="4"/>
  <c r="G9" i="4"/>
  <c r="G10" i="4" s="1"/>
  <c r="F129" i="4"/>
  <c r="H161" i="4"/>
  <c r="F26" i="4"/>
  <c r="K8" i="4"/>
  <c r="H188" i="4"/>
  <c r="F11" i="4"/>
  <c r="H174" i="4"/>
  <c r="H69" i="4"/>
  <c r="H77" i="4"/>
  <c r="B13" i="3"/>
  <c r="D13" i="3" s="1"/>
  <c r="E13" i="3" s="1"/>
  <c r="C14" i="3" s="1"/>
  <c r="G10" i="2"/>
  <c r="I10" i="2" s="1"/>
  <c r="L10" i="2" s="1"/>
  <c r="E11" i="2"/>
  <c r="F11" i="2" s="1"/>
  <c r="F136" i="4"/>
  <c r="H62" i="4"/>
  <c r="F154" i="4"/>
  <c r="F185" i="4"/>
  <c r="F178" i="4"/>
  <c r="F79" i="4"/>
  <c r="H99" i="4"/>
  <c r="H15" i="4"/>
  <c r="I9" i="4"/>
  <c r="I10" i="4" s="1"/>
  <c r="I11" i="4" s="1"/>
  <c r="I12" i="4" s="1"/>
  <c r="I13" i="4" s="1"/>
  <c r="I14" i="4" s="1"/>
  <c r="F116" i="4"/>
  <c r="H186" i="4"/>
  <c r="F56" i="4"/>
  <c r="F121" i="4"/>
  <c r="F91" i="4"/>
  <c r="F111" i="4"/>
  <c r="F122" i="4"/>
  <c r="F195" i="4"/>
  <c r="F148" i="4"/>
  <c r="F13" i="3" l="1"/>
  <c r="U14" i="3"/>
  <c r="K9" i="4"/>
  <c r="I15" i="4"/>
  <c r="I16" i="4" s="1"/>
  <c r="I17" i="4" s="1"/>
  <c r="I18" i="4" s="1"/>
  <c r="I19" i="4" s="1"/>
  <c r="I20" i="4" s="1"/>
  <c r="I21" i="4" s="1"/>
  <c r="I22" i="4" s="1"/>
  <c r="I23" i="4" s="1"/>
  <c r="I24" i="4" s="1"/>
  <c r="I25" i="4" s="1"/>
  <c r="I26" i="4" s="1"/>
  <c r="I27" i="4" s="1"/>
  <c r="I28" i="4" s="1"/>
  <c r="I29" i="4" s="1"/>
  <c r="I30" i="4" s="1"/>
  <c r="I31" i="4" s="1"/>
  <c r="I32" i="4" s="1"/>
  <c r="I33" i="4" s="1"/>
  <c r="I34" i="4" s="1"/>
  <c r="I35" i="4" s="1"/>
  <c r="I36" i="4" s="1"/>
  <c r="I37" i="4" s="1"/>
  <c r="I38" i="4" s="1"/>
  <c r="I39" i="4" s="1"/>
  <c r="I40" i="4" s="1"/>
  <c r="I41" i="4" s="1"/>
  <c r="I42" i="4" s="1"/>
  <c r="I43" i="4" s="1"/>
  <c r="I44" i="4" s="1"/>
  <c r="I45" i="4" s="1"/>
  <c r="I46" i="4" s="1"/>
  <c r="I47" i="4" s="1"/>
  <c r="I48" i="4" s="1"/>
  <c r="I49" i="4" s="1"/>
  <c r="I50" i="4" s="1"/>
  <c r="I51" i="4" s="1"/>
  <c r="I52" i="4" s="1"/>
  <c r="I53" i="4" s="1"/>
  <c r="I54" i="4" s="1"/>
  <c r="I55" i="4" s="1"/>
  <c r="I56" i="4" s="1"/>
  <c r="I57" i="4" s="1"/>
  <c r="I58" i="4" s="1"/>
  <c r="I59" i="4" s="1"/>
  <c r="I60" i="4" s="1"/>
  <c r="I61" i="4" s="1"/>
  <c r="I62" i="4" s="1"/>
  <c r="I63" i="4" s="1"/>
  <c r="I64" i="4" s="1"/>
  <c r="I65" i="4" s="1"/>
  <c r="I66" i="4" s="1"/>
  <c r="I67" i="4" s="1"/>
  <c r="I68" i="4" s="1"/>
  <c r="I69" i="4" s="1"/>
  <c r="I70" i="4" s="1"/>
  <c r="I71" i="4" s="1"/>
  <c r="I72" i="4" s="1"/>
  <c r="I73" i="4" s="1"/>
  <c r="I74" i="4" s="1"/>
  <c r="I75" i="4" s="1"/>
  <c r="I76" i="4" s="1"/>
  <c r="I77" i="4" s="1"/>
  <c r="I78" i="4" s="1"/>
  <c r="I79" i="4" s="1"/>
  <c r="I80" i="4" s="1"/>
  <c r="I81" i="4" s="1"/>
  <c r="I82" i="4" s="1"/>
  <c r="I83" i="4" s="1"/>
  <c r="I84" i="4" s="1"/>
  <c r="I85" i="4" s="1"/>
  <c r="I86" i="4" s="1"/>
  <c r="I87" i="4" s="1"/>
  <c r="I88" i="4" s="1"/>
  <c r="I89" i="4" s="1"/>
  <c r="I90" i="4" s="1"/>
  <c r="I91" i="4" s="1"/>
  <c r="I92" i="4" s="1"/>
  <c r="I93" i="4" s="1"/>
  <c r="I94" i="4" s="1"/>
  <c r="I95" i="4" s="1"/>
  <c r="I96" i="4" s="1"/>
  <c r="I97" i="4" s="1"/>
  <c r="I98" i="4" s="1"/>
  <c r="I99" i="4" s="1"/>
  <c r="I100" i="4" s="1"/>
  <c r="I101" i="4" s="1"/>
  <c r="I102" i="4" s="1"/>
  <c r="I103" i="4" s="1"/>
  <c r="I104" i="4" s="1"/>
  <c r="I105" i="4" s="1"/>
  <c r="I106" i="4" s="1"/>
  <c r="I107" i="4" s="1"/>
  <c r="I108" i="4" s="1"/>
  <c r="I109" i="4" s="1"/>
  <c r="I110" i="4" s="1"/>
  <c r="I111" i="4" s="1"/>
  <c r="I112" i="4" s="1"/>
  <c r="I113" i="4" s="1"/>
  <c r="I114" i="4" s="1"/>
  <c r="I115" i="4" s="1"/>
  <c r="I116" i="4" s="1"/>
  <c r="I117" i="4" s="1"/>
  <c r="I118" i="4" s="1"/>
  <c r="I119" i="4" s="1"/>
  <c r="I120" i="4" s="1"/>
  <c r="I121" i="4" s="1"/>
  <c r="I122" i="4" s="1"/>
  <c r="I123" i="4" s="1"/>
  <c r="I124" i="4" s="1"/>
  <c r="I125" i="4" s="1"/>
  <c r="I126" i="4" s="1"/>
  <c r="I127" i="4" s="1"/>
  <c r="I128" i="4" s="1"/>
  <c r="I129" i="4" s="1"/>
  <c r="I130" i="4" s="1"/>
  <c r="I131" i="4" s="1"/>
  <c r="I132" i="4" s="1"/>
  <c r="I133" i="4" s="1"/>
  <c r="I134" i="4" s="1"/>
  <c r="I135" i="4" s="1"/>
  <c r="I136" i="4" s="1"/>
  <c r="I137" i="4" s="1"/>
  <c r="I138" i="4" s="1"/>
  <c r="I139" i="4" s="1"/>
  <c r="I140" i="4" s="1"/>
  <c r="I141" i="4" s="1"/>
  <c r="I142" i="4" s="1"/>
  <c r="I143" i="4" s="1"/>
  <c r="I144" i="4" s="1"/>
  <c r="I145" i="4" s="1"/>
  <c r="I146" i="4" s="1"/>
  <c r="I147" i="4" s="1"/>
  <c r="I148" i="4" s="1"/>
  <c r="I149" i="4" s="1"/>
  <c r="I150" i="4" s="1"/>
  <c r="I151" i="4" s="1"/>
  <c r="I152" i="4" s="1"/>
  <c r="I153" i="4" s="1"/>
  <c r="I154" i="4" s="1"/>
  <c r="I155" i="4" s="1"/>
  <c r="I156" i="4" s="1"/>
  <c r="I157" i="4" s="1"/>
  <c r="I158" i="4" s="1"/>
  <c r="I159" i="4" s="1"/>
  <c r="I160" i="4" s="1"/>
  <c r="I161" i="4" s="1"/>
  <c r="I162" i="4" s="1"/>
  <c r="I163" i="4" s="1"/>
  <c r="I164" i="4" s="1"/>
  <c r="I165" i="4" s="1"/>
  <c r="I166" i="4" s="1"/>
  <c r="I167" i="4" s="1"/>
  <c r="I168" i="4" s="1"/>
  <c r="I169" i="4" s="1"/>
  <c r="I170" i="4" s="1"/>
  <c r="I171" i="4" s="1"/>
  <c r="I172" i="4" s="1"/>
  <c r="I173" i="4" s="1"/>
  <c r="I174" i="4" s="1"/>
  <c r="I175" i="4" s="1"/>
  <c r="I176" i="4" s="1"/>
  <c r="I177" i="4" s="1"/>
  <c r="I178" i="4" s="1"/>
  <c r="I179" i="4" s="1"/>
  <c r="I180" i="4" s="1"/>
  <c r="I181" i="4" s="1"/>
  <c r="I182" i="4" s="1"/>
  <c r="I183" i="4" s="1"/>
  <c r="I184" i="4" s="1"/>
  <c r="I185" i="4" s="1"/>
  <c r="I186" i="4" s="1"/>
  <c r="I187" i="4" s="1"/>
  <c r="I188" i="4" s="1"/>
  <c r="I189" i="4" s="1"/>
  <c r="I190" i="4" s="1"/>
  <c r="I191" i="4" s="1"/>
  <c r="I192" i="4" s="1"/>
  <c r="I193" i="4" s="1"/>
  <c r="I194" i="4" s="1"/>
  <c r="I195" i="4" s="1"/>
  <c r="I196" i="4" s="1"/>
  <c r="I197" i="4" s="1"/>
  <c r="I198" i="4" s="1"/>
  <c r="I199" i="4" s="1"/>
  <c r="I200" i="4" s="1"/>
  <c r="I201" i="4" s="1"/>
  <c r="I202" i="4" s="1"/>
  <c r="I203" i="4" s="1"/>
  <c r="I204" i="4" s="1"/>
  <c r="I205" i="4" s="1"/>
  <c r="I206" i="4" s="1"/>
  <c r="I207" i="4" s="1"/>
  <c r="B14" i="3"/>
  <c r="D14" i="3" s="1"/>
  <c r="E14" i="3" s="1"/>
  <c r="C15" i="3" s="1"/>
  <c r="G11" i="2"/>
  <c r="I11" i="2" s="1"/>
  <c r="L11" i="2" s="1"/>
  <c r="E12" i="2"/>
  <c r="F12" i="2" s="1"/>
  <c r="G11" i="4"/>
  <c r="K10" i="4"/>
  <c r="J10" i="4"/>
  <c r="L10" i="4"/>
  <c r="U15" i="3"/>
  <c r="J9" i="4"/>
  <c r="L9" i="4"/>
  <c r="F14" i="3" l="1"/>
  <c r="B15" i="3"/>
  <c r="D15" i="3" s="1"/>
  <c r="E15" i="3" s="1"/>
  <c r="C16" i="3" s="1"/>
  <c r="G12" i="2"/>
  <c r="I12" i="2" s="1"/>
  <c r="L12" i="2" s="1"/>
  <c r="E13" i="2"/>
  <c r="F13" i="2" s="1"/>
  <c r="G12" i="4"/>
  <c r="J11" i="4"/>
  <c r="U16" i="3"/>
  <c r="L11" i="4"/>
  <c r="K11" i="4"/>
  <c r="D32" i="5"/>
  <c r="F15" i="3" l="1"/>
  <c r="B16" i="3"/>
  <c r="D16" i="3" s="1"/>
  <c r="E16" i="3" s="1"/>
  <c r="C17" i="3" s="1"/>
  <c r="E14" i="2"/>
  <c r="F14" i="2" s="1"/>
  <c r="G13" i="2"/>
  <c r="I13" i="2" s="1"/>
  <c r="L13" i="2" s="1"/>
  <c r="G13" i="4"/>
  <c r="L12" i="4"/>
  <c r="K12" i="4"/>
  <c r="J12" i="4"/>
  <c r="U17" i="3"/>
  <c r="F16" i="3" l="1"/>
  <c r="B17" i="3"/>
  <c r="D17" i="3" s="1"/>
  <c r="E17" i="3" s="1"/>
  <c r="B18" i="3" s="1"/>
  <c r="E15" i="2"/>
  <c r="F15" i="2" s="1"/>
  <c r="G14" i="2"/>
  <c r="I14" i="2" s="1"/>
  <c r="L14" i="2" s="1"/>
  <c r="G14" i="4"/>
  <c r="L13" i="4"/>
  <c r="K13" i="4"/>
  <c r="J13" i="4"/>
  <c r="U18" i="3"/>
  <c r="D33" i="5"/>
  <c r="C18" i="3" l="1"/>
  <c r="F18" i="3" s="1"/>
  <c r="F17" i="3"/>
  <c r="E16" i="2"/>
  <c r="F16" i="2" s="1"/>
  <c r="G15" i="2"/>
  <c r="I15" i="2" s="1"/>
  <c r="L15" i="2" s="1"/>
  <c r="G15" i="4"/>
  <c r="K14" i="4"/>
  <c r="J14" i="4"/>
  <c r="L14" i="4"/>
  <c r="U19" i="3"/>
  <c r="D18" i="3" l="1"/>
  <c r="E18" i="3" s="1"/>
  <c r="C19" i="3" s="1"/>
  <c r="G16" i="2"/>
  <c r="I16" i="2" s="1"/>
  <c r="L16" i="2" s="1"/>
  <c r="E17" i="2"/>
  <c r="F17" i="2" s="1"/>
  <c r="G16" i="4"/>
  <c r="L15" i="4"/>
  <c r="K15" i="4"/>
  <c r="J15" i="4"/>
  <c r="U20" i="3"/>
  <c r="B19" i="3" l="1"/>
  <c r="D19" i="3" s="1"/>
  <c r="E19" i="3" s="1"/>
  <c r="B20" i="3" s="1"/>
  <c r="F18" i="2"/>
  <c r="F19" i="2" s="1"/>
  <c r="F20" i="2" s="1"/>
  <c r="G17" i="2"/>
  <c r="I17" i="2" s="1"/>
  <c r="L17" i="2" s="1"/>
  <c r="F19" i="3"/>
  <c r="G17" i="4"/>
  <c r="L16" i="4"/>
  <c r="K16" i="4"/>
  <c r="J16" i="4"/>
  <c r="U21" i="3"/>
  <c r="C20" i="3" l="1"/>
  <c r="F20" i="3" s="1"/>
  <c r="D20" i="3"/>
  <c r="E20" i="3" s="1"/>
  <c r="C21" i="3" s="1"/>
  <c r="G18" i="4"/>
  <c r="L17" i="4"/>
  <c r="J17" i="4"/>
  <c r="K17" i="4"/>
  <c r="U22" i="3"/>
  <c r="E21" i="2"/>
  <c r="F21" i="2" s="1"/>
  <c r="B21" i="3" l="1"/>
  <c r="D21" i="3" s="1"/>
  <c r="E21" i="3" s="1"/>
  <c r="B22" i="3" s="1"/>
  <c r="E22" i="2"/>
  <c r="F22" i="2" s="1"/>
  <c r="G21" i="2"/>
  <c r="I21" i="2" s="1"/>
  <c r="L21" i="2" s="1"/>
  <c r="G19" i="4"/>
  <c r="L18" i="4"/>
  <c r="K18" i="4"/>
  <c r="J18" i="4"/>
  <c r="U23" i="3"/>
  <c r="D34" i="5"/>
  <c r="D17" i="5"/>
  <c r="O11" i="4"/>
  <c r="F21" i="3"/>
  <c r="C22" i="3" l="1"/>
  <c r="F22" i="3" s="1"/>
  <c r="P11" i="4"/>
  <c r="E17" i="5"/>
  <c r="F23" i="2"/>
  <c r="G22" i="2"/>
  <c r="I22" i="2" s="1"/>
  <c r="L22" i="2" s="1"/>
  <c r="F17" i="5"/>
  <c r="Q11" i="4"/>
  <c r="L19" i="4"/>
  <c r="J19" i="4"/>
  <c r="G20" i="4"/>
  <c r="K19" i="4"/>
  <c r="U24" i="3"/>
  <c r="D22" i="3" l="1"/>
  <c r="E22" i="3" s="1"/>
  <c r="B23" i="3" s="1"/>
  <c r="L20" i="4"/>
  <c r="J20" i="4"/>
  <c r="U25" i="3"/>
  <c r="G21" i="4"/>
  <c r="K20" i="4"/>
  <c r="E24" i="2"/>
  <c r="F24" i="2" s="1"/>
  <c r="C23" i="3" l="1"/>
  <c r="F23" i="3" s="1"/>
  <c r="F25" i="2"/>
  <c r="G24" i="2"/>
  <c r="I24" i="2" s="1"/>
  <c r="L24" i="2" s="1"/>
  <c r="G22" i="4"/>
  <c r="L21" i="4"/>
  <c r="K21" i="4"/>
  <c r="J21" i="4"/>
  <c r="U26" i="3"/>
  <c r="D23" i="3"/>
  <c r="E23" i="3" s="1"/>
  <c r="C24" i="3" l="1"/>
  <c r="B24" i="3"/>
  <c r="D24" i="3" s="1"/>
  <c r="E24" i="3" s="1"/>
  <c r="G23" i="4"/>
  <c r="L22" i="4"/>
  <c r="K22" i="4"/>
  <c r="J22" i="4"/>
  <c r="U27" i="3"/>
  <c r="E26" i="2"/>
  <c r="F26" i="2" s="1"/>
  <c r="F27" i="2" l="1"/>
  <c r="F28" i="2" s="1"/>
  <c r="F29" i="2" s="1"/>
  <c r="G26" i="2"/>
  <c r="I26" i="2" s="1"/>
  <c r="L26" i="2" s="1"/>
  <c r="B25" i="3"/>
  <c r="C25" i="3"/>
  <c r="F25" i="3" s="1"/>
  <c r="J23" i="4"/>
  <c r="L23" i="4"/>
  <c r="U28" i="3"/>
  <c r="G24" i="4"/>
  <c r="K23" i="4"/>
  <c r="F24" i="3"/>
  <c r="D25" i="3" l="1"/>
  <c r="E25" i="3" s="1"/>
  <c r="K24" i="4"/>
  <c r="J24" i="4"/>
  <c r="U29" i="3"/>
  <c r="G25" i="4"/>
  <c r="L24" i="4"/>
  <c r="E30" i="2"/>
  <c r="F30" i="2" s="1"/>
  <c r="G30" i="2" l="1"/>
  <c r="I30" i="2" s="1"/>
  <c r="L30" i="2" s="1"/>
  <c r="E31" i="2"/>
  <c r="F31" i="2" s="1"/>
  <c r="K25" i="4"/>
  <c r="L25" i="4"/>
  <c r="J25" i="4"/>
  <c r="G26" i="4"/>
  <c r="U30" i="3"/>
  <c r="D35" i="5"/>
  <c r="B26" i="3"/>
  <c r="C26" i="3"/>
  <c r="F26" i="3" s="1"/>
  <c r="D26" i="3" l="1"/>
  <c r="E26" i="3" s="1"/>
  <c r="C27" i="3" s="1"/>
  <c r="G31" i="2"/>
  <c r="I31" i="2" s="1"/>
  <c r="L31" i="2" s="1"/>
  <c r="E32" i="2"/>
  <c r="F32" i="2" s="1"/>
  <c r="G27" i="4"/>
  <c r="L26" i="4"/>
  <c r="K26" i="4"/>
  <c r="J26" i="4"/>
  <c r="U31" i="3"/>
  <c r="B27" i="3" l="1"/>
  <c r="D27" i="3" s="1"/>
  <c r="E27" i="3" s="1"/>
  <c r="B28" i="3" s="1"/>
  <c r="E33" i="2"/>
  <c r="F33" i="2" s="1"/>
  <c r="G32" i="2"/>
  <c r="I32" i="2" s="1"/>
  <c r="L32" i="2" s="1"/>
  <c r="F27" i="3"/>
  <c r="K27" i="4"/>
  <c r="J27" i="4"/>
  <c r="G28" i="4"/>
  <c r="L27" i="4"/>
  <c r="U32" i="3"/>
  <c r="C28" i="3" l="1"/>
  <c r="D28" i="3" s="1"/>
  <c r="E28" i="3" s="1"/>
  <c r="K28" i="4"/>
  <c r="G29" i="4"/>
  <c r="L28" i="4"/>
  <c r="J28" i="4"/>
  <c r="U33" i="3"/>
  <c r="F28" i="3"/>
  <c r="F34" i="2"/>
  <c r="G33" i="2"/>
  <c r="I33" i="2" s="1"/>
  <c r="L33" i="2" s="1"/>
  <c r="C29" i="3" l="1"/>
  <c r="B29" i="3"/>
  <c r="L29" i="4"/>
  <c r="K29" i="4"/>
  <c r="G30" i="4"/>
  <c r="J29" i="4"/>
  <c r="U34" i="3"/>
  <c r="E35" i="2"/>
  <c r="F35" i="2" s="1"/>
  <c r="F29" i="3"/>
  <c r="D29" i="3" l="1"/>
  <c r="E29" i="3" s="1"/>
  <c r="C30" i="3" s="1"/>
  <c r="L30" i="4"/>
  <c r="G31" i="4"/>
  <c r="K30" i="4"/>
  <c r="U35" i="3"/>
  <c r="J30" i="4"/>
  <c r="F36" i="2"/>
  <c r="F37" i="2" s="1"/>
  <c r="F38" i="2" s="1"/>
  <c r="F39" i="2" s="1"/>
  <c r="F40" i="2" s="1"/>
  <c r="F41" i="2" s="1"/>
  <c r="F42" i="2" s="1"/>
  <c r="G35" i="2"/>
  <c r="I35" i="2" s="1"/>
  <c r="L35" i="2" s="1"/>
  <c r="B30" i="3" l="1"/>
  <c r="E43" i="2"/>
  <c r="F43" i="2" s="1"/>
  <c r="G32" i="4"/>
  <c r="K31" i="4"/>
  <c r="L31" i="4"/>
  <c r="J31" i="4"/>
  <c r="U36" i="3"/>
  <c r="D36" i="5"/>
  <c r="F30" i="3" l="1"/>
  <c r="D30" i="3"/>
  <c r="E30" i="3" s="1"/>
  <c r="G33" i="4"/>
  <c r="L32" i="4"/>
  <c r="K32" i="4"/>
  <c r="U37" i="3"/>
  <c r="J32" i="4"/>
  <c r="F44" i="2"/>
  <c r="F45" i="2" s="1"/>
  <c r="G43" i="2"/>
  <c r="I43" i="2" s="1"/>
  <c r="L43" i="2" s="1"/>
  <c r="C31" i="3" l="1"/>
  <c r="B31" i="3"/>
  <c r="D31" i="3" s="1"/>
  <c r="E31" i="3" s="1"/>
  <c r="E46" i="2"/>
  <c r="F46" i="2" s="1"/>
  <c r="L33" i="4"/>
  <c r="J33" i="4"/>
  <c r="G34" i="4"/>
  <c r="K33" i="4"/>
  <c r="U38" i="3"/>
  <c r="C32" i="3" l="1"/>
  <c r="B32" i="3"/>
  <c r="D32" i="3" s="1"/>
  <c r="E32" i="3" s="1"/>
  <c r="F31" i="3"/>
  <c r="F47" i="2"/>
  <c r="F48" i="2" s="1"/>
  <c r="F49" i="2" s="1"/>
  <c r="G46" i="2"/>
  <c r="I46" i="2" s="1"/>
  <c r="L46" i="2" s="1"/>
  <c r="L34" i="4"/>
  <c r="J34" i="4"/>
  <c r="K34" i="4"/>
  <c r="G35" i="4"/>
  <c r="U39" i="3"/>
  <c r="C33" i="3" l="1"/>
  <c r="B33" i="3"/>
  <c r="D33" i="3" s="1"/>
  <c r="E33" i="3" s="1"/>
  <c r="F32" i="3"/>
  <c r="G36" i="4"/>
  <c r="K35" i="4"/>
  <c r="J35" i="4"/>
  <c r="L35" i="4"/>
  <c r="U40" i="3"/>
  <c r="E50" i="2"/>
  <c r="F50" i="2" s="1"/>
  <c r="C34" i="3" l="1"/>
  <c r="B34" i="3"/>
  <c r="F33" i="3"/>
  <c r="F51" i="2"/>
  <c r="G50" i="2"/>
  <c r="I50" i="2" s="1"/>
  <c r="L50" i="2" s="1"/>
  <c r="G37" i="4"/>
  <c r="J36" i="4"/>
  <c r="L36" i="4"/>
  <c r="U41" i="3"/>
  <c r="K36" i="4"/>
  <c r="F34" i="3" l="1"/>
  <c r="D34" i="3"/>
  <c r="E34" i="3" s="1"/>
  <c r="J37" i="4"/>
  <c r="G38" i="4"/>
  <c r="L37" i="4"/>
  <c r="K37" i="4"/>
  <c r="U42" i="3"/>
  <c r="E52" i="2"/>
  <c r="F52" i="2" s="1"/>
  <c r="C35" i="3" l="1"/>
  <c r="B35" i="3"/>
  <c r="F53" i="2"/>
  <c r="G52" i="2"/>
  <c r="I52" i="2" s="1"/>
  <c r="L52" i="2" s="1"/>
  <c r="L38" i="4"/>
  <c r="K38" i="4"/>
  <c r="J38" i="4"/>
  <c r="G39" i="4"/>
  <c r="U43" i="3"/>
  <c r="D35" i="3" l="1"/>
  <c r="E35" i="3" s="1"/>
  <c r="C36" i="3" s="1"/>
  <c r="F35" i="3"/>
  <c r="K39" i="4"/>
  <c r="G40" i="4"/>
  <c r="U44" i="3"/>
  <c r="L39" i="4"/>
  <c r="J39" i="4"/>
  <c r="E54" i="2"/>
  <c r="F54" i="2" s="1"/>
  <c r="B36" i="3" l="1"/>
  <c r="F36" i="3" s="1"/>
  <c r="D36" i="3"/>
  <c r="E36" i="3" s="1"/>
  <c r="G54" i="2"/>
  <c r="I54" i="2" s="1"/>
  <c r="L54" i="2" s="1"/>
  <c r="E55" i="2"/>
  <c r="F55" i="2" s="1"/>
  <c r="G41" i="4"/>
  <c r="L40" i="4"/>
  <c r="K40" i="4"/>
  <c r="J40" i="4"/>
  <c r="U45" i="3"/>
  <c r="B37" i="3" l="1"/>
  <c r="C37" i="3"/>
  <c r="F37" i="3" s="1"/>
  <c r="E56" i="2"/>
  <c r="F56" i="2" s="1"/>
  <c r="G55" i="2"/>
  <c r="I55" i="2" s="1"/>
  <c r="L55" i="2" s="1"/>
  <c r="G42" i="4"/>
  <c r="J41" i="4"/>
  <c r="L41" i="4"/>
  <c r="K41" i="4"/>
  <c r="U46" i="3"/>
  <c r="D37" i="5"/>
  <c r="D37" i="3" l="1"/>
  <c r="E37" i="3" s="1"/>
  <c r="E57" i="2"/>
  <c r="F57" i="2" s="1"/>
  <c r="G56" i="2"/>
  <c r="I56" i="2" s="1"/>
  <c r="L56" i="2" s="1"/>
  <c r="L42" i="4"/>
  <c r="K42" i="4"/>
  <c r="J42" i="4"/>
  <c r="G43" i="4"/>
  <c r="U47" i="3"/>
  <c r="B38" i="3" l="1"/>
  <c r="C38" i="3"/>
  <c r="F38" i="3" s="1"/>
  <c r="E58" i="2"/>
  <c r="F58" i="2" s="1"/>
  <c r="G57" i="2"/>
  <c r="I57" i="2" s="1"/>
  <c r="L57" i="2" s="1"/>
  <c r="L43" i="4"/>
  <c r="K43" i="4"/>
  <c r="J43" i="4"/>
  <c r="G44" i="4"/>
  <c r="U48" i="3"/>
  <c r="D38" i="3" l="1"/>
  <c r="E38" i="3" s="1"/>
  <c r="L44" i="4"/>
  <c r="K44" i="4"/>
  <c r="J44" i="4"/>
  <c r="G45" i="4"/>
  <c r="U49" i="3"/>
  <c r="F59" i="2"/>
  <c r="G58" i="2"/>
  <c r="I58" i="2" s="1"/>
  <c r="L58" i="2" s="1"/>
  <c r="B39" i="3" l="1"/>
  <c r="C39" i="3"/>
  <c r="F39" i="3" s="1"/>
  <c r="G46" i="4"/>
  <c r="K45" i="4"/>
  <c r="J45" i="4"/>
  <c r="L45" i="4"/>
  <c r="U50" i="3"/>
  <c r="E60" i="2"/>
  <c r="F60" i="2" s="1"/>
  <c r="D39" i="3" l="1"/>
  <c r="E39" i="3" s="1"/>
  <c r="G60" i="2"/>
  <c r="I60" i="2" s="1"/>
  <c r="L60" i="2" s="1"/>
  <c r="E61" i="2"/>
  <c r="F61" i="2" s="1"/>
  <c r="G47" i="4"/>
  <c r="L46" i="4"/>
  <c r="K46" i="4"/>
  <c r="J46" i="4"/>
  <c r="U51" i="3"/>
  <c r="B40" i="3" l="1"/>
  <c r="C40" i="3"/>
  <c r="G61" i="2"/>
  <c r="I61" i="2" s="1"/>
  <c r="L61" i="2" s="1"/>
  <c r="E62" i="2"/>
  <c r="F62" i="2" s="1"/>
  <c r="J47" i="4"/>
  <c r="G48" i="4"/>
  <c r="U52" i="3"/>
  <c r="L47" i="4"/>
  <c r="K47" i="4"/>
  <c r="D40" i="3" l="1"/>
  <c r="E40" i="3" s="1"/>
  <c r="B41" i="3" s="1"/>
  <c r="F40" i="3"/>
  <c r="F63" i="2"/>
  <c r="G62" i="2"/>
  <c r="I62" i="2" s="1"/>
  <c r="L62" i="2" s="1"/>
  <c r="L48" i="4"/>
  <c r="K48" i="4"/>
  <c r="J48" i="4"/>
  <c r="G49" i="4"/>
  <c r="U53" i="3"/>
  <c r="D38" i="5"/>
  <c r="C41" i="3" l="1"/>
  <c r="D41" i="3" s="1"/>
  <c r="E41" i="3" s="1"/>
  <c r="F41" i="3"/>
  <c r="G50" i="4"/>
  <c r="K49" i="4"/>
  <c r="L49" i="4"/>
  <c r="J49" i="4"/>
  <c r="U54" i="3"/>
  <c r="E64" i="2"/>
  <c r="F64" i="2" s="1"/>
  <c r="B42" i="3" l="1"/>
  <c r="C42" i="3"/>
  <c r="F42" i="3" s="1"/>
  <c r="D42" i="3"/>
  <c r="E42" i="3" s="1"/>
  <c r="F65" i="2"/>
  <c r="G64" i="2"/>
  <c r="I64" i="2" s="1"/>
  <c r="L64" i="2" s="1"/>
  <c r="G51" i="4"/>
  <c r="L50" i="4"/>
  <c r="U55" i="3"/>
  <c r="K50" i="4"/>
  <c r="J50" i="4"/>
  <c r="B43" i="3" l="1"/>
  <c r="C43" i="3"/>
  <c r="F43" i="3" s="1"/>
  <c r="K51" i="4"/>
  <c r="G52" i="4"/>
  <c r="L51" i="4"/>
  <c r="J51" i="4"/>
  <c r="U56" i="3"/>
  <c r="E66" i="2"/>
  <c r="F66" i="2" s="1"/>
  <c r="D43" i="3" l="1"/>
  <c r="E43" i="3" s="1"/>
  <c r="C44" i="3" s="1"/>
  <c r="G66" i="2"/>
  <c r="I66" i="2" s="1"/>
  <c r="L66" i="2" s="1"/>
  <c r="F67" i="2"/>
  <c r="K52" i="4"/>
  <c r="J52" i="4"/>
  <c r="G53" i="4"/>
  <c r="L52" i="4"/>
  <c r="U57" i="3"/>
  <c r="B44" i="3" l="1"/>
  <c r="D44" i="3" s="1"/>
  <c r="E44" i="3" s="1"/>
  <c r="C45" i="3" s="1"/>
  <c r="F44" i="3"/>
  <c r="L53" i="4"/>
  <c r="K53" i="4"/>
  <c r="J53" i="4"/>
  <c r="G54" i="4"/>
  <c r="U58" i="3"/>
  <c r="E68" i="2"/>
  <c r="F68" i="2" s="1"/>
  <c r="B45" i="3" l="1"/>
  <c r="D45" i="3" s="1"/>
  <c r="E45" i="3" s="1"/>
  <c r="B46" i="3" s="1"/>
  <c r="F45" i="3"/>
  <c r="G68" i="2"/>
  <c r="I68" i="2" s="1"/>
  <c r="L68" i="2" s="1"/>
  <c r="E69" i="2"/>
  <c r="F69" i="2" s="1"/>
  <c r="G55" i="4"/>
  <c r="J54" i="4"/>
  <c r="U59" i="3"/>
  <c r="L54" i="4"/>
  <c r="K54" i="4"/>
  <c r="O12" i="4"/>
  <c r="D18" i="5"/>
  <c r="D39" i="5"/>
  <c r="C46" i="3" l="1"/>
  <c r="F46" i="3" s="1"/>
  <c r="D46" i="3"/>
  <c r="E46" i="3" s="1"/>
  <c r="E70" i="2"/>
  <c r="F70" i="2" s="1"/>
  <c r="G69" i="2"/>
  <c r="I69" i="2" s="1"/>
  <c r="L69" i="2" s="1"/>
  <c r="F18" i="5"/>
  <c r="Q12" i="4"/>
  <c r="G56" i="4"/>
  <c r="L55" i="4"/>
  <c r="K55" i="4"/>
  <c r="J55" i="4"/>
  <c r="U60" i="3"/>
  <c r="E18" i="5"/>
  <c r="P12" i="4"/>
  <c r="B47" i="3" l="1"/>
  <c r="C47" i="3"/>
  <c r="F71" i="2"/>
  <c r="G70" i="2"/>
  <c r="I70" i="2" s="1"/>
  <c r="L70" i="2" s="1"/>
  <c r="G57" i="4"/>
  <c r="J56" i="4"/>
  <c r="K56" i="4"/>
  <c r="L56" i="4"/>
  <c r="U61" i="3"/>
  <c r="F47" i="3" l="1"/>
  <c r="D47" i="3"/>
  <c r="E47" i="3" s="1"/>
  <c r="L57" i="4"/>
  <c r="K57" i="4"/>
  <c r="J57" i="4"/>
  <c r="G58" i="4"/>
  <c r="U62" i="3"/>
  <c r="E72" i="2"/>
  <c r="F72" i="2" s="1"/>
  <c r="B48" i="3" l="1"/>
  <c r="C48" i="3"/>
  <c r="F48" i="3" s="1"/>
  <c r="E73" i="2"/>
  <c r="F73" i="2" s="1"/>
  <c r="G72" i="2"/>
  <c r="I72" i="2" s="1"/>
  <c r="L72" i="2" s="1"/>
  <c r="L58" i="4"/>
  <c r="K58" i="4"/>
  <c r="G59" i="4"/>
  <c r="U63" i="3"/>
  <c r="J58" i="4"/>
  <c r="D48" i="3" l="1"/>
  <c r="E48" i="3" s="1"/>
  <c r="G73" i="2"/>
  <c r="I73" i="2" s="1"/>
  <c r="L73" i="2" s="1"/>
  <c r="E74" i="2"/>
  <c r="F74" i="2" s="1"/>
  <c r="G60" i="4"/>
  <c r="L59" i="4"/>
  <c r="K59" i="4"/>
  <c r="J59" i="4"/>
  <c r="U64" i="3"/>
  <c r="C49" i="3" l="1"/>
  <c r="B49" i="3"/>
  <c r="D49" i="3" s="1"/>
  <c r="E49" i="3" s="1"/>
  <c r="F75" i="2"/>
  <c r="F76" i="2" s="1"/>
  <c r="G74" i="2"/>
  <c r="I74" i="2" s="1"/>
  <c r="L74" i="2" s="1"/>
  <c r="G61" i="4"/>
  <c r="L60" i="4"/>
  <c r="K60" i="4"/>
  <c r="U65" i="3"/>
  <c r="J60" i="4"/>
  <c r="B50" i="3" l="1"/>
  <c r="C50" i="3"/>
  <c r="F50" i="3" s="1"/>
  <c r="F49" i="3"/>
  <c r="J61" i="4"/>
  <c r="G62" i="4"/>
  <c r="L61" i="4"/>
  <c r="K61" i="4"/>
  <c r="U66" i="3"/>
  <c r="E77" i="2"/>
  <c r="F77" i="2" s="1"/>
  <c r="D50" i="3" l="1"/>
  <c r="E50" i="3" s="1"/>
  <c r="F78" i="2"/>
  <c r="G77" i="2"/>
  <c r="I77" i="2" s="1"/>
  <c r="L77" i="2" s="1"/>
  <c r="L62" i="4"/>
  <c r="K62" i="4"/>
  <c r="J62" i="4"/>
  <c r="G63" i="4"/>
  <c r="U67" i="3"/>
  <c r="C51" i="3" l="1"/>
  <c r="B51" i="3"/>
  <c r="E79" i="2"/>
  <c r="F79" i="2" s="1"/>
  <c r="J63" i="4"/>
  <c r="K63" i="4"/>
  <c r="G64" i="4"/>
  <c r="U68" i="3"/>
  <c r="L63" i="4"/>
  <c r="F51" i="3" l="1"/>
  <c r="D51" i="3"/>
  <c r="E51" i="3" s="1"/>
  <c r="E80" i="2"/>
  <c r="F80" i="2" s="1"/>
  <c r="G79" i="2"/>
  <c r="I79" i="2" s="1"/>
  <c r="L79" i="2" s="1"/>
  <c r="G65" i="4"/>
  <c r="K64" i="4"/>
  <c r="J64" i="4"/>
  <c r="L64" i="4"/>
  <c r="U69" i="3"/>
  <c r="C52" i="3" l="1"/>
  <c r="B52" i="3"/>
  <c r="D52" i="3" s="1"/>
  <c r="E52" i="3" s="1"/>
  <c r="G80" i="2"/>
  <c r="I80" i="2" s="1"/>
  <c r="L80" i="2" s="1"/>
  <c r="E81" i="2"/>
  <c r="F81" i="2" s="1"/>
  <c r="L65" i="4"/>
  <c r="K65" i="4"/>
  <c r="J65" i="4"/>
  <c r="G66" i="4"/>
  <c r="U70" i="3"/>
  <c r="D40" i="5"/>
  <c r="C53" i="3" l="1"/>
  <c r="B53" i="3"/>
  <c r="D53" i="3" s="1"/>
  <c r="E53" i="3" s="1"/>
  <c r="F52" i="3"/>
  <c r="E82" i="2"/>
  <c r="F82" i="2" s="1"/>
  <c r="G81" i="2"/>
  <c r="I81" i="2" s="1"/>
  <c r="L81" i="2" s="1"/>
  <c r="K66" i="4"/>
  <c r="J66" i="4"/>
  <c r="G67" i="4"/>
  <c r="L66" i="4"/>
  <c r="U71" i="3"/>
  <c r="C54" i="3" l="1"/>
  <c r="B54" i="3"/>
  <c r="F53" i="3"/>
  <c r="G82" i="2"/>
  <c r="I82" i="2" s="1"/>
  <c r="L82" i="2" s="1"/>
  <c r="E83" i="2"/>
  <c r="F83" i="2" s="1"/>
  <c r="L67" i="4"/>
  <c r="K67" i="4"/>
  <c r="J67" i="4"/>
  <c r="G68" i="4"/>
  <c r="U72" i="3"/>
  <c r="F54" i="3" l="1"/>
  <c r="D54" i="3"/>
  <c r="E54" i="3" s="1"/>
  <c r="F84" i="2"/>
  <c r="F85" i="2" s="1"/>
  <c r="F86" i="2" s="1"/>
  <c r="G83" i="2"/>
  <c r="I83" i="2" s="1"/>
  <c r="L83" i="2" s="1"/>
  <c r="K68" i="4"/>
  <c r="G69" i="4"/>
  <c r="U73" i="3"/>
  <c r="J68" i="4"/>
  <c r="L68" i="4"/>
  <c r="C55" i="3" l="1"/>
  <c r="B55" i="3"/>
  <c r="D55" i="3" s="1"/>
  <c r="E55" i="3" s="1"/>
  <c r="G70" i="4"/>
  <c r="K69" i="4"/>
  <c r="J69" i="4"/>
  <c r="U74" i="3"/>
  <c r="L69" i="4"/>
  <c r="E87" i="2"/>
  <c r="F87" i="2" s="1"/>
  <c r="C56" i="3" l="1"/>
  <c r="B56" i="3"/>
  <c r="D56" i="3" s="1"/>
  <c r="F55" i="3"/>
  <c r="F88" i="2"/>
  <c r="G87" i="2"/>
  <c r="I87" i="2" s="1"/>
  <c r="L87" i="2" s="1"/>
  <c r="G71" i="4"/>
  <c r="J70" i="4"/>
  <c r="L70" i="4"/>
  <c r="K70" i="4"/>
  <c r="U75" i="3"/>
  <c r="I5" i="3" l="1"/>
  <c r="E56" i="3"/>
  <c r="I8" i="3" s="1"/>
  <c r="F56" i="3"/>
  <c r="L71" i="4"/>
  <c r="K71" i="4"/>
  <c r="J71" i="4"/>
  <c r="G72" i="4"/>
  <c r="U76" i="3"/>
  <c r="E89" i="2"/>
  <c r="F89" i="2" s="1"/>
  <c r="H21" i="3" l="1"/>
  <c r="I6" i="3"/>
  <c r="I7" i="3" s="1"/>
  <c r="C5" i="5"/>
  <c r="I15" i="3"/>
  <c r="H20" i="3" s="1"/>
  <c r="F90" i="2"/>
  <c r="G89" i="2"/>
  <c r="I89" i="2" s="1"/>
  <c r="L89" i="2" s="1"/>
  <c r="L72" i="4"/>
  <c r="G73" i="4"/>
  <c r="J72" i="4"/>
  <c r="U77" i="3"/>
  <c r="K72" i="4"/>
  <c r="C10" i="5" l="1"/>
  <c r="N18" i="3"/>
  <c r="N20" i="3"/>
  <c r="N8" i="3"/>
  <c r="H22" i="3"/>
  <c r="C17" i="5"/>
  <c r="G17" i="5" s="1"/>
  <c r="C48" i="5"/>
  <c r="C20" i="5"/>
  <c r="C60" i="5"/>
  <c r="T86" i="3"/>
  <c r="T149" i="3"/>
  <c r="T109" i="3"/>
  <c r="T160" i="3"/>
  <c r="T125" i="3"/>
  <c r="T13" i="3"/>
  <c r="V13" i="3" s="1"/>
  <c r="T18" i="3"/>
  <c r="V18" i="3" s="1"/>
  <c r="T164" i="3"/>
  <c r="T82" i="3"/>
  <c r="T173" i="3"/>
  <c r="T206" i="3"/>
  <c r="T23" i="3"/>
  <c r="T25" i="3"/>
  <c r="T76" i="3"/>
  <c r="T97" i="3"/>
  <c r="C78" i="5"/>
  <c r="C34" i="5"/>
  <c r="C40" i="5"/>
  <c r="C19" i="5"/>
  <c r="T180" i="3"/>
  <c r="T142" i="3"/>
  <c r="T178" i="3"/>
  <c r="T81" i="3"/>
  <c r="T194" i="3"/>
  <c r="T27" i="3"/>
  <c r="V27" i="3" s="1"/>
  <c r="T209" i="3"/>
  <c r="T182" i="3"/>
  <c r="T153" i="3"/>
  <c r="T60" i="3"/>
  <c r="V60" i="3" s="1"/>
  <c r="T64" i="3"/>
  <c r="T75" i="3"/>
  <c r="V75" i="3" s="1"/>
  <c r="T80" i="3"/>
  <c r="T119" i="3"/>
  <c r="T16" i="3"/>
  <c r="V16" i="3" s="1"/>
  <c r="T128" i="3"/>
  <c r="T121" i="3"/>
  <c r="T57" i="3"/>
  <c r="V57" i="3" s="1"/>
  <c r="C64" i="5"/>
  <c r="C58" i="5"/>
  <c r="C33" i="5"/>
  <c r="C52" i="5"/>
  <c r="T201" i="3"/>
  <c r="T123" i="3"/>
  <c r="T107" i="3"/>
  <c r="T117" i="3"/>
  <c r="T157" i="3"/>
  <c r="T196" i="3"/>
  <c r="T84" i="3"/>
  <c r="T36" i="3"/>
  <c r="V36" i="3" s="1"/>
  <c r="T152" i="3"/>
  <c r="T144" i="3"/>
  <c r="T118" i="3"/>
  <c r="T116" i="3"/>
  <c r="T141" i="3"/>
  <c r="T77" i="3"/>
  <c r="V77" i="3" s="1"/>
  <c r="T197" i="3"/>
  <c r="T65" i="3"/>
  <c r="V65" i="3" s="1"/>
  <c r="T172" i="3"/>
  <c r="T181" i="3"/>
  <c r="T48" i="3"/>
  <c r="V48" i="3" s="1"/>
  <c r="C76" i="5"/>
  <c r="C50" i="5"/>
  <c r="C43" i="5"/>
  <c r="C54" i="5"/>
  <c r="C45" i="5"/>
  <c r="T198" i="3"/>
  <c r="T177" i="3"/>
  <c r="T199" i="3"/>
  <c r="T140" i="3"/>
  <c r="T37" i="3"/>
  <c r="V37" i="3" s="1"/>
  <c r="T154" i="3"/>
  <c r="T202" i="3"/>
  <c r="T71" i="3"/>
  <c r="V71" i="3" s="1"/>
  <c r="T183" i="3"/>
  <c r="T175" i="3"/>
  <c r="T67" i="3"/>
  <c r="V67" i="3" s="1"/>
  <c r="T44" i="3"/>
  <c r="T126" i="3"/>
  <c r="T55" i="3"/>
  <c r="V55" i="3" s="1"/>
  <c r="C32" i="5"/>
  <c r="T106" i="3"/>
  <c r="T58" i="3"/>
  <c r="C59" i="5"/>
  <c r="C79" i="5"/>
  <c r="C36" i="5"/>
  <c r="C57" i="5"/>
  <c r="C70" i="5"/>
  <c r="C46" i="5"/>
  <c r="T61" i="3"/>
  <c r="V61" i="3" s="1"/>
  <c r="T89" i="3"/>
  <c r="T90" i="3"/>
  <c r="T190" i="3"/>
  <c r="T168" i="3"/>
  <c r="T187" i="3"/>
  <c r="T186" i="3"/>
  <c r="T54" i="3"/>
  <c r="T35" i="3"/>
  <c r="V35" i="3" s="1"/>
  <c r="T53" i="3"/>
  <c r="T188" i="3"/>
  <c r="T45" i="3"/>
  <c r="T176" i="3"/>
  <c r="T41" i="3"/>
  <c r="T210" i="3"/>
  <c r="T113" i="3"/>
  <c r="T103" i="3"/>
  <c r="T56" i="3"/>
  <c r="T127" i="3"/>
  <c r="C41" i="5"/>
  <c r="T165" i="3"/>
  <c r="C65" i="5"/>
  <c r="C73" i="5"/>
  <c r="C21" i="5"/>
  <c r="C68" i="5"/>
  <c r="T184" i="3"/>
  <c r="T133" i="3"/>
  <c r="T156" i="3"/>
  <c r="T20" i="3"/>
  <c r="V20" i="3" s="1"/>
  <c r="T195" i="3"/>
  <c r="C31" i="5"/>
  <c r="C51" i="5"/>
  <c r="C77" i="5"/>
  <c r="C75" i="5"/>
  <c r="C38" i="5"/>
  <c r="C30" i="5"/>
  <c r="T92" i="3"/>
  <c r="T158" i="3"/>
  <c r="T68" i="3"/>
  <c r="T15" i="3"/>
  <c r="V15" i="3" s="1"/>
  <c r="T21" i="3"/>
  <c r="V21" i="3" s="1"/>
  <c r="T29" i="3"/>
  <c r="V29" i="3" s="1"/>
  <c r="T204" i="3"/>
  <c r="T162" i="3"/>
  <c r="T145" i="3"/>
  <c r="T98" i="3"/>
  <c r="T79" i="3"/>
  <c r="T192" i="3"/>
  <c r="T100" i="3"/>
  <c r="T189" i="3"/>
  <c r="T208" i="3"/>
  <c r="T83" i="3"/>
  <c r="T30" i="3"/>
  <c r="C18" i="5"/>
  <c r="G18" i="5" s="1"/>
  <c r="T108" i="3"/>
  <c r="T143" i="3"/>
  <c r="T19" i="3"/>
  <c r="V19" i="3" s="1"/>
  <c r="T52" i="3"/>
  <c r="T212" i="3"/>
  <c r="C71" i="5"/>
  <c r="T72" i="3"/>
  <c r="C37" i="5"/>
  <c r="C72" i="5"/>
  <c r="C35" i="5"/>
  <c r="C47" i="5"/>
  <c r="J19" i="3"/>
  <c r="J22" i="3" s="1"/>
  <c r="T43" i="3"/>
  <c r="T87" i="3"/>
  <c r="T63" i="3"/>
  <c r="V63" i="3" s="1"/>
  <c r="T46" i="3"/>
  <c r="T66" i="3"/>
  <c r="V66" i="3" s="1"/>
  <c r="T32" i="3"/>
  <c r="T179" i="3"/>
  <c r="T137" i="3"/>
  <c r="T111" i="3"/>
  <c r="T138" i="3"/>
  <c r="T174" i="3"/>
  <c r="T34" i="3"/>
  <c r="T70" i="3"/>
  <c r="T99" i="3"/>
  <c r="T161" i="3"/>
  <c r="T166" i="3"/>
  <c r="I16" i="3"/>
  <c r="K19" i="3" s="1"/>
  <c r="K20" i="3" s="1"/>
  <c r="T69" i="3"/>
  <c r="V69" i="3" s="1"/>
  <c r="T167" i="3"/>
  <c r="T185" i="3"/>
  <c r="T104" i="3"/>
  <c r="T136" i="3"/>
  <c r="T129" i="3"/>
  <c r="T205" i="3"/>
  <c r="T88" i="3"/>
  <c r="T59" i="3"/>
  <c r="V59" i="3" s="1"/>
  <c r="C56" i="5"/>
  <c r="T139" i="3"/>
  <c r="C22" i="5"/>
  <c r="C67" i="5"/>
  <c r="C6" i="5"/>
  <c r="C66" i="5"/>
  <c r="I10" i="3"/>
  <c r="C11" i="5" s="1"/>
  <c r="T169" i="3"/>
  <c r="T150" i="3"/>
  <c r="T95" i="3"/>
  <c r="T170" i="3"/>
  <c r="T24" i="3"/>
  <c r="T207" i="3"/>
  <c r="T134" i="3"/>
  <c r="T38" i="3"/>
  <c r="V38" i="3" s="1"/>
  <c r="T101" i="3"/>
  <c r="C63" i="5"/>
  <c r="T93" i="3"/>
  <c r="T40" i="3"/>
  <c r="V40" i="3" s="1"/>
  <c r="T163" i="3"/>
  <c r="T28" i="3"/>
  <c r="T47" i="3"/>
  <c r="T200" i="3"/>
  <c r="T94" i="3"/>
  <c r="T73" i="3"/>
  <c r="V73" i="3" s="1"/>
  <c r="T85" i="3"/>
  <c r="T148" i="3"/>
  <c r="T131" i="3"/>
  <c r="C74" i="5"/>
  <c r="C53" i="5"/>
  <c r="C49" i="5"/>
  <c r="C44" i="5"/>
  <c r="C29" i="5"/>
  <c r="T146" i="3"/>
  <c r="T33" i="3"/>
  <c r="T17" i="3"/>
  <c r="V17" i="3" s="1"/>
  <c r="T105" i="3"/>
  <c r="T110" i="3"/>
  <c r="T22" i="3"/>
  <c r="V22" i="3" s="1"/>
  <c r="T114" i="3"/>
  <c r="T51" i="3"/>
  <c r="V51" i="3" s="1"/>
  <c r="T102" i="3"/>
  <c r="T122" i="3"/>
  <c r="T124" i="3"/>
  <c r="T74" i="3"/>
  <c r="V74" i="3" s="1"/>
  <c r="T211" i="3"/>
  <c r="T120" i="3"/>
  <c r="T191" i="3"/>
  <c r="C23" i="5"/>
  <c r="T115" i="3"/>
  <c r="T203" i="3"/>
  <c r="I12" i="3"/>
  <c r="C13" i="5" s="1"/>
  <c r="T159" i="3"/>
  <c r="T49" i="3"/>
  <c r="T50" i="3"/>
  <c r="C62" i="5"/>
  <c r="C69" i="5"/>
  <c r="C39" i="5"/>
  <c r="C42" i="5"/>
  <c r="C61" i="5"/>
  <c r="I11" i="3"/>
  <c r="C12" i="5" s="1"/>
  <c r="T31" i="3"/>
  <c r="V31" i="3" s="1"/>
  <c r="T130" i="3"/>
  <c r="T26" i="3"/>
  <c r="V26" i="3" s="1"/>
  <c r="T91" i="3"/>
  <c r="T112" i="3"/>
  <c r="T193" i="3"/>
  <c r="T42" i="3"/>
  <c r="T135" i="3"/>
  <c r="T62" i="3"/>
  <c r="V62" i="3" s="1"/>
  <c r="T96" i="3"/>
  <c r="T132" i="3"/>
  <c r="T14" i="3"/>
  <c r="V14" i="3" s="1"/>
  <c r="T151" i="3"/>
  <c r="C55" i="5"/>
  <c r="T39" i="3"/>
  <c r="T147" i="3"/>
  <c r="T78" i="3"/>
  <c r="T171" i="3"/>
  <c r="T155" i="3"/>
  <c r="C24" i="5"/>
  <c r="I19" i="3"/>
  <c r="I21" i="3" s="1"/>
  <c r="K21" i="3"/>
  <c r="G74" i="4"/>
  <c r="L73" i="4"/>
  <c r="J73" i="4"/>
  <c r="K73" i="4"/>
  <c r="U78" i="3"/>
  <c r="V78" i="3" s="1"/>
  <c r="D41" i="5"/>
  <c r="E91" i="2"/>
  <c r="F91" i="2" s="1"/>
  <c r="I22" i="3" l="1"/>
  <c r="K22" i="3"/>
  <c r="J21" i="3"/>
  <c r="I25" i="3" s="1"/>
  <c r="N9" i="3"/>
  <c r="J8" i="5"/>
  <c r="J10" i="5"/>
  <c r="N21" i="3"/>
  <c r="J12" i="5" s="1"/>
  <c r="I20" i="3"/>
  <c r="J20" i="3"/>
  <c r="I24" i="3" s="1"/>
  <c r="F92" i="2"/>
  <c r="G91" i="2"/>
  <c r="I91" i="2" s="1"/>
  <c r="L91" i="2" s="1"/>
  <c r="G75" i="4"/>
  <c r="L74" i="4"/>
  <c r="K74" i="4"/>
  <c r="J74" i="4"/>
  <c r="U79" i="3"/>
  <c r="V79" i="3" s="1"/>
  <c r="N10" i="3" l="1"/>
  <c r="J9" i="5"/>
  <c r="I26" i="3"/>
  <c r="I27" i="3" s="1"/>
  <c r="I29" i="3" s="1"/>
  <c r="J75" i="4"/>
  <c r="G76" i="4"/>
  <c r="L75" i="4"/>
  <c r="K75" i="4"/>
  <c r="U80" i="3"/>
  <c r="E93" i="2"/>
  <c r="F93" i="2" s="1"/>
  <c r="I28" i="3" l="1"/>
  <c r="I33" i="3"/>
  <c r="I32" i="3"/>
  <c r="C7" i="5"/>
  <c r="I30" i="3"/>
  <c r="C8" i="5" s="1"/>
  <c r="I31" i="3"/>
  <c r="C9" i="5" s="1"/>
  <c r="F94" i="2"/>
  <c r="F95" i="2" s="1"/>
  <c r="G93" i="2"/>
  <c r="I93" i="2" s="1"/>
  <c r="L93" i="2" s="1"/>
  <c r="L76" i="4"/>
  <c r="K76" i="4"/>
  <c r="J76" i="4"/>
  <c r="G77" i="4"/>
  <c r="U81" i="3"/>
  <c r="J77" i="4" l="1"/>
  <c r="G78" i="4"/>
  <c r="U82" i="3"/>
  <c r="V82" i="3" s="1"/>
  <c r="L77" i="4"/>
  <c r="K77" i="4"/>
  <c r="E96" i="2"/>
  <c r="F96" i="2" s="1"/>
  <c r="F97" i="2" l="1"/>
  <c r="F98" i="2" s="1"/>
  <c r="G96" i="2"/>
  <c r="I96" i="2" s="1"/>
  <c r="L96" i="2" s="1"/>
  <c r="G79" i="4"/>
  <c r="L78" i="4"/>
  <c r="J78" i="4"/>
  <c r="K78" i="4"/>
  <c r="U83" i="3"/>
  <c r="K79" i="4" l="1"/>
  <c r="J79" i="4"/>
  <c r="G80" i="4"/>
  <c r="L79" i="4"/>
  <c r="U84" i="3"/>
  <c r="V84" i="3" s="1"/>
  <c r="E99" i="2"/>
  <c r="F99" i="2" s="1"/>
  <c r="E100" i="2" l="1"/>
  <c r="F100" i="2" s="1"/>
  <c r="G99" i="2"/>
  <c r="I99" i="2" s="1"/>
  <c r="L99" i="2" s="1"/>
  <c r="K80" i="4"/>
  <c r="J80" i="4"/>
  <c r="G81" i="4"/>
  <c r="L80" i="4"/>
  <c r="U85" i="3"/>
  <c r="V85" i="3" s="1"/>
  <c r="G100" i="2" l="1"/>
  <c r="I100" i="2" s="1"/>
  <c r="L100" i="2" s="1"/>
  <c r="F101" i="2"/>
  <c r="F102" i="2" s="1"/>
  <c r="F103" i="2" s="1"/>
  <c r="F104" i="2" s="1"/>
  <c r="L81" i="4"/>
  <c r="K81" i="4"/>
  <c r="G82" i="4"/>
  <c r="J81" i="4"/>
  <c r="U86" i="3"/>
  <c r="V86" i="3" s="1"/>
  <c r="K82" i="4" l="1"/>
  <c r="G83" i="4"/>
  <c r="L82" i="4"/>
  <c r="U87" i="3"/>
  <c r="V87" i="3" s="1"/>
  <c r="J82" i="4"/>
  <c r="E105" i="2"/>
  <c r="F105" i="2" s="1"/>
  <c r="F106" i="2" l="1"/>
  <c r="G105" i="2"/>
  <c r="I105" i="2" s="1"/>
  <c r="L105" i="2" s="1"/>
  <c r="G84" i="4"/>
  <c r="J83" i="4"/>
  <c r="U88" i="3"/>
  <c r="V88" i="3" s="1"/>
  <c r="L83" i="4"/>
  <c r="K83" i="4"/>
  <c r="G85" i="4" l="1"/>
  <c r="L84" i="4"/>
  <c r="K84" i="4"/>
  <c r="J84" i="4"/>
  <c r="U89" i="3"/>
  <c r="D42" i="5"/>
  <c r="E107" i="2"/>
  <c r="F107" i="2" s="1"/>
  <c r="G107" i="2" l="1"/>
  <c r="I107" i="2" s="1"/>
  <c r="L107" i="2" s="1"/>
  <c r="E108" i="2"/>
  <c r="F108" i="2" s="1"/>
  <c r="L85" i="4"/>
  <c r="K85" i="4"/>
  <c r="J85" i="4"/>
  <c r="G86" i="4"/>
  <c r="U90" i="3"/>
  <c r="J86" i="4" l="1"/>
  <c r="G87" i="4"/>
  <c r="L86" i="4"/>
  <c r="U91" i="3"/>
  <c r="K86" i="4"/>
  <c r="E109" i="2"/>
  <c r="F109" i="2" s="1"/>
  <c r="G108" i="2"/>
  <c r="I108" i="2" s="1"/>
  <c r="L108" i="2" s="1"/>
  <c r="G109" i="2" l="1"/>
  <c r="I109" i="2" s="1"/>
  <c r="L109" i="2" s="1"/>
  <c r="E110" i="2"/>
  <c r="F110" i="2" s="1"/>
  <c r="L87" i="4"/>
  <c r="K87" i="4"/>
  <c r="J87" i="4"/>
  <c r="G88" i="4"/>
  <c r="U92" i="3"/>
  <c r="V92" i="3" s="1"/>
  <c r="E111" i="2" l="1"/>
  <c r="F111" i="2" s="1"/>
  <c r="G110" i="2"/>
  <c r="I110" i="2" s="1"/>
  <c r="L110" i="2" s="1"/>
  <c r="L88" i="4"/>
  <c r="K88" i="4"/>
  <c r="J88" i="4"/>
  <c r="G89" i="4"/>
  <c r="U93" i="3"/>
  <c r="G111" i="2" l="1"/>
  <c r="I111" i="2" s="1"/>
  <c r="L111" i="2" s="1"/>
  <c r="E112" i="2"/>
  <c r="F112" i="2" s="1"/>
  <c r="G90" i="4"/>
  <c r="L89" i="4"/>
  <c r="J89" i="4"/>
  <c r="K89" i="4"/>
  <c r="U94" i="3"/>
  <c r="V94" i="3" s="1"/>
  <c r="E113" i="2" l="1"/>
  <c r="F113" i="2" s="1"/>
  <c r="G112" i="2"/>
  <c r="I112" i="2" s="1"/>
  <c r="L112" i="2" s="1"/>
  <c r="G91" i="4"/>
  <c r="L90" i="4"/>
  <c r="K90" i="4"/>
  <c r="J90" i="4"/>
  <c r="U95" i="3"/>
  <c r="G113" i="2" l="1"/>
  <c r="I113" i="2" s="1"/>
  <c r="L113" i="2" s="1"/>
  <c r="E114" i="2"/>
  <c r="F114" i="2" s="1"/>
  <c r="J91" i="4"/>
  <c r="G92" i="4"/>
  <c r="L91" i="4"/>
  <c r="U96" i="3"/>
  <c r="V96" i="3" s="1"/>
  <c r="K91" i="4"/>
  <c r="D43" i="5"/>
  <c r="F115" i="2" l="1"/>
  <c r="G114" i="2"/>
  <c r="I114" i="2" s="1"/>
  <c r="L114" i="2" s="1"/>
  <c r="L92" i="4"/>
  <c r="K92" i="4"/>
  <c r="J92" i="4"/>
  <c r="G93" i="4"/>
  <c r="U97" i="3"/>
  <c r="L93" i="4" l="1"/>
  <c r="J93" i="4"/>
  <c r="G94" i="4"/>
  <c r="K93" i="4"/>
  <c r="U98" i="3"/>
  <c r="V98" i="3" s="1"/>
  <c r="E116" i="2"/>
  <c r="F116" i="2" s="1"/>
  <c r="E117" i="2" l="1"/>
  <c r="F117" i="2" s="1"/>
  <c r="G116" i="2"/>
  <c r="I116" i="2" s="1"/>
  <c r="L116" i="2" s="1"/>
  <c r="G95" i="4"/>
  <c r="L94" i="4"/>
  <c r="K94" i="4"/>
  <c r="J94" i="4"/>
  <c r="U99" i="3"/>
  <c r="G96" i="4" l="1"/>
  <c r="L95" i="4"/>
  <c r="J95" i="4"/>
  <c r="K95" i="4"/>
  <c r="U100" i="3"/>
  <c r="G117" i="2"/>
  <c r="I117" i="2" s="1"/>
  <c r="L117" i="2" s="1"/>
  <c r="E118" i="2"/>
  <c r="F118" i="2" s="1"/>
  <c r="F119" i="2" l="1"/>
  <c r="G118" i="2"/>
  <c r="I118" i="2" s="1"/>
  <c r="L118" i="2" s="1"/>
  <c r="K96" i="4"/>
  <c r="J96" i="4"/>
  <c r="L96" i="4"/>
  <c r="G97" i="4"/>
  <c r="U101" i="3"/>
  <c r="V101" i="3" s="1"/>
  <c r="L97" i="4" l="1"/>
  <c r="K97" i="4"/>
  <c r="J97" i="4"/>
  <c r="G98" i="4"/>
  <c r="U102" i="3"/>
  <c r="D44" i="5"/>
  <c r="O13" i="4"/>
  <c r="D19" i="5"/>
  <c r="G19" i="5" s="1"/>
  <c r="E120" i="2"/>
  <c r="F120" i="2" s="1"/>
  <c r="G120" i="2" l="1"/>
  <c r="I120" i="2" s="1"/>
  <c r="L120" i="2" s="1"/>
  <c r="E121" i="2"/>
  <c r="F121" i="2" s="1"/>
  <c r="K98" i="4"/>
  <c r="J98" i="4"/>
  <c r="G99" i="4"/>
  <c r="U103" i="3"/>
  <c r="L98" i="4"/>
  <c r="E19" i="5"/>
  <c r="P13" i="4"/>
  <c r="F19" i="5"/>
  <c r="Q13" i="4"/>
  <c r="G100" i="4" l="1"/>
  <c r="L99" i="4"/>
  <c r="K99" i="4"/>
  <c r="J99" i="4"/>
  <c r="U104" i="3"/>
  <c r="V104" i="3" s="1"/>
  <c r="G121" i="2"/>
  <c r="I121" i="2" s="1"/>
  <c r="L121" i="2" s="1"/>
  <c r="E122" i="2"/>
  <c r="F122" i="2" s="1"/>
  <c r="E123" i="2" l="1"/>
  <c r="F123" i="2" s="1"/>
  <c r="G122" i="2"/>
  <c r="I122" i="2" s="1"/>
  <c r="L122" i="2" s="1"/>
  <c r="L100" i="4"/>
  <c r="K100" i="4"/>
  <c r="J100" i="4"/>
  <c r="U105" i="3"/>
  <c r="V105" i="3" s="1"/>
  <c r="G101" i="4"/>
  <c r="E124" i="2" l="1"/>
  <c r="F124" i="2" s="1"/>
  <c r="G123" i="2"/>
  <c r="I123" i="2" s="1"/>
  <c r="L123" i="2" s="1"/>
  <c r="L101" i="4"/>
  <c r="K101" i="4"/>
  <c r="J101" i="4"/>
  <c r="G102" i="4"/>
  <c r="U106" i="3"/>
  <c r="L102" i="4" l="1"/>
  <c r="K102" i="4"/>
  <c r="J102" i="4"/>
  <c r="G103" i="4"/>
  <c r="U107" i="3"/>
  <c r="D45" i="5"/>
  <c r="F125" i="2"/>
  <c r="G124" i="2"/>
  <c r="I124" i="2" s="1"/>
  <c r="L124" i="2" s="1"/>
  <c r="E126" i="2" l="1"/>
  <c r="F126" i="2" s="1"/>
  <c r="G104" i="4"/>
  <c r="L103" i="4"/>
  <c r="K103" i="4"/>
  <c r="J103" i="4"/>
  <c r="U108" i="3"/>
  <c r="E127" i="2" l="1"/>
  <c r="F127" i="2" s="1"/>
  <c r="G126" i="2"/>
  <c r="I126" i="2" s="1"/>
  <c r="L126" i="2" s="1"/>
  <c r="G105" i="4"/>
  <c r="L104" i="4"/>
  <c r="K104" i="4"/>
  <c r="J104" i="4"/>
  <c r="U109" i="3"/>
  <c r="G127" i="2" l="1"/>
  <c r="I127" i="2" s="1"/>
  <c r="L127" i="2" s="1"/>
  <c r="E128" i="2"/>
  <c r="F128" i="2" s="1"/>
  <c r="J105" i="4"/>
  <c r="G106" i="4"/>
  <c r="L105" i="4"/>
  <c r="K105" i="4"/>
  <c r="U110" i="3"/>
  <c r="V110" i="3" s="1"/>
  <c r="G128" i="2" l="1"/>
  <c r="I128" i="2" s="1"/>
  <c r="L128" i="2" s="1"/>
  <c r="E129" i="2"/>
  <c r="F129" i="2" s="1"/>
  <c r="L106" i="4"/>
  <c r="K106" i="4"/>
  <c r="J106" i="4"/>
  <c r="G107" i="4"/>
  <c r="U111" i="3"/>
  <c r="F130" i="2" l="1"/>
  <c r="G129" i="2"/>
  <c r="I129" i="2" s="1"/>
  <c r="L129" i="2" s="1"/>
  <c r="L107" i="4"/>
  <c r="K107" i="4"/>
  <c r="G108" i="4"/>
  <c r="J107" i="4"/>
  <c r="U112" i="3"/>
  <c r="V112" i="3" s="1"/>
  <c r="G109" i="4" l="1"/>
  <c r="K108" i="4"/>
  <c r="J108" i="4"/>
  <c r="L108" i="4"/>
  <c r="U113" i="3"/>
  <c r="V113" i="3" s="1"/>
  <c r="E131" i="2"/>
  <c r="F131" i="2" s="1"/>
  <c r="G131" i="2" l="1"/>
  <c r="I131" i="2" s="1"/>
  <c r="L131" i="2" s="1"/>
  <c r="E132" i="2"/>
  <c r="F132" i="2" s="1"/>
  <c r="G110" i="4"/>
  <c r="K109" i="4"/>
  <c r="J109" i="4"/>
  <c r="U114" i="3"/>
  <c r="V114" i="3" s="1"/>
  <c r="L109" i="4"/>
  <c r="E133" i="2" l="1"/>
  <c r="F133" i="2" s="1"/>
  <c r="G132" i="2"/>
  <c r="I132" i="2" s="1"/>
  <c r="L132" i="2" s="1"/>
  <c r="K110" i="4"/>
  <c r="J110" i="4"/>
  <c r="L110" i="4"/>
  <c r="G111" i="4"/>
  <c r="U115" i="3"/>
  <c r="V115" i="3" s="1"/>
  <c r="E134" i="2" l="1"/>
  <c r="F134" i="2" s="1"/>
  <c r="G133" i="2"/>
  <c r="I133" i="2" s="1"/>
  <c r="L133" i="2" s="1"/>
  <c r="L111" i="4"/>
  <c r="K111" i="4"/>
  <c r="J111" i="4"/>
  <c r="G112" i="4"/>
  <c r="U116" i="3"/>
  <c r="V116" i="3" s="1"/>
  <c r="J112" i="4" l="1"/>
  <c r="L112" i="4"/>
  <c r="U117" i="3"/>
  <c r="V117" i="3" s="1"/>
  <c r="G113" i="4"/>
  <c r="K112" i="4"/>
  <c r="E135" i="2"/>
  <c r="F135" i="2" s="1"/>
  <c r="G134" i="2"/>
  <c r="I134" i="2" s="1"/>
  <c r="L134" i="2" s="1"/>
  <c r="G135" i="2" l="1"/>
  <c r="I135" i="2" s="1"/>
  <c r="L135" i="2" s="1"/>
  <c r="E136" i="2"/>
  <c r="F136" i="2" s="1"/>
  <c r="G114" i="4"/>
  <c r="L113" i="4"/>
  <c r="U118" i="3"/>
  <c r="V118" i="3" s="1"/>
  <c r="K113" i="4"/>
  <c r="J113" i="4"/>
  <c r="L114" i="4" l="1"/>
  <c r="K114" i="4"/>
  <c r="J114" i="4"/>
  <c r="U119" i="3"/>
  <c r="V119" i="3" s="1"/>
  <c r="G115" i="4"/>
  <c r="D46" i="5"/>
  <c r="F137" i="2"/>
  <c r="F138" i="2" s="1"/>
  <c r="G136" i="2"/>
  <c r="I136" i="2" s="1"/>
  <c r="L136" i="2" s="1"/>
  <c r="E139" i="2" l="1"/>
  <c r="F139" i="2" s="1"/>
  <c r="L115" i="4"/>
  <c r="K115" i="4"/>
  <c r="J115" i="4"/>
  <c r="G116" i="4"/>
  <c r="U120" i="3"/>
  <c r="F140" i="2" l="1"/>
  <c r="G139" i="2"/>
  <c r="I139" i="2" s="1"/>
  <c r="L139" i="2" s="1"/>
  <c r="L116" i="4"/>
  <c r="K116" i="4"/>
  <c r="J116" i="4"/>
  <c r="G117" i="4"/>
  <c r="U121" i="3"/>
  <c r="V121" i="3" s="1"/>
  <c r="G118" i="4" l="1"/>
  <c r="K117" i="4"/>
  <c r="L117" i="4"/>
  <c r="J117" i="4"/>
  <c r="U122" i="3"/>
  <c r="V122" i="3" s="1"/>
  <c r="E141" i="2"/>
  <c r="F141" i="2" s="1"/>
  <c r="G141" i="2" l="1"/>
  <c r="I141" i="2" s="1"/>
  <c r="L141" i="2" s="1"/>
  <c r="E142" i="2"/>
  <c r="F142" i="2" s="1"/>
  <c r="G119" i="4"/>
  <c r="K118" i="4"/>
  <c r="J118" i="4"/>
  <c r="L118" i="4"/>
  <c r="U123" i="3"/>
  <c r="V123" i="3" s="1"/>
  <c r="F143" i="2" l="1"/>
  <c r="G142" i="2"/>
  <c r="I142" i="2" s="1"/>
  <c r="L142" i="2" s="1"/>
  <c r="J119" i="4"/>
  <c r="G120" i="4"/>
  <c r="L119" i="4"/>
  <c r="U124" i="3"/>
  <c r="K119" i="4"/>
  <c r="G121" i="4" l="1"/>
  <c r="L120" i="4"/>
  <c r="K120" i="4"/>
  <c r="J120" i="4"/>
  <c r="U125" i="3"/>
  <c r="V125" i="3" s="1"/>
  <c r="E144" i="2"/>
  <c r="F144" i="2" s="1"/>
  <c r="E145" i="2" l="1"/>
  <c r="F145" i="2" s="1"/>
  <c r="G144" i="2"/>
  <c r="I144" i="2" s="1"/>
  <c r="L144" i="2" s="1"/>
  <c r="G122" i="4"/>
  <c r="L121" i="4"/>
  <c r="J121" i="4"/>
  <c r="K121" i="4"/>
  <c r="U126" i="3"/>
  <c r="V126" i="3" s="1"/>
  <c r="F146" i="2" l="1"/>
  <c r="F147" i="2" s="1"/>
  <c r="G145" i="2"/>
  <c r="I145" i="2" s="1"/>
  <c r="L145" i="2" s="1"/>
  <c r="J122" i="4"/>
  <c r="L122" i="4"/>
  <c r="G123" i="4"/>
  <c r="K122" i="4"/>
  <c r="U127" i="3"/>
  <c r="V127" i="3" s="1"/>
  <c r="D47" i="5"/>
  <c r="J123" i="4" l="1"/>
  <c r="G124" i="4"/>
  <c r="L123" i="4"/>
  <c r="U128" i="3"/>
  <c r="V128" i="3" s="1"/>
  <c r="K123" i="4"/>
  <c r="E148" i="2"/>
  <c r="F148" i="2" s="1"/>
  <c r="G148" i="2" l="1"/>
  <c r="I148" i="2" s="1"/>
  <c r="L148" i="2" s="1"/>
  <c r="E149" i="2"/>
  <c r="F149" i="2" s="1"/>
  <c r="G125" i="4"/>
  <c r="L124" i="4"/>
  <c r="J124" i="4"/>
  <c r="K124" i="4"/>
  <c r="U129" i="3"/>
  <c r="V129" i="3" s="1"/>
  <c r="F150" i="2" l="1"/>
  <c r="G149" i="2"/>
  <c r="I149" i="2" s="1"/>
  <c r="L149" i="2" s="1"/>
  <c r="K125" i="4"/>
  <c r="J125" i="4"/>
  <c r="L125" i="4"/>
  <c r="G126" i="4"/>
  <c r="U130" i="3"/>
  <c r="G127" i="4" l="1"/>
  <c r="L126" i="4"/>
  <c r="U131" i="3"/>
  <c r="V131" i="3" s="1"/>
  <c r="K126" i="4"/>
  <c r="J126" i="4"/>
  <c r="E151" i="2"/>
  <c r="F151" i="2" s="1"/>
  <c r="E152" i="2" l="1"/>
  <c r="F152" i="2" s="1"/>
  <c r="G151" i="2"/>
  <c r="I151" i="2" s="1"/>
  <c r="L151" i="2" s="1"/>
  <c r="K127" i="4"/>
  <c r="L127" i="4"/>
  <c r="J127" i="4"/>
  <c r="G128" i="4"/>
  <c r="U132" i="3"/>
  <c r="V132" i="3" s="1"/>
  <c r="K128" i="4" l="1"/>
  <c r="G129" i="4"/>
  <c r="J128" i="4"/>
  <c r="L128" i="4"/>
  <c r="U133" i="3"/>
  <c r="V133" i="3" s="1"/>
  <c r="G152" i="2"/>
  <c r="I152" i="2" s="1"/>
  <c r="L152" i="2" s="1"/>
  <c r="E153" i="2"/>
  <c r="F153" i="2" s="1"/>
  <c r="E154" i="2" l="1"/>
  <c r="F154" i="2" s="1"/>
  <c r="G153" i="2"/>
  <c r="I153" i="2" s="1"/>
  <c r="L153" i="2" s="1"/>
  <c r="K129" i="4"/>
  <c r="J129" i="4"/>
  <c r="G130" i="4"/>
  <c r="L129" i="4"/>
  <c r="U134" i="3"/>
  <c r="V134" i="3" s="1"/>
  <c r="D48" i="5"/>
  <c r="F155" i="2" l="1"/>
  <c r="F156" i="2" s="1"/>
  <c r="G154" i="2"/>
  <c r="I154" i="2" s="1"/>
  <c r="L154" i="2" s="1"/>
  <c r="L130" i="4"/>
  <c r="K130" i="4"/>
  <c r="G131" i="4"/>
  <c r="J130" i="4"/>
  <c r="U135" i="3"/>
  <c r="K131" i="4" l="1"/>
  <c r="J131" i="4"/>
  <c r="L131" i="4"/>
  <c r="G132" i="4"/>
  <c r="U136" i="3"/>
  <c r="V136" i="3" s="1"/>
  <c r="E157" i="2"/>
  <c r="F157" i="2" s="1"/>
  <c r="G157" i="2" l="1"/>
  <c r="I157" i="2" s="1"/>
  <c r="L157" i="2" s="1"/>
  <c r="E158" i="2"/>
  <c r="F158" i="2" s="1"/>
  <c r="L132" i="4"/>
  <c r="G133" i="4"/>
  <c r="K132" i="4"/>
  <c r="J132" i="4"/>
  <c r="U137" i="3"/>
  <c r="V137" i="3" s="1"/>
  <c r="E159" i="2" l="1"/>
  <c r="F159" i="2" s="1"/>
  <c r="G158" i="2"/>
  <c r="I158" i="2" s="1"/>
  <c r="L158" i="2" s="1"/>
  <c r="L133" i="4"/>
  <c r="K133" i="4"/>
  <c r="U138" i="3"/>
  <c r="V138" i="3" s="1"/>
  <c r="G134" i="4"/>
  <c r="J133" i="4"/>
  <c r="F160" i="2" l="1"/>
  <c r="G159" i="2"/>
  <c r="I159" i="2" s="1"/>
  <c r="L159" i="2" s="1"/>
  <c r="G135" i="4"/>
  <c r="J134" i="4"/>
  <c r="L134" i="4"/>
  <c r="K134" i="4"/>
  <c r="U139" i="3"/>
  <c r="V139" i="3" s="1"/>
  <c r="G136" i="4" l="1"/>
  <c r="L135" i="4"/>
  <c r="K135" i="4"/>
  <c r="J135" i="4"/>
  <c r="U140" i="3"/>
  <c r="V140" i="3" s="1"/>
  <c r="E161" i="2"/>
  <c r="F161" i="2" s="1"/>
  <c r="F162" i="2" l="1"/>
  <c r="F163" i="2" s="1"/>
  <c r="G161" i="2"/>
  <c r="I161" i="2" s="1"/>
  <c r="L161" i="2" s="1"/>
  <c r="J136" i="4"/>
  <c r="L136" i="4"/>
  <c r="K136" i="4"/>
  <c r="U141" i="3"/>
  <c r="V141" i="3" s="1"/>
  <c r="G137" i="4"/>
  <c r="J137" i="4" l="1"/>
  <c r="G138" i="4"/>
  <c r="U142" i="3"/>
  <c r="L137" i="4"/>
  <c r="K137" i="4"/>
  <c r="D49" i="5"/>
  <c r="D20" i="5"/>
  <c r="G20" i="5" s="1"/>
  <c r="O14" i="4"/>
  <c r="E164" i="2"/>
  <c r="F164" i="2" s="1"/>
  <c r="F165" i="2" l="1"/>
  <c r="G164" i="2"/>
  <c r="I164" i="2" s="1"/>
  <c r="L164" i="2" s="1"/>
  <c r="Q14" i="4"/>
  <c r="F20" i="5"/>
  <c r="P14" i="4"/>
  <c r="E20" i="5"/>
  <c r="J138" i="4"/>
  <c r="G139" i="4"/>
  <c r="L138" i="4"/>
  <c r="K138" i="4"/>
  <c r="U143" i="3"/>
  <c r="K139" i="4" l="1"/>
  <c r="J139" i="4"/>
  <c r="G140" i="4"/>
  <c r="L139" i="4"/>
  <c r="U144" i="3"/>
  <c r="V144" i="3" s="1"/>
  <c r="E166" i="2"/>
  <c r="F166" i="2" s="1"/>
  <c r="K140" i="4" l="1"/>
  <c r="J140" i="4"/>
  <c r="U145" i="3"/>
  <c r="G141" i="4"/>
  <c r="L140" i="4"/>
  <c r="G166" i="2"/>
  <c r="I166" i="2" s="1"/>
  <c r="L166" i="2" s="1"/>
  <c r="E167" i="2"/>
  <c r="F167" i="2" s="1"/>
  <c r="E168" i="2" l="1"/>
  <c r="F168" i="2" s="1"/>
  <c r="G167" i="2"/>
  <c r="I167" i="2" s="1"/>
  <c r="L167" i="2" s="1"/>
  <c r="K141" i="4"/>
  <c r="L141" i="4"/>
  <c r="J141" i="4"/>
  <c r="G142" i="4"/>
  <c r="U146" i="3"/>
  <c r="V146" i="3" s="1"/>
  <c r="F169" i="2" l="1"/>
  <c r="F170" i="2" s="1"/>
  <c r="G168" i="2"/>
  <c r="I168" i="2" s="1"/>
  <c r="L168" i="2" s="1"/>
  <c r="K142" i="4"/>
  <c r="G143" i="4"/>
  <c r="J142" i="4"/>
  <c r="L142" i="4"/>
  <c r="U147" i="3"/>
  <c r="V147" i="3" s="1"/>
  <c r="D50" i="5"/>
  <c r="L143" i="4" l="1"/>
  <c r="K143" i="4"/>
  <c r="J143" i="4"/>
  <c r="G144" i="4"/>
  <c r="U148" i="3"/>
  <c r="E171" i="2"/>
  <c r="F171" i="2" s="1"/>
  <c r="E172" i="2" l="1"/>
  <c r="F172" i="2" s="1"/>
  <c r="G171" i="2"/>
  <c r="I171" i="2" s="1"/>
  <c r="L171" i="2" s="1"/>
  <c r="L144" i="4"/>
  <c r="K144" i="4"/>
  <c r="G145" i="4"/>
  <c r="J144" i="4"/>
  <c r="U149" i="3"/>
  <c r="V149" i="3" s="1"/>
  <c r="E173" i="2" l="1"/>
  <c r="F173" i="2" s="1"/>
  <c r="G172" i="2"/>
  <c r="I172" i="2" s="1"/>
  <c r="L172" i="2" s="1"/>
  <c r="K145" i="4"/>
  <c r="J145" i="4"/>
  <c r="L145" i="4"/>
  <c r="G146" i="4"/>
  <c r="U150" i="3"/>
  <c r="V150" i="3" s="1"/>
  <c r="G173" i="2" l="1"/>
  <c r="I173" i="2" s="1"/>
  <c r="L173" i="2" s="1"/>
  <c r="E174" i="2"/>
  <c r="F174" i="2" s="1"/>
  <c r="L146" i="4"/>
  <c r="G147" i="4"/>
  <c r="K146" i="4"/>
  <c r="J146" i="4"/>
  <c r="U151" i="3"/>
  <c r="E175" i="2" l="1"/>
  <c r="F175" i="2" s="1"/>
  <c r="G174" i="2"/>
  <c r="I174" i="2" s="1"/>
  <c r="L174" i="2" s="1"/>
  <c r="L147" i="4"/>
  <c r="K147" i="4"/>
  <c r="J147" i="4"/>
  <c r="U152" i="3"/>
  <c r="G148" i="4"/>
  <c r="E176" i="2" l="1"/>
  <c r="F176" i="2" s="1"/>
  <c r="G175" i="2"/>
  <c r="I175" i="2" s="1"/>
  <c r="L175" i="2" s="1"/>
  <c r="G149" i="4"/>
  <c r="J148" i="4"/>
  <c r="L148" i="4"/>
  <c r="U153" i="3"/>
  <c r="V153" i="3" s="1"/>
  <c r="K148" i="4"/>
  <c r="E177" i="2" l="1"/>
  <c r="F177" i="2" s="1"/>
  <c r="G176" i="2"/>
  <c r="I176" i="2" s="1"/>
  <c r="L176" i="2" s="1"/>
  <c r="G150" i="4"/>
  <c r="L149" i="4"/>
  <c r="K149" i="4"/>
  <c r="J149" i="4"/>
  <c r="U154" i="3"/>
  <c r="V154" i="3" s="1"/>
  <c r="D51" i="5"/>
  <c r="G177" i="2" l="1"/>
  <c r="I177" i="2" s="1"/>
  <c r="L177" i="2" s="1"/>
  <c r="E178" i="2"/>
  <c r="F178" i="2" s="1"/>
  <c r="J150" i="4"/>
  <c r="L150" i="4"/>
  <c r="K150" i="4"/>
  <c r="U155" i="3"/>
  <c r="G151" i="4"/>
  <c r="F179" i="2" l="1"/>
  <c r="G178" i="2"/>
  <c r="I178" i="2" s="1"/>
  <c r="L178" i="2" s="1"/>
  <c r="J151" i="4"/>
  <c r="G152" i="4"/>
  <c r="K151" i="4"/>
  <c r="U156" i="3"/>
  <c r="V156" i="3" s="1"/>
  <c r="L151" i="4"/>
  <c r="L152" i="4" l="1"/>
  <c r="K152" i="4"/>
  <c r="J152" i="4"/>
  <c r="G153" i="4"/>
  <c r="U157" i="3"/>
  <c r="V157" i="3" s="1"/>
  <c r="E180" i="2"/>
  <c r="F180" i="2" s="1"/>
  <c r="E181" i="2" l="1"/>
  <c r="F181" i="2" s="1"/>
  <c r="G180" i="2"/>
  <c r="I180" i="2" s="1"/>
  <c r="L180" i="2" s="1"/>
  <c r="K153" i="4"/>
  <c r="J153" i="4"/>
  <c r="G154" i="4"/>
  <c r="L153" i="4"/>
  <c r="U158" i="3"/>
  <c r="V158" i="3" s="1"/>
  <c r="D52" i="5"/>
  <c r="E182" i="2" l="1"/>
  <c r="F182" i="2" s="1"/>
  <c r="G181" i="2"/>
  <c r="I181" i="2" s="1"/>
  <c r="L181" i="2" s="1"/>
  <c r="J154" i="4"/>
  <c r="L154" i="4"/>
  <c r="K154" i="4"/>
  <c r="U159" i="3"/>
  <c r="V159" i="3" s="1"/>
  <c r="G155" i="4"/>
  <c r="F183" i="2" l="1"/>
  <c r="G182" i="2"/>
  <c r="I182" i="2" s="1"/>
  <c r="L182" i="2" s="1"/>
  <c r="K155" i="4"/>
  <c r="G156" i="4"/>
  <c r="L155" i="4"/>
  <c r="J155" i="4"/>
  <c r="U160" i="3"/>
  <c r="K156" i="4" l="1"/>
  <c r="J156" i="4"/>
  <c r="L156" i="4"/>
  <c r="U161" i="3"/>
  <c r="G157" i="4"/>
  <c r="E184" i="2"/>
  <c r="F184" i="2" s="1"/>
  <c r="G184" i="2" l="1"/>
  <c r="I184" i="2" s="1"/>
  <c r="L184" i="2" s="1"/>
  <c r="E185" i="2"/>
  <c r="F185" i="2" s="1"/>
  <c r="L157" i="4"/>
  <c r="K157" i="4"/>
  <c r="J157" i="4"/>
  <c r="G158" i="4"/>
  <c r="U162" i="3"/>
  <c r="V162" i="3" s="1"/>
  <c r="E186" i="2" l="1"/>
  <c r="F186" i="2" s="1"/>
  <c r="G185" i="2"/>
  <c r="I185" i="2" s="1"/>
  <c r="L185" i="2" s="1"/>
  <c r="L158" i="4"/>
  <c r="K158" i="4"/>
  <c r="G159" i="4"/>
  <c r="J158" i="4"/>
  <c r="U163" i="3"/>
  <c r="V163" i="3" s="1"/>
  <c r="E187" i="2" l="1"/>
  <c r="F187" i="2" s="1"/>
  <c r="G186" i="2"/>
  <c r="I186" i="2" s="1"/>
  <c r="L186" i="2" s="1"/>
  <c r="L159" i="4"/>
  <c r="K159" i="4"/>
  <c r="J159" i="4"/>
  <c r="G160" i="4"/>
  <c r="U164" i="3"/>
  <c r="V164" i="3" s="1"/>
  <c r="D53" i="5"/>
  <c r="G187" i="2" l="1"/>
  <c r="I187" i="2" s="1"/>
  <c r="L187" i="2" s="1"/>
  <c r="E188" i="2"/>
  <c r="F188" i="2" s="1"/>
  <c r="L160" i="4"/>
  <c r="G161" i="4"/>
  <c r="K160" i="4"/>
  <c r="J160" i="4"/>
  <c r="U165" i="3"/>
  <c r="F189" i="2" l="1"/>
  <c r="F190" i="2" s="1"/>
  <c r="F191" i="2" s="1"/>
  <c r="G188" i="2"/>
  <c r="I188" i="2" s="1"/>
  <c r="L188" i="2" s="1"/>
  <c r="L161" i="4"/>
  <c r="K161" i="4"/>
  <c r="J161" i="4"/>
  <c r="G162" i="4"/>
  <c r="U166" i="3"/>
  <c r="V166" i="3" s="1"/>
  <c r="G163" i="4" l="1"/>
  <c r="J162" i="4"/>
  <c r="L162" i="4"/>
  <c r="K162" i="4"/>
  <c r="U167" i="3"/>
  <c r="E192" i="2"/>
  <c r="F192" i="2" s="1"/>
  <c r="G192" i="2" l="1"/>
  <c r="I192" i="2" s="1"/>
  <c r="L192" i="2" s="1"/>
  <c r="E193" i="2"/>
  <c r="F193" i="2" s="1"/>
  <c r="G164" i="4"/>
  <c r="L163" i="4"/>
  <c r="J163" i="4"/>
  <c r="U168" i="3"/>
  <c r="K163" i="4"/>
  <c r="F194" i="2" l="1"/>
  <c r="G193" i="2"/>
  <c r="I193" i="2" s="1"/>
  <c r="L193" i="2" s="1"/>
  <c r="J164" i="4"/>
  <c r="G165" i="4"/>
  <c r="L164" i="4"/>
  <c r="K164" i="4"/>
  <c r="U169" i="3"/>
  <c r="V169" i="3" s="1"/>
  <c r="J165" i="4" l="1"/>
  <c r="G166" i="4"/>
  <c r="L165" i="4"/>
  <c r="K165" i="4"/>
  <c r="U170" i="3"/>
  <c r="D54" i="5"/>
  <c r="D21" i="5"/>
  <c r="G21" i="5" s="1"/>
  <c r="O15" i="4"/>
  <c r="E195" i="2"/>
  <c r="F195" i="2" s="1"/>
  <c r="E196" i="2" l="1"/>
  <c r="F196" i="2" s="1"/>
  <c r="G195" i="2"/>
  <c r="I195" i="2" s="1"/>
  <c r="L195" i="2" s="1"/>
  <c r="E21" i="5"/>
  <c r="P15" i="4"/>
  <c r="F21" i="5"/>
  <c r="Q15" i="4"/>
  <c r="L166" i="4"/>
  <c r="K166" i="4"/>
  <c r="J166" i="4"/>
  <c r="G167" i="4"/>
  <c r="U171" i="3"/>
  <c r="V171" i="3" s="1"/>
  <c r="E197" i="2" l="1"/>
  <c r="F197" i="2" s="1"/>
  <c r="G196" i="2"/>
  <c r="I196" i="2" s="1"/>
  <c r="L196" i="2" s="1"/>
  <c r="K167" i="4"/>
  <c r="J167" i="4"/>
  <c r="G168" i="4"/>
  <c r="U172" i="3"/>
  <c r="V172" i="3" s="1"/>
  <c r="L167" i="4"/>
  <c r="G197" i="2" l="1"/>
  <c r="I197" i="2" s="1"/>
  <c r="L197" i="2" s="1"/>
  <c r="E198" i="2"/>
  <c r="F198" i="2" s="1"/>
  <c r="L168" i="4"/>
  <c r="K168" i="4"/>
  <c r="J168" i="4"/>
  <c r="G169" i="4"/>
  <c r="U173" i="3"/>
  <c r="V173" i="3" s="1"/>
  <c r="D55" i="5"/>
  <c r="F199" i="2" l="1"/>
  <c r="F200" i="2" s="1"/>
  <c r="F201" i="2" s="1"/>
  <c r="G198" i="2"/>
  <c r="I198" i="2" s="1"/>
  <c r="L198" i="2" s="1"/>
  <c r="K169" i="4"/>
  <c r="G170" i="4"/>
  <c r="L169" i="4"/>
  <c r="J169" i="4"/>
  <c r="U174" i="3"/>
  <c r="K170" i="4" l="1"/>
  <c r="J170" i="4"/>
  <c r="G171" i="4"/>
  <c r="L170" i="4"/>
  <c r="U175" i="3"/>
  <c r="E202" i="2"/>
  <c r="F202" i="2" s="1"/>
  <c r="F203" i="2" l="1"/>
  <c r="G202" i="2"/>
  <c r="I202" i="2" s="1"/>
  <c r="L202" i="2" s="1"/>
  <c r="G172" i="4"/>
  <c r="L171" i="4"/>
  <c r="K171" i="4"/>
  <c r="J171" i="4"/>
  <c r="U176" i="3"/>
  <c r="V176" i="3" s="1"/>
  <c r="L172" i="4" l="1"/>
  <c r="K172" i="4"/>
  <c r="G173" i="4"/>
  <c r="J172" i="4"/>
  <c r="U177" i="3"/>
  <c r="V177" i="3" s="1"/>
  <c r="E204" i="2"/>
  <c r="F204" i="2" s="1"/>
  <c r="F205" i="2" l="1"/>
  <c r="F206" i="2" s="1"/>
  <c r="F207" i="2" s="1"/>
  <c r="G204" i="2"/>
  <c r="I204" i="2" s="1"/>
  <c r="L204" i="2" s="1"/>
  <c r="L173" i="4"/>
  <c r="K173" i="4"/>
  <c r="J173" i="4"/>
  <c r="U178" i="3"/>
  <c r="V178" i="3" s="1"/>
  <c r="G174" i="4"/>
  <c r="D56" i="5"/>
  <c r="L174" i="4" l="1"/>
  <c r="G175" i="4"/>
  <c r="K174" i="4"/>
  <c r="J174" i="4"/>
  <c r="U179" i="3"/>
  <c r="V179" i="3" s="1"/>
  <c r="P7" i="2"/>
  <c r="P10" i="2"/>
  <c r="P8" i="2"/>
  <c r="P18" i="2" l="1"/>
  <c r="P19" i="2" s="1"/>
  <c r="P12" i="2"/>
  <c r="P13" i="2" s="1"/>
  <c r="P16" i="2" s="1"/>
  <c r="L175" i="4"/>
  <c r="K175" i="4"/>
  <c r="J175" i="4"/>
  <c r="G176" i="4"/>
  <c r="U180" i="3"/>
  <c r="V180" i="3" s="1"/>
  <c r="M8" i="2" l="1"/>
  <c r="G177" i="4"/>
  <c r="J176" i="4"/>
  <c r="L176" i="4"/>
  <c r="K176" i="4"/>
  <c r="U181" i="3"/>
  <c r="V181" i="3" s="1"/>
  <c r="D57" i="5"/>
  <c r="B46" i="5"/>
  <c r="B30" i="5"/>
  <c r="B36" i="5"/>
  <c r="B21" i="5"/>
  <c r="B6" i="5"/>
  <c r="J15" i="5" s="1"/>
  <c r="B62" i="5"/>
  <c r="M141" i="2"/>
  <c r="M187" i="2"/>
  <c r="M50" i="2"/>
  <c r="P15" i="2"/>
  <c r="B5" i="5" s="1"/>
  <c r="J14" i="5" s="1"/>
  <c r="M142" i="2"/>
  <c r="M197" i="2"/>
  <c r="M113" i="2"/>
  <c r="M131" i="2"/>
  <c r="M31" i="2"/>
  <c r="M87" i="2"/>
  <c r="M105" i="2"/>
  <c r="M73" i="2"/>
  <c r="M64" i="2"/>
  <c r="M145" i="2"/>
  <c r="M109" i="2"/>
  <c r="M33" i="2"/>
  <c r="M60" i="2"/>
  <c r="M117" i="2"/>
  <c r="M127" i="2"/>
  <c r="M177" i="2"/>
  <c r="M173" i="2"/>
  <c r="M74" i="2"/>
  <c r="M172" i="2"/>
  <c r="M82" i="2"/>
  <c r="M16" i="2"/>
  <c r="M135" i="2"/>
  <c r="M152" i="2"/>
  <c r="M58" i="2"/>
  <c r="M10" i="2"/>
  <c r="M54" i="2"/>
  <c r="M100" i="2"/>
  <c r="M80" i="2"/>
  <c r="M176" i="2"/>
  <c r="M159" i="2"/>
  <c r="M68" i="2"/>
  <c r="M120" i="2"/>
  <c r="M124" i="2"/>
  <c r="M22" i="2"/>
  <c r="M72" i="2"/>
  <c r="M126" i="2"/>
  <c r="M30" i="2"/>
  <c r="M96" i="2"/>
  <c r="M46" i="2"/>
  <c r="M166" i="2"/>
  <c r="M24" i="2"/>
  <c r="M171" i="2"/>
  <c r="M107" i="2"/>
  <c r="M32" i="2"/>
  <c r="M66" i="2"/>
  <c r="M128" i="2"/>
  <c r="M52" i="2"/>
  <c r="M196" i="2"/>
  <c r="M114" i="2"/>
  <c r="M182" i="2"/>
  <c r="M144" i="2"/>
  <c r="M184" i="2"/>
  <c r="M134" i="2"/>
  <c r="M198" i="2"/>
  <c r="M192" i="2"/>
  <c r="M77" i="2"/>
  <c r="M14" i="2"/>
  <c r="M174" i="2"/>
  <c r="M185" i="2"/>
  <c r="M122" i="2"/>
  <c r="M13" i="2"/>
  <c r="M116" i="2"/>
  <c r="M161" i="2"/>
  <c r="M157" i="2"/>
  <c r="M178" i="2"/>
  <c r="M118" i="2"/>
  <c r="M202" i="2"/>
  <c r="M112" i="2"/>
  <c r="M167" i="2"/>
  <c r="M186" i="2"/>
  <c r="M69" i="2"/>
  <c r="M149" i="2"/>
  <c r="M70" i="2"/>
  <c r="M62" i="2"/>
  <c r="M61" i="2"/>
  <c r="M129" i="2"/>
  <c r="M132" i="2"/>
  <c r="M151" i="2"/>
  <c r="M55" i="2"/>
  <c r="M110" i="2"/>
  <c r="M43" i="2"/>
  <c r="M154" i="2"/>
  <c r="M168" i="2"/>
  <c r="M93" i="2"/>
  <c r="M57" i="2"/>
  <c r="M108" i="2"/>
  <c r="M12" i="2"/>
  <c r="M26" i="2"/>
  <c r="M180" i="2"/>
  <c r="M153" i="2"/>
  <c r="M17" i="2"/>
  <c r="M204" i="2"/>
  <c r="M15" i="2"/>
  <c r="M181" i="2"/>
  <c r="M99" i="2"/>
  <c r="M164" i="2"/>
  <c r="M195" i="2"/>
  <c r="M83" i="2"/>
  <c r="M81" i="2"/>
  <c r="M11" i="2"/>
  <c r="M56" i="2"/>
  <c r="M35" i="2"/>
  <c r="M91" i="2"/>
  <c r="M136" i="2"/>
  <c r="M121" i="2"/>
  <c r="M111" i="2"/>
  <c r="M139" i="2"/>
  <c r="M133" i="2"/>
  <c r="M193" i="2"/>
  <c r="M175" i="2"/>
  <c r="M9" i="2"/>
  <c r="M148" i="2"/>
  <c r="M123" i="2"/>
  <c r="M89" i="2"/>
  <c r="M188" i="2"/>
  <c r="M158" i="2"/>
  <c r="M79" i="2"/>
  <c r="M21" i="2"/>
  <c r="J5" i="5"/>
  <c r="N24" i="3"/>
  <c r="N25" i="3" s="1"/>
  <c r="B42" i="5" l="1"/>
  <c r="B22" i="5"/>
  <c r="B19" i="5"/>
  <c r="B33" i="5"/>
  <c r="B31" i="5"/>
  <c r="B71" i="5"/>
  <c r="B39" i="5"/>
  <c r="B60" i="5"/>
  <c r="B45" i="5"/>
  <c r="B48" i="5"/>
  <c r="B53" i="5"/>
  <c r="B74" i="5"/>
  <c r="B52" i="5"/>
  <c r="B63" i="5"/>
  <c r="B67" i="5"/>
  <c r="B79" i="5"/>
  <c r="B59" i="5"/>
  <c r="B35" i="5"/>
  <c r="B44" i="5"/>
  <c r="B56" i="5"/>
  <c r="B47" i="5"/>
  <c r="B75" i="5"/>
  <c r="B58" i="5"/>
  <c r="B70" i="5"/>
  <c r="B17" i="5"/>
  <c r="B37" i="5"/>
  <c r="B64" i="5"/>
  <c r="B43" i="5"/>
  <c r="P23" i="2"/>
  <c r="B13" i="5" s="1"/>
  <c r="B54" i="5"/>
  <c r="B50" i="5"/>
  <c r="B24" i="5"/>
  <c r="B72" i="5"/>
  <c r="B57" i="5"/>
  <c r="B66" i="5"/>
  <c r="B78" i="5"/>
  <c r="B68" i="5"/>
  <c r="P21" i="2"/>
  <c r="B11" i="5" s="1"/>
  <c r="B40" i="5"/>
  <c r="B65" i="5"/>
  <c r="B55" i="5"/>
  <c r="B77" i="5"/>
  <c r="P22" i="2"/>
  <c r="B12" i="5" s="1"/>
  <c r="B20" i="5"/>
  <c r="B29" i="5"/>
  <c r="B32" i="5"/>
  <c r="B18" i="5"/>
  <c r="B34" i="5"/>
  <c r="B51" i="5"/>
  <c r="B41" i="5"/>
  <c r="B61" i="5"/>
  <c r="B49" i="5"/>
  <c r="B76" i="5"/>
  <c r="B38" i="5"/>
  <c r="B73" i="5"/>
  <c r="B23" i="5"/>
  <c r="B69" i="5"/>
  <c r="G178" i="4"/>
  <c r="L177" i="4"/>
  <c r="K177" i="4"/>
  <c r="J177" i="4"/>
  <c r="U182" i="3"/>
  <c r="V182" i="3" s="1"/>
  <c r="J178" i="4" l="1"/>
  <c r="G179" i="4"/>
  <c r="L178" i="4"/>
  <c r="K178" i="4"/>
  <c r="U183" i="3"/>
  <c r="V183" i="3" s="1"/>
  <c r="J179" i="4" l="1"/>
  <c r="G180" i="4"/>
  <c r="K179" i="4"/>
  <c r="U184" i="3"/>
  <c r="L179" i="4"/>
  <c r="G181" i="4" l="1"/>
  <c r="L180" i="4"/>
  <c r="K180" i="4"/>
  <c r="J180" i="4"/>
  <c r="U185" i="3"/>
  <c r="V185" i="3" s="1"/>
  <c r="K181" i="4" l="1"/>
  <c r="J181" i="4"/>
  <c r="G182" i="4"/>
  <c r="L181" i="4"/>
  <c r="U186" i="3"/>
  <c r="V186" i="3" s="1"/>
  <c r="L182" i="4" l="1"/>
  <c r="K182" i="4"/>
  <c r="J182" i="4"/>
  <c r="G183" i="4"/>
  <c r="U187" i="3"/>
  <c r="V187" i="3" s="1"/>
  <c r="K183" i="4" l="1"/>
  <c r="G184" i="4"/>
  <c r="L183" i="4"/>
  <c r="J183" i="4"/>
  <c r="U188" i="3"/>
  <c r="D58" i="5"/>
  <c r="K184" i="4" l="1"/>
  <c r="L184" i="4"/>
  <c r="J184" i="4"/>
  <c r="G185" i="4"/>
  <c r="U189" i="3"/>
  <c r="V189" i="3" s="1"/>
  <c r="G186" i="4" l="1"/>
  <c r="L185" i="4"/>
  <c r="K185" i="4"/>
  <c r="J185" i="4"/>
  <c r="U190" i="3"/>
  <c r="V190" i="3" s="1"/>
  <c r="L186" i="4" l="1"/>
  <c r="K186" i="4"/>
  <c r="J186" i="4"/>
  <c r="G187" i="4"/>
  <c r="U191" i="3"/>
  <c r="V191" i="3" s="1"/>
  <c r="O16" i="4"/>
  <c r="D59" i="5"/>
  <c r="D22" i="5"/>
  <c r="G22" i="5" s="1"/>
  <c r="G188" i="4" l="1"/>
  <c r="L187" i="4"/>
  <c r="K187" i="4"/>
  <c r="J187" i="4"/>
  <c r="U192" i="3"/>
  <c r="V192" i="3" s="1"/>
  <c r="E22" i="5"/>
  <c r="P16" i="4"/>
  <c r="F22" i="5"/>
  <c r="Q16" i="4"/>
  <c r="L188" i="4" l="1"/>
  <c r="G189" i="4"/>
  <c r="K188" i="4"/>
  <c r="J188" i="4"/>
  <c r="U193" i="3"/>
  <c r="V193" i="3" s="1"/>
  <c r="L189" i="4" l="1"/>
  <c r="K189" i="4"/>
  <c r="J189" i="4"/>
  <c r="G190" i="4"/>
  <c r="U194" i="3"/>
  <c r="G191" i="4" l="1"/>
  <c r="J190" i="4"/>
  <c r="L190" i="4"/>
  <c r="K190" i="4"/>
  <c r="U195" i="3"/>
  <c r="D60" i="5"/>
  <c r="G192" i="4" l="1"/>
  <c r="L191" i="4"/>
  <c r="K191" i="4"/>
  <c r="J191" i="4"/>
  <c r="U196" i="3"/>
  <c r="J192" i="4" l="1"/>
  <c r="G193" i="4"/>
  <c r="L192" i="4"/>
  <c r="U197" i="3"/>
  <c r="V197" i="3" s="1"/>
  <c r="K192" i="4"/>
  <c r="J193" i="4" l="1"/>
  <c r="G194" i="4"/>
  <c r="L193" i="4"/>
  <c r="K193" i="4"/>
  <c r="U198" i="3"/>
  <c r="V198" i="3" s="1"/>
  <c r="D62" i="5"/>
  <c r="D61" i="5"/>
  <c r="G195" i="4" l="1"/>
  <c r="L194" i="4"/>
  <c r="K194" i="4"/>
  <c r="J194" i="4"/>
  <c r="U199" i="3"/>
  <c r="D63" i="5"/>
  <c r="K195" i="4" l="1"/>
  <c r="E23" i="5" s="1"/>
  <c r="J195" i="4"/>
  <c r="G196" i="4"/>
  <c r="L195" i="4"/>
  <c r="F23" i="5" s="1"/>
  <c r="U200" i="3"/>
  <c r="V200" i="3" s="1"/>
  <c r="D64" i="5"/>
  <c r="D23" i="5"/>
  <c r="G23" i="5" s="1"/>
  <c r="G197" i="4" l="1"/>
  <c r="L196" i="4"/>
  <c r="K196" i="4"/>
  <c r="J196" i="4"/>
  <c r="U201" i="3"/>
  <c r="V201" i="3" s="1"/>
  <c r="D65" i="5"/>
  <c r="K197" i="4" l="1"/>
  <c r="G198" i="4"/>
  <c r="L197" i="4"/>
  <c r="J197" i="4"/>
  <c r="U202" i="3"/>
  <c r="V202" i="3" s="1"/>
  <c r="K198" i="4" l="1"/>
  <c r="L198" i="4"/>
  <c r="J198" i="4"/>
  <c r="G199" i="4"/>
  <c r="U203" i="3"/>
  <c r="V203" i="3" s="1"/>
  <c r="D66" i="5"/>
  <c r="G200" i="4" l="1"/>
  <c r="K199" i="4"/>
  <c r="L199" i="4"/>
  <c r="U204" i="3"/>
  <c r="J199" i="4"/>
  <c r="L200" i="4" l="1"/>
  <c r="K200" i="4"/>
  <c r="J200" i="4"/>
  <c r="U205" i="3"/>
  <c r="G201" i="4"/>
  <c r="D67" i="5"/>
  <c r="G202" i="4" l="1"/>
  <c r="L201" i="4"/>
  <c r="K201" i="4"/>
  <c r="J201" i="4"/>
  <c r="U206" i="3"/>
  <c r="D68" i="5"/>
  <c r="L202" i="4" l="1"/>
  <c r="G203" i="4"/>
  <c r="K202" i="4"/>
  <c r="J202" i="4"/>
  <c r="U207" i="3"/>
  <c r="V207" i="3" s="1"/>
  <c r="D69" i="5"/>
  <c r="D24" i="5"/>
  <c r="G24" i="5" s="1"/>
  <c r="O17" i="4"/>
  <c r="E24" i="5" l="1"/>
  <c r="P17" i="4"/>
  <c r="L203" i="4"/>
  <c r="G204" i="4"/>
  <c r="K203" i="4"/>
  <c r="J203" i="4"/>
  <c r="U208" i="3"/>
  <c r="Q17" i="4"/>
  <c r="F24" i="5"/>
  <c r="G205" i="4" l="1"/>
  <c r="J204" i="4"/>
  <c r="K204" i="4"/>
  <c r="L204" i="4"/>
  <c r="U209" i="3"/>
  <c r="V209" i="3" s="1"/>
  <c r="N13" i="3" s="1"/>
  <c r="D71" i="5"/>
  <c r="D70" i="5"/>
  <c r="D72" i="5"/>
  <c r="J6" i="5" l="1"/>
  <c r="N15" i="3"/>
  <c r="G206" i="4"/>
  <c r="L205" i="4"/>
  <c r="K205" i="4"/>
  <c r="J205" i="4"/>
  <c r="U210" i="3"/>
  <c r="D73" i="5"/>
  <c r="J206" i="4" l="1"/>
  <c r="K206" i="4"/>
  <c r="G207" i="4"/>
  <c r="L206" i="4"/>
  <c r="U211" i="3"/>
  <c r="D74" i="5"/>
  <c r="K207" i="4" l="1"/>
  <c r="J207" i="4"/>
  <c r="L207" i="4"/>
  <c r="U212" i="3"/>
  <c r="O6" i="4"/>
  <c r="D75" i="5"/>
  <c r="D77" i="5"/>
  <c r="D76" i="5"/>
  <c r="D79" i="5"/>
  <c r="D78" i="5"/>
  <c r="O5" i="4"/>
  <c r="D12" i="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<sst xmlns="http://schemas.openxmlformats.org/spreadsheetml/2006/main" count="914" uniqueCount="288">
  <si>
    <t>BASE DE DATOS — TIEMPOS DE FALLA DE EQUIPOS ELECTRICOS</t>
  </si>
  <si>
    <t>Muestra de 200 unidades con censura por la derecha (tipo I). Tiempo en horas de operacion.</t>
  </si>
  <si>
    <t>Datos de entrada (azul = valores observados)</t>
  </si>
  <si>
    <t>Resumen de la muestra</t>
  </si>
  <si>
    <t>ID</t>
  </si>
  <si>
    <t>Tipo de equipo</t>
  </si>
  <si>
    <t>Tiempo observado t (h)</t>
  </si>
  <si>
    <t>Estado d (1=Falla, 0=Censurado)</t>
  </si>
  <si>
    <t>ln(t)</t>
  </si>
  <si>
    <t>Condicion</t>
  </si>
  <si>
    <t>N — unidades observadas</t>
  </si>
  <si>
    <t>Banco de capacitores</t>
  </si>
  <si>
    <t>r — numero de fallas</t>
  </si>
  <si>
    <t>Variador de velocidad</t>
  </si>
  <si>
    <t>Unidades censuradas</t>
  </si>
  <si>
    <t>% de censura</t>
  </si>
  <si>
    <t>t minimo (h)</t>
  </si>
  <si>
    <t>Interruptor de potencia</t>
  </si>
  <si>
    <t>t maximo (h)</t>
  </si>
  <si>
    <t>Suma de t (h)</t>
  </si>
  <si>
    <t>S1 = SUM(d*ln(t))</t>
  </si>
  <si>
    <t>Motor de induccion MT</t>
  </si>
  <si>
    <t>Transformador de distribucion</t>
  </si>
  <si>
    <t>Nota</t>
  </si>
  <si>
    <t>Una observacion censurada indica que la unidad seguia operando al cierre del estudio o fue retirada por causas ajenas a la falla. No se descarta: aporta informacion de que sobrevivio al menos t horas.</t>
  </si>
  <si>
    <t>METODO GRAFICO — PAPEL DE PROBABILIDAD WEIBULL Y REGRESION DE RANGOS</t>
  </si>
  <si>
    <t>Rangos medianos con ajuste de Johnson para censura. Linealizacion: ln(-ln(1-F)) = b*ln(t) - b*ln(n).</t>
  </si>
  <si>
    <t>Regresion por minimos cuadrados (solo fallas, mascara d)</t>
  </si>
  <si>
    <t>N =</t>
  </si>
  <si>
    <t>r =</t>
  </si>
  <si>
    <t>r (pares usados)</t>
  </si>
  <si>
    <t>Metodo Grafico</t>
  </si>
  <si>
    <t>Sx = SUM(d*x)</t>
  </si>
  <si>
    <t>j (orden)</t>
  </si>
  <si>
    <t>t(j) ordenado (h)</t>
  </si>
  <si>
    <t>d</t>
  </si>
  <si>
    <t>n(j) = N-j+1</t>
  </si>
  <si>
    <t>Incremento I(j)</t>
  </si>
  <si>
    <t>Rango ajustado AR(j)</t>
  </si>
  <si>
    <t>Rango mediano F(tj)</t>
  </si>
  <si>
    <t>x = ln(t)</t>
  </si>
  <si>
    <t>y = ln(-ln(1-F))</t>
  </si>
  <si>
    <t>x (solo fallas)</t>
  </si>
  <si>
    <t>y (solo fallas)</t>
  </si>
  <si>
    <t>y ajustado</t>
  </si>
  <si>
    <t>Sy = SUM(d*y)</t>
  </si>
  <si>
    <t>Sxy = SUM(d*x*y)</t>
  </si>
  <si>
    <t>Sxx = SUM(d*x^2)</t>
  </si>
  <si>
    <t>Syy = SUM(d*y^2)</t>
  </si>
  <si>
    <t>Pendiente  m</t>
  </si>
  <si>
    <t>Intercepto  c</t>
  </si>
  <si>
    <t>BETA estimado  =  m</t>
  </si>
  <si>
    <t>ETA estimado  =  EXP(-c/m)  (h)</t>
  </si>
  <si>
    <t>Coef. correlacion  rho</t>
  </si>
  <si>
    <t>R cuadrado</t>
  </si>
  <si>
    <t>MTTF = eta*GAMMA(1+1/beta)  (h)</t>
  </si>
  <si>
    <t>Mediana = eta*LN(2)^(1/beta)  (h)</t>
  </si>
  <si>
    <t>Vida B10 = eta*(-LN(0.9))^(1/beta)</t>
  </si>
  <si>
    <t>Como leer este metodo</t>
  </si>
  <si>
    <t>1) Se ordenan los 200 tiempos de menor a mayor.
2) Los censurados no reciben rango, pero desplazan el rango de las fallas posteriores mediante el incremento de Johnson  I = (N+1-AR_anterior)/(1+n_j).
3) El rango mediano F(tj) = (AR-0.3)/(N+0.4) estima la probabilidad acumulada de falla.
4) Al graficar y = ln(-ln(1-F)) contra x = ln(t), una Weibull debe dar una recta: la pendiente es BETA y el intercepto vale -BETA*ln(ETA).
5) R cuadrado cercano a 1 respalda el supuesto Weibull; curvatura sistematica sugiere mezcla de modos de falla.</t>
  </si>
  <si>
    <t>ESTIMACION POR MAXIMA VEROSIMILITUD (MLE) Y PRUEBAS DE BONDAD DE AJUSTE</t>
  </si>
  <si>
    <t>Se resuelve la ecuacion de verosimilitud perfilada g(BETA)=0 por biseccion; ETA se obtiene en forma cerrada.</t>
  </si>
  <si>
    <t>Estadisticos suficientes</t>
  </si>
  <si>
    <t>Paso 2 — Estimadores de maxima verosimilitud</t>
  </si>
  <si>
    <t>Paso 4 — Pruebas de bondad de ajuste</t>
  </si>
  <si>
    <t>N</t>
  </si>
  <si>
    <t>BETA (forma)</t>
  </si>
  <si>
    <t>A. Razon de verosimilitud contra la exponencial (H0: BETA = 1)</t>
  </si>
  <si>
    <t>r (fallas)</t>
  </si>
  <si>
    <t>ETA (escala, h)</t>
  </si>
  <si>
    <t>ETA exponencial = SUM(t)/r</t>
  </si>
  <si>
    <t>log-verosimilitud  l(BETA,ETA)</t>
  </si>
  <si>
    <t>log-verosimilitud exponencial</t>
  </si>
  <si>
    <t>Residual  g(BETA)  (debe ser ~0)</t>
  </si>
  <si>
    <t>Estadistico LR = 2*(lW - lE)</t>
  </si>
  <si>
    <t>Paso 1 — Solucion de  g(BETA) = SUM(t^b*ln t)/SUM(t^b) - 1/b - S1/r = 0   (biseccion, 46 iteraciones)</t>
  </si>
  <si>
    <t>valor p   (chi2 con 1 gl)</t>
  </si>
  <si>
    <t>Iter k</t>
  </si>
  <si>
    <t>a (limite inf)</t>
  </si>
  <si>
    <t>b (limite sup)</t>
  </si>
  <si>
    <t>m = (a+b)/2</t>
  </si>
  <si>
    <t>g(m)</t>
  </si>
  <si>
    <t>Amplitud (b-a)</t>
  </si>
  <si>
    <t>MTTF = ETA*GAMMA(1+1/BETA)  (h)</t>
  </si>
  <si>
    <t>Decision</t>
  </si>
  <si>
    <t>Mediana  (h)</t>
  </si>
  <si>
    <t>Tabla de apoyo: ajuste vs. empirica</t>
  </si>
  <si>
    <t>Vida B10  (h)</t>
  </si>
  <si>
    <t>B. Prueba Kolmogorov-Smirnov (Weibull MLE vs. empirica Kaplan-Meier)</t>
  </si>
  <si>
    <t>t(j) ordenado</t>
  </si>
  <si>
    <t>F Weibull MLE</t>
  </si>
  <si>
    <t>F empirica (K-M)</t>
  </si>
  <si>
    <t>|diferencia| (fallas)</t>
  </si>
  <si>
    <t>Estadistico D = max|F_W - F_KM|</t>
  </si>
  <si>
    <t>Paso 3 — Matriz de informacion observada (Hessiano numerico central)</t>
  </si>
  <si>
    <t>Valor critico aprox. 1.36/RAIZ(r)  a=5%</t>
  </si>
  <si>
    <t>paso hb = 1% de BETA</t>
  </si>
  <si>
    <t>paso he = 1% de ETA</t>
  </si>
  <si>
    <t>C. Criterios de informacion (menor es mejor)</t>
  </si>
  <si>
    <t>l(BETA, ETA) en malla 3x3</t>
  </si>
  <si>
    <t>AIC Weibull  (k=2)</t>
  </si>
  <si>
    <t>AIC Exponencial  (k=1)</t>
  </si>
  <si>
    <t>BIC Weibull</t>
  </si>
  <si>
    <t>Modelo preferido</t>
  </si>
  <si>
    <t>D. Correlacion del papel de probabilidad</t>
  </si>
  <si>
    <t>d2l/dBETA2</t>
  </si>
  <si>
    <t>R cuadrado del grafico Weibull</t>
  </si>
  <si>
    <t>d2l/dETA2</t>
  </si>
  <si>
    <t>Lectura</t>
  </si>
  <si>
    <t>d2l/dBETAdETA</t>
  </si>
  <si>
    <t>Determinante de I</t>
  </si>
  <si>
    <t>Advertencia metodologica</t>
  </si>
  <si>
    <t>error estandar de BETA</t>
  </si>
  <si>
    <t>El valor critico de Kolmogorov-Smirnov mostrado supone parametros conocidos. Como aqui fueron estimados de la misma muestra, la prueba es conservadora (tiende a no rechazar). Para una decision formal se requiere el valor critico de Lilliefors o una calibracion por bootstrap parametrico. Se reporta como evidencia descriptiva y se complementa con la prueba LR y los criterios AIC/BIC.</t>
  </si>
  <si>
    <t>error estandar de ETA</t>
  </si>
  <si>
    <t>IC 95% BETA  inferior</t>
  </si>
  <si>
    <t>IC 95% BETA  superior</t>
  </si>
  <si>
    <t>IC 95% ETA  inferior</t>
  </si>
  <si>
    <t>IC 95% ETA  superior</t>
  </si>
  <si>
    <t>ESTIMADOR NO PARAMETRICO DE KAPLAN-MEIER CON INTERVALOS DE CONFIANZA</t>
  </si>
  <si>
    <t>Producto-limite sobre los tiempos de falla. Varianza por la formula de Greenwood e IC 95% con transformacion log-log.</t>
  </si>
  <si>
    <t>Resultados Kaplan-Meier</t>
  </si>
  <si>
    <t>z (95%) =</t>
  </si>
  <si>
    <t>Mediana de supervivencia (h)</t>
  </si>
  <si>
    <t>S(t) en el ultimo tiempo observado</t>
  </si>
  <si>
    <t>j</t>
  </si>
  <si>
    <t>t(j) (h)</t>
  </si>
  <si>
    <t>d (1=falla)</t>
  </si>
  <si>
    <t>n(j) en riesgo</t>
  </si>
  <si>
    <t>d(j) fallas</t>
  </si>
  <si>
    <t>Factor 1-d/n</t>
  </si>
  <si>
    <t>S(t) Kaplan-Meier</t>
  </si>
  <si>
    <t>Term. Greenwood</t>
  </si>
  <si>
    <t>Suma Greenwood</t>
  </si>
  <si>
    <t>e.e. Greenwood</t>
  </si>
  <si>
    <t>IC 95% inferior</t>
  </si>
  <si>
    <t>IC 95% superior</t>
  </si>
  <si>
    <t>Ultimo tiempo observado (h)</t>
  </si>
  <si>
    <t>Ultima observacion es censurada?</t>
  </si>
  <si>
    <t>Confiabilidad estimada en tiempos clave</t>
  </si>
  <si>
    <t>IC inf.</t>
  </si>
  <si>
    <t>IC sup.</t>
  </si>
  <si>
    <t>S(1000 h)</t>
  </si>
  <si>
    <t>S(2000 h)</t>
  </si>
  <si>
    <t>S(3000 h)</t>
  </si>
  <si>
    <t>S(4000 h)</t>
  </si>
  <si>
    <t>S(5000 h)</t>
  </si>
  <si>
    <t>S(6000 h)</t>
  </si>
  <si>
    <t>S(8000 h)</t>
  </si>
  <si>
    <t>Lectura critica</t>
  </si>
  <si>
    <t>La curva baja solo en los tiempos de falla. Las censuras no producen escalones, pero reducen n(j), lo que hace mayores los saltos posteriores: asi es como aportan informacion. Al final de la curva quedan pocas unidades en riesgo, por lo que los ultimos escalones son inestables y sus intervalos son muy anchos. Como la ultima observacion es censurada, S(t) queda indefinida mas alla del ultimo tiempo: Kaplan-Meier no extrapola, y para eso se necesita el modelo Weibull.</t>
  </si>
  <si>
    <t>prematuras</t>
  </si>
  <si>
    <t>Metodo grafico (regresion de rangos), maxima verosimilitud y estimador no parametrico de Kaplan-Meier.</t>
  </si>
  <si>
    <t>Concepto</t>
  </si>
  <si>
    <t>Metodo grafico (RRY)</t>
  </si>
  <si>
    <t>Maxima verosimilitud (MLE)</t>
  </si>
  <si>
    <t>Kaplan-Meier</t>
  </si>
  <si>
    <t>Comentario</t>
  </si>
  <si>
    <t>Resumen de bondad de ajuste</t>
  </si>
  <si>
    <t>Parametro de forma BETA</t>
  </si>
  <si>
    <t>No aplica</t>
  </si>
  <si>
    <t>BETA &gt; 1 indica desgaste progresivo</t>
  </si>
  <si>
    <t>R cuadrado del papel Weibull</t>
  </si>
  <si>
    <t>Parametro de escala ETA (h)</t>
  </si>
  <si>
    <t>Vida caracteristica: 63.2% han fallado</t>
  </si>
  <si>
    <t>Kolmogorov-Smirnov  D</t>
  </si>
  <si>
    <t>Error estandar de BETA</t>
  </si>
  <si>
    <t>No disponible</t>
  </si>
  <si>
    <t>Solo MLE entrega inferencia formal</t>
  </si>
  <si>
    <t>K-S valor critico (5%)</t>
  </si>
  <si>
    <t>IC 95% de BETA — inferior</t>
  </si>
  <si>
    <t>Escala logaritmica</t>
  </si>
  <si>
    <t>Prueba LR contra exponencial</t>
  </si>
  <si>
    <t>IC 95% de BETA — superior</t>
  </si>
  <si>
    <t>valor p de la prueba LR</t>
  </si>
  <si>
    <t>log-verosimilitud</t>
  </si>
  <si>
    <t>Base de las pruebas LR / AIC</t>
  </si>
  <si>
    <t>AIC Weibull</t>
  </si>
  <si>
    <t>MTTF (h)</t>
  </si>
  <si>
    <t>No estimable</t>
  </si>
  <si>
    <t>KM no extrapola: la cola queda abierta</t>
  </si>
  <si>
    <t>AIC Exponencial</t>
  </si>
  <si>
    <t>Mediana de vida (h)</t>
  </si>
  <si>
    <t>Las tres son comparables</t>
  </si>
  <si>
    <t>Vida B10 (h)</t>
  </si>
  <si>
    <t>Criterio tipico de mantenimiento</t>
  </si>
  <si>
    <t>Diferencia relativa en BETA</t>
  </si>
  <si>
    <t>Confiabilidad estimada R(t) por los tres metodos</t>
  </si>
  <si>
    <t>Diferencia relativa en ETA</t>
  </si>
  <si>
    <t>t (h)</t>
  </si>
  <si>
    <t>R(t) Metodo grafico</t>
  </si>
  <si>
    <t>R(t) MLE Weibull</t>
  </si>
  <si>
    <t>R(t) Kaplan-Meier</t>
  </si>
  <si>
    <t>KM — IC inferior</t>
  </si>
  <si>
    <t>KM — IC superior</t>
  </si>
  <si>
    <t>Diferencia MLE vs. KM</t>
  </si>
  <si>
    <t>Conclusiones</t>
  </si>
  <si>
    <t>1) Los tres enfoques coinciden: el metodo grafico y la maxima verosimilitud entregan valores de BETA y ETA muy proximos, y ambos reproducen la curva empirica de Kaplan-Meier dentro de su banda de confianza.
2) BETA claramente mayor que 1, con un intervalo de confianza que no contiene el valor 1, confirma desgaste progresivo. Esto se refuerza con la prueba de razon de verosimilitud, que rechaza el modelo exponencial. En terminos de gestion: el reemplazo preventivo por edad tiene sentido tecnico en esta flota.
3) Cuando usar cada uno. Kaplan-Meier es el diagnostico inicial sin supuestos y es el unico honesto cuando la forma de la distribucion es dudosa, pero no extrapola ni resume en parametros. El metodo grafico es transparente y facil de auditar, aunque sus errores estandar no son confiables. La maxima verosimilitud es la referencia para decisiones: usa toda la informacion de las censuras, es asintoticamente eficiente y es la unica que entrega intervalos de confianza y pruebas formales.
4) Limitacion. Todo lo anterior supone censura no informativa: el motivo del retiro de una unidad debe ser independiente de su riesgo de falla. Si se retiran preventivamente los equipos que ya muestran sintomas, el supuesto se rompe y los tres metodos sobreestiman la confiabilidad.</t>
  </si>
  <si>
    <t>Datos para el grafico comparativo</t>
  </si>
  <si>
    <t>WEIBULL BAYESIANO SIMPLE — β FIJO Y ACTUALIZACIÓN GAMMA</t>
  </si>
  <si>
    <t>Versión fácil de replicar: se fija β en el MLE y se actualiza λ = 1/η^β usando todas las fallas y censuras.</t>
  </si>
  <si>
    <t>Idea: con β conocido, λ tiene prior Gamma(a₀,b₀) y posterior Gamma(a₀+r, b₀+Σtᵢ^β). b usa parametrización de tasa.</t>
  </si>
  <si>
    <t>ENTRADAS</t>
  </si>
  <si>
    <t>Valor</t>
  </si>
  <si>
    <t>COMPARACIÓN</t>
  </si>
  <si>
    <t>MLE</t>
  </si>
  <si>
    <t>Bayes simple</t>
  </si>
  <si>
    <t>CÓMO REPLICAR</t>
  </si>
  <si>
    <t>Detalle</t>
  </si>
  <si>
    <t>β fijado (desde MLE)</t>
  </si>
  <si>
    <t>β</t>
  </si>
  <si>
    <t>Copie tiempos t y estado d.</t>
  </si>
  <si>
    <t>N observaciones</t>
  </si>
  <si>
    <t>η (h)</t>
  </si>
  <si>
    <t>Obtenga β por MLE.</t>
  </si>
  <si>
    <t>r fallas</t>
  </si>
  <si>
    <t>Elija a₀ y η₀; a₀=1 equivale a un pseudo-fallo.</t>
  </si>
  <si>
    <t>a₀ prior (pseudo-fallas)</t>
  </si>
  <si>
    <t>Mediana (h)</t>
  </si>
  <si>
    <t>Calcule Sβ con todos los tiempos, incluidos censurados.</t>
  </si>
  <si>
    <t>η₀ prior (h)</t>
  </si>
  <si>
    <t>B10 (h)</t>
  </si>
  <si>
    <t>Actualice a₁ y b₁; luego calcule η, vidas y R(t).</t>
  </si>
  <si>
    <t>b₀ = η₀^β (tasa)</t>
  </si>
  <si>
    <t>POSTERIOR</t>
  </si>
  <si>
    <t>Resultado</t>
  </si>
  <si>
    <t>LECTURA</t>
  </si>
  <si>
    <t>Interpretación</t>
  </si>
  <si>
    <t>Exposición Sβ = Σtᵢ^β</t>
  </si>
  <si>
    <t>β fijo</t>
  </si>
  <si>
    <t>Reduce el problema a una actualización conjugada y auditable.</t>
  </si>
  <si>
    <t>a₁ = a₀ + r</t>
  </si>
  <si>
    <t>Censuras</t>
  </si>
  <si>
    <t>Aportan exposición tᵢ^β aunque no suman fallas.</t>
  </si>
  <si>
    <t>b₁ = b₀ + Sβ</t>
  </si>
  <si>
    <t>Prior</t>
  </si>
  <si>
    <t>Con 122 fallas, a₀=1 tiene influencia pequeña.</t>
  </si>
  <si>
    <t>Media posterior de λ</t>
  </si>
  <si>
    <t>Alcance</t>
  </si>
  <si>
    <t>Es una aproximación didáctica; un Bayes completo también estima β.</t>
  </si>
  <si>
    <t>η posterior (plug-in, h)</t>
  </si>
  <si>
    <t>IC 95% η — inferior (h)</t>
  </si>
  <si>
    <t>IC 95% η — superior (h)</t>
  </si>
  <si>
    <t>MTTF posterior (h)</t>
  </si>
  <si>
    <t>Mediana posterior (h)</t>
  </si>
  <si>
    <t>Vida B10 posterior predictiva (h)</t>
  </si>
  <si>
    <t>CONFIABILIDAD POSTERIOR PREDICTIVA</t>
  </si>
  <si>
    <t>R(t) Bayes</t>
  </si>
  <si>
    <t>R(t) MLE</t>
  </si>
  <si>
    <t>SIMULACIÓN MONTE CARLO — INCERTIDUMBRE EN PARÁMETROS WEIBULL</t>
  </si>
  <si>
    <t>Selector Normal MLE / Uniforme / Triangular / PERT; parámetros vinculados al MLE; 1,000 escenarios con P10, P50 y P90.</t>
  </si>
  <si>
    <t>R P10</t>
  </si>
  <si>
    <t>R P50</t>
  </si>
  <si>
    <t>R P90</t>
  </si>
  <si>
    <t>f P10</t>
  </si>
  <si>
    <t>f P50</t>
  </si>
  <si>
    <t>f P90</t>
  </si>
  <si>
    <t>Distribución (switch)</t>
  </si>
  <si>
    <t>Normal MLE</t>
  </si>
  <si>
    <t>Percentil</t>
  </si>
  <si>
    <t>R(t)</t>
  </si>
  <si>
    <t>Iteraciones</t>
  </si>
  <si>
    <t>P10</t>
  </si>
  <si>
    <t>λ PERT (concentración)</t>
  </si>
  <si>
    <t>P50</t>
  </si>
  <si>
    <t>P90</t>
  </si>
  <si>
    <t>Parámetro</t>
  </si>
  <si>
    <t>Mínimo</t>
  </si>
  <si>
    <t>Moda</t>
  </si>
  <si>
    <t>Máximo</t>
  </si>
  <si>
    <t>Error estándar</t>
  </si>
  <si>
    <t>Media</t>
  </si>
  <si>
    <t>β (forma)</t>
  </si>
  <si>
    <t>P10/P90 delimitan el 80% central de escenarios simulados.</t>
  </si>
  <si>
    <t>η (escala, h)</t>
  </si>
  <si>
    <t>Parámetros vinculados a Max_Verosimilitud: mín/máx = IC 95%, moda = MLE.</t>
  </si>
  <si>
    <t>Tiempo de evaluación (h)</t>
  </si>
  <si>
    <t>Horizonte de gráficas (h)</t>
  </si>
  <si>
    <t>Iteración</t>
  </si>
  <si>
    <t>u β</t>
  </si>
  <si>
    <t>u η</t>
  </si>
  <si>
    <t>β simulado</t>
  </si>
  <si>
    <t>η simulado (h)</t>
  </si>
  <si>
    <t>R(t) evaluada</t>
  </si>
  <si>
    <t>f(t) evaluada</t>
  </si>
  <si>
    <t>Tiempo de reparacion (h)</t>
  </si>
  <si>
    <t>Falla prematura</t>
  </si>
  <si>
    <t>Censurado (sigue operando)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</si>
</sst>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0.0"/>
    <numFmt numFmtId="165" formatCode="0.0000"/>
    <numFmt numFmtId="166" formatCode="0.0%"/>
    <numFmt numFmtId="167" formatCode="0.00000"/>
    <numFmt numFmtId="168" formatCode="0.0000000"/>
    <numFmt numFmtId="169" formatCode="0.000000"/>
    <numFmt numFmtId="170" formatCode="_(* #,##0.0_);_(* \(#,##0.0\);_(* &quot;-&quot;??_);_(@_)"/>
    <numFmt numFmtId="171" formatCode="_(* #,##0.0000_);_(* \(#,##0.0000\);_(* &quot;-&quot;??_);_(@_)"/>
    <numFmt numFmtId="172" formatCode="0.0"/>
    <numFmt numFmtId="173" formatCode="0.000E+00"/>
    <numFmt numFmtId="174" formatCode="0.000"/>
  </numFmts>
  <fonts count="31" x14ac:knownFonts="1">
    <font>
      <sz val="11"/>
      <color theme="1"/>
      <name val="Calibri"/>
      <family val="2"/>
      <charset val="1"/>
    </font>
    <font>
      <b/>
      <sz val="14"/>
      <color rgb="FF1F3864"/>
      <name val="Arial"/>
      <charset val="1"/>
    </font>
    <font>
      <i/>
      <sz val="10"/>
      <color rgb="FF595959"/>
      <name val="Arial"/>
      <charset val="1"/>
    </font>
    <font>
      <b/>
      <sz val="11"/>
      <color rgb="FF1F3864"/>
      <name val="Arial"/>
      <charset val="1"/>
    </font>
    <font>
      <b/>
      <sz val="10"/>
      <color rgb="FFFFFFFF"/>
      <name val="Arial"/>
      <charset val="1"/>
    </font>
    <font>
      <sz val="10"/>
      <name val="Arial"/>
      <charset val="1"/>
    </font>
    <font>
      <sz val="10"/>
      <color rgb="FF000000"/>
      <name val="Arial"/>
      <charset val="1"/>
    </font>
    <font>
      <sz val="10"/>
      <color rgb="FF0000FF"/>
      <name val="Arial"/>
      <charset val="1"/>
    </font>
    <font>
      <b/>
      <sz val="10"/>
      <color rgb="FF000000"/>
      <name val="Arial"/>
      <charset val="1"/>
    </font>
    <font>
      <sz val="10"/>
      <color rgb="FF008000"/>
      <name val="Arial"/>
      <charset val="1"/>
    </font>
    <font>
      <sz val="10"/>
      <color rgb="FF808080"/>
      <name val="Arial"/>
      <charset val="1"/>
    </font>
    <font>
      <sz val="11"/>
      <color theme="1"/>
      <name val="Calibri"/>
      <family val="2"/>
      <charset val="1"/>
    </font>
    <font>
      <sz val="11"/>
      <color theme="1"/>
      <name val="Avenir Next LT Pro"/>
      <family val="2"/>
    </font>
    <font>
      <b/>
      <sz val="11"/>
      <color rgb="FFFFFFFF"/>
      <name val="Calibri"/>
      <family val="2"/>
      <charset val="1"/>
    </font>
    <font>
      <b/>
      <sz val="14"/>
      <color theme="1"/>
      <name val="Avenir Next LT Pro"/>
      <family val="2"/>
    </font>
    <font>
      <i/>
      <sz val="10"/>
      <color theme="1"/>
      <name val="Avenir Next LT Pro"/>
      <family val="2"/>
    </font>
    <font>
      <b/>
      <sz val="11"/>
      <color theme="1"/>
      <name val="Avenir Next LT Pro"/>
      <family val="2"/>
    </font>
    <font>
      <sz val="10"/>
      <color theme="1"/>
      <name val="Avenir Next LT Pro"/>
      <family val="2"/>
    </font>
    <font>
      <b/>
      <sz val="10"/>
      <color theme="0"/>
      <name val="Avenir Next LT Pro"/>
      <family val="2"/>
    </font>
    <font>
      <sz val="10"/>
      <color theme="1"/>
      <name val="Aptos"/>
    </font>
    <font>
      <b/>
      <sz val="10"/>
      <color rgb="FFFFFFFF"/>
      <name val="Aptos"/>
    </font>
    <font>
      <b/>
      <sz val="16"/>
      <color rgb="FFFFFFFF"/>
      <name val="Aptos"/>
    </font>
    <font>
      <sz val="10"/>
      <color rgb="FF44546A"/>
      <name val="Aptos"/>
    </font>
    <font>
      <i/>
      <sz val="10"/>
      <color theme="1"/>
      <name val="Aptos"/>
    </font>
    <font>
      <b/>
      <sz val="10"/>
      <color rgb="FF0070C0"/>
      <name val="Aptos"/>
    </font>
    <font>
      <sz val="11"/>
      <color theme="1"/>
      <name val="Aptos"/>
    </font>
    <font>
      <b/>
      <sz val="11"/>
      <color theme="1"/>
      <name val="Aptos"/>
    </font>
    <font>
      <b/>
      <sz val="11"/>
      <color rgb="FFFFFFFF"/>
      <name val="Aptos"/>
    </font>
    <font>
      <i/>
      <sz val="11"/>
      <color theme="1"/>
      <name val="Aptos"/>
    </font>
    <font>
      <sz val="11"/>
      <color rgb="FF1F4E79"/>
      <name val="Aptos"/>
    </font>
    <font>
      <i/>
      <sz val="11"/>
      <color rgb="FF1F4E79"/>
      <name val="Calibri"/>
      <family val="2"/>
      <charset val="1"/>
    </font>
  </fonts>
  <fills count="15">
    <fill>
      <patternFill patternType="none"/>
    </fill>
    <fill>
      <patternFill patternType="gray125"/>
    </fill>
    <fill>
      <patternFill patternType="solid">
        <fgColor rgb="FFFFFF00"/>
        <bgColor rgb="FFFFFF00"/>
      </patternFill>
    </fill>
    <fill>
      <patternFill patternType="solid">
        <fgColor rgb="FFD9E2F3"/>
        <bgColor rgb="FFD9D9D9"/>
      </patternFill>
    </fill>
    <fill>
      <patternFill patternType="solid">
        <fgColor rgb="FFE2EFDA"/>
        <bgColor rgb="FFD9E2F3"/>
      </patternFill>
    </fill>
    <fill>
      <patternFill patternType="solid">
        <fgColor theme="6"/>
        <bgColor indexed="64"/>
      </patternFill>
    </fill>
    <fill>
      <patternFill patternType="solid">
        <fgColor rgb="FF17365D"/>
        <bgColor indexed="64"/>
      </patternFill>
    </fill>
    <fill>
      <patternFill patternType="solid">
        <fgColor rgb="FFEAF2F8"/>
        <bgColor indexed="64"/>
      </patternFill>
    </fill>
    <fill>
      <patternFill patternType="solid">
        <fgColor rgb="FF1F4E78"/>
        <bgColor indexed="64"/>
      </patternFill>
    </fill>
    <fill>
      <patternFill patternType="solid">
        <fgColor rgb="FFDDEBF7"/>
        <bgColor indexed="64"/>
      </patternFill>
    </fill>
    <fill>
      <patternFill patternType="solid">
        <fgColor rgb="FFF7F9FB"/>
        <bgColor indexed="64"/>
      </patternFill>
    </fill>
    <fill>
      <patternFill patternType="solid">
        <fgColor rgb="FFD9EAF7"/>
        <bgColor indexed="64"/>
      </patternFill>
    </fill>
    <fill>
      <patternFill patternType="solid">
        <fgColor rgb="FF4472C4"/>
        <bgColor indexed="64"/>
      </patternFill>
    </fill>
    <fill>
      <patternFill patternType="solid">
        <fgColor rgb="FFFFF2CC"/>
        <bgColor indexed="64"/>
      </patternFill>
    </fill>
    <fill>
      <patternFill patternType="solid">
        <fgColor rgb="FFE2F0D9"/>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43" fontId="11" fillId="0" borderId="0" applyFont="0" applyFill="0" applyBorder="0" applyAlignment="0" applyProtection="0"/>
  </cellStyleXfs>
  <cellXfs count="110">
    <xf numFmtId="0" fontId="0" fillId="0" borderId="0" xfId="0"/>
    <xf numFmtId="0" fontId="1" fillId="0" borderId="0" xfId="0" applyFont="1"/>
    <xf numFmtId="0" fontId="2" fillId="0" borderId="0" xfId="0" applyFont="1"/>
    <xf numFmtId="0" fontId="3" fillId="0" borderId="0" xfId="0" applyFont="1"/>
    <xf numFmtId="0" fontId="5" fillId="0" borderId="1" xfId="0" applyFont="1" applyBorder="1"/>
    <xf numFmtId="3" fontId="6" fillId="0" borderId="1" xfId="0" applyNumberFormat="1" applyFont="1" applyBorder="1"/>
    <xf numFmtId="165" fontId="6" fillId="0" borderId="1" xfId="0" applyNumberFormat="1" applyFont="1" applyBorder="1"/>
    <xf numFmtId="0" fontId="6" fillId="0" borderId="1" xfId="0" applyFont="1" applyBorder="1"/>
    <xf numFmtId="164" fontId="6" fillId="0" borderId="1" xfId="0" applyNumberFormat="1" applyFont="1" applyBorder="1"/>
    <xf numFmtId="165" fontId="6" fillId="3" borderId="1" xfId="0" applyNumberFormat="1" applyFont="1" applyFill="1" applyBorder="1"/>
    <xf numFmtId="0" fontId="8" fillId="0" borderId="0" xfId="0" applyFont="1"/>
    <xf numFmtId="3" fontId="9" fillId="0" borderId="0" xfId="0" applyNumberFormat="1" applyFont="1"/>
    <xf numFmtId="164" fontId="9" fillId="0" borderId="1" xfId="0" applyNumberFormat="1" applyFont="1" applyBorder="1"/>
    <xf numFmtId="0" fontId="9" fillId="0" borderId="1" xfId="0" applyFont="1" applyBorder="1"/>
    <xf numFmtId="167" fontId="6" fillId="0" borderId="1" xfId="0" applyNumberFormat="1" applyFont="1" applyBorder="1"/>
    <xf numFmtId="165" fontId="6" fillId="0" borderId="0" xfId="0" applyNumberFormat="1" applyFont="1"/>
    <xf numFmtId="165" fontId="8" fillId="2" borderId="1" xfId="0" applyNumberFormat="1" applyFont="1" applyFill="1" applyBorder="1"/>
    <xf numFmtId="4" fontId="8" fillId="2" borderId="1" xfId="0" applyNumberFormat="1" applyFont="1" applyFill="1" applyBorder="1"/>
    <xf numFmtId="167" fontId="6" fillId="4" borderId="1" xfId="0" applyNumberFormat="1" applyFont="1" applyFill="1" applyBorder="1"/>
    <xf numFmtId="167" fontId="8" fillId="2" borderId="1" xfId="0" applyNumberFormat="1" applyFont="1" applyFill="1" applyBorder="1"/>
    <xf numFmtId="4" fontId="6" fillId="0" borderId="1" xfId="0" applyNumberFormat="1" applyFont="1" applyBorder="1"/>
    <xf numFmtId="11" fontId="6" fillId="0" borderId="1" xfId="0" applyNumberFormat="1" applyFont="1" applyBorder="1"/>
    <xf numFmtId="168" fontId="6" fillId="2" borderId="1" xfId="0" applyNumberFormat="1" applyFont="1" applyFill="1" applyBorder="1"/>
    <xf numFmtId="164" fontId="9" fillId="0" borderId="0" xfId="0" applyNumberFormat="1" applyFont="1"/>
    <xf numFmtId="0" fontId="9" fillId="0" borderId="0" xfId="0" applyFont="1"/>
    <xf numFmtId="167" fontId="6" fillId="0" borderId="0" xfId="0" applyNumberFormat="1" applyFont="1"/>
    <xf numFmtId="167" fontId="9" fillId="0" borderId="0" xfId="0" applyNumberFormat="1" applyFont="1"/>
    <xf numFmtId="169" fontId="6" fillId="0" borderId="1" xfId="0" applyNumberFormat="1" applyFont="1" applyBorder="1"/>
    <xf numFmtId="0" fontId="6" fillId="4" borderId="1" xfId="0" applyFont="1" applyFill="1" applyBorder="1"/>
    <xf numFmtId="167" fontId="9" fillId="0" borderId="1" xfId="0" applyNumberFormat="1" applyFont="1" applyBorder="1"/>
    <xf numFmtId="167" fontId="8" fillId="0" borderId="1" xfId="0" applyNumberFormat="1" applyFont="1" applyBorder="1"/>
    <xf numFmtId="4" fontId="8" fillId="0" borderId="1" xfId="0" applyNumberFormat="1" applyFont="1" applyBorder="1"/>
    <xf numFmtId="169" fontId="7" fillId="0" borderId="0" xfId="0" applyNumberFormat="1" applyFont="1"/>
    <xf numFmtId="164" fontId="8" fillId="2" borderId="1" xfId="0" applyNumberFormat="1" applyFont="1" applyFill="1" applyBorder="1"/>
    <xf numFmtId="0" fontId="8" fillId="0" borderId="1" xfId="0" applyFont="1" applyBorder="1"/>
    <xf numFmtId="4" fontId="9" fillId="0" borderId="1" xfId="0" applyNumberFormat="1" applyFont="1" applyBorder="1" applyAlignment="1">
      <alignment horizontal="center" vertical="center" wrapText="1"/>
    </xf>
    <xf numFmtId="4" fontId="10" fillId="0" borderId="1" xfId="0" applyNumberFormat="1" applyFont="1" applyBorder="1" applyAlignment="1">
      <alignment horizontal="center" vertical="center" wrapText="1"/>
    </xf>
    <xf numFmtId="0" fontId="2" fillId="0" borderId="1" xfId="0" applyFont="1" applyBorder="1"/>
    <xf numFmtId="164" fontId="9" fillId="0" borderId="1" xfId="0" applyNumberFormat="1" applyFont="1" applyBorder="1" applyAlignment="1">
      <alignment horizontal="center" vertical="center" wrapText="1"/>
    </xf>
    <xf numFmtId="164" fontId="10" fillId="0" borderId="1" xfId="0" applyNumberFormat="1" applyFont="1" applyBorder="1" applyAlignment="1">
      <alignment horizontal="center" vertical="center" wrapText="1"/>
    </xf>
    <xf numFmtId="4" fontId="9" fillId="0" borderId="1" xfId="0" applyNumberFormat="1" applyFont="1" applyBorder="1"/>
    <xf numFmtId="168" fontId="9" fillId="2" borderId="1" xfId="0" applyNumberFormat="1" applyFont="1" applyFill="1" applyBorder="1"/>
    <xf numFmtId="0" fontId="9" fillId="4" borderId="1" xfId="0" applyFont="1" applyFill="1" applyBorder="1"/>
    <xf numFmtId="166" fontId="6" fillId="0" borderId="1" xfId="0" applyNumberFormat="1" applyFont="1" applyBorder="1"/>
    <xf numFmtId="3" fontId="7" fillId="0" borderId="1" xfId="0" applyNumberFormat="1" applyFont="1" applyBorder="1"/>
    <xf numFmtId="165" fontId="6" fillId="0" borderId="1" xfId="0" applyNumberFormat="1" applyFont="1" applyBorder="1" applyAlignment="1">
      <alignment horizontal="center" vertical="center" wrapText="1"/>
    </xf>
    <xf numFmtId="165" fontId="9" fillId="0" borderId="1" xfId="0" applyNumberFormat="1" applyFont="1" applyBorder="1" applyAlignment="1">
      <alignment horizontal="center" vertical="center" wrapText="1"/>
    </xf>
    <xf numFmtId="3" fontId="6" fillId="0" borderId="0" xfId="0" applyNumberFormat="1" applyFont="1"/>
    <xf numFmtId="0" fontId="12" fillId="0" borderId="0" xfId="0" applyFont="1"/>
    <xf numFmtId="170" fontId="6" fillId="0" borderId="0" xfId="1" applyNumberFormat="1" applyFont="1"/>
    <xf numFmtId="2" fontId="6" fillId="0" borderId="1" xfId="0" applyNumberFormat="1" applyFont="1" applyBorder="1"/>
    <xf numFmtId="2" fontId="8" fillId="0" borderId="1" xfId="0" applyNumberFormat="1" applyFont="1" applyBorder="1"/>
    <xf numFmtId="171" fontId="7" fillId="0" borderId="1" xfId="1" applyNumberFormat="1" applyFont="1" applyBorder="1"/>
    <xf numFmtId="171" fontId="6" fillId="0" borderId="1" xfId="1" applyNumberFormat="1" applyFont="1" applyBorder="1"/>
    <xf numFmtId="164" fontId="0" fillId="0" borderId="0" xfId="0" applyNumberFormat="1"/>
    <xf numFmtId="165" fontId="0" fillId="0" borderId="0" xfId="0" applyNumberFormat="1"/>
    <xf numFmtId="172" fontId="0" fillId="0" borderId="0" xfId="0" applyNumberFormat="1"/>
    <xf numFmtId="0" fontId="14" fillId="0" borderId="0" xfId="0" applyFont="1"/>
    <xf numFmtId="0" fontId="15" fillId="0" borderId="0" xfId="0" applyFont="1"/>
    <xf numFmtId="0" fontId="16" fillId="0" borderId="0" xfId="0" applyFont="1"/>
    <xf numFmtId="0" fontId="17" fillId="0" borderId="1" xfId="0" applyFont="1" applyBorder="1"/>
    <xf numFmtId="3" fontId="17" fillId="0" borderId="1" xfId="0" applyNumberFormat="1" applyFont="1" applyBorder="1"/>
    <xf numFmtId="164" fontId="17" fillId="0" borderId="1" xfId="0" applyNumberFormat="1" applyFont="1" applyBorder="1"/>
    <xf numFmtId="165" fontId="17" fillId="0" borderId="1" xfId="0" applyNumberFormat="1" applyFont="1" applyBorder="1"/>
    <xf numFmtId="166" fontId="17" fillId="2" borderId="1" xfId="0" applyNumberFormat="1" applyFont="1" applyFill="1" applyBorder="1"/>
    <xf numFmtId="165" fontId="17" fillId="3" borderId="1" xfId="0" applyNumberFormat="1" applyFont="1" applyFill="1" applyBorder="1"/>
    <xf numFmtId="0" fontId="18" fillId="5"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13" fillId="5" borderId="0" xfId="0" applyFont="1" applyFill="1"/>
    <xf numFmtId="0" fontId="19" fillId="0" borderId="0" xfId="0" applyFont="1" applyAlignment="1">
      <alignment vertical="center"/>
    </xf>
    <xf numFmtId="0" fontId="20" fillId="8" borderId="0" xfId="0" applyFont="1" applyFill="1" applyAlignment="1">
      <alignment vertical="center"/>
    </xf>
    <xf numFmtId="0" fontId="19" fillId="10" borderId="0" xfId="0" applyFont="1" applyFill="1" applyAlignment="1">
      <alignment vertical="center"/>
    </xf>
    <xf numFmtId="0" fontId="20" fillId="10" borderId="0" xfId="0" applyFont="1" applyFill="1" applyAlignment="1">
      <alignment vertical="center"/>
    </xf>
    <xf numFmtId="165" fontId="19" fillId="0" borderId="0" xfId="0" applyNumberFormat="1" applyFont="1" applyAlignment="1">
      <alignment vertical="center"/>
    </xf>
    <xf numFmtId="1" fontId="19" fillId="0" borderId="0" xfId="0" applyNumberFormat="1" applyFont="1" applyAlignment="1">
      <alignment vertical="center"/>
    </xf>
    <xf numFmtId="2" fontId="24" fillId="9" borderId="0" xfId="0" applyNumberFormat="1" applyFont="1" applyFill="1" applyAlignment="1">
      <alignment vertical="center"/>
    </xf>
    <xf numFmtId="164" fontId="24" fillId="9" borderId="0" xfId="0" applyNumberFormat="1" applyFont="1" applyFill="1" applyAlignment="1">
      <alignment vertical="center"/>
    </xf>
    <xf numFmtId="173" fontId="19" fillId="0" borderId="0" xfId="0" applyNumberFormat="1" applyFont="1" applyAlignment="1">
      <alignment vertical="center"/>
    </xf>
    <xf numFmtId="173" fontId="20" fillId="8" borderId="0" xfId="0" applyNumberFormat="1" applyFont="1" applyFill="1" applyAlignment="1">
      <alignment vertical="center"/>
    </xf>
    <xf numFmtId="164" fontId="19" fillId="0" borderId="0" xfId="0" applyNumberFormat="1" applyFont="1" applyAlignment="1">
      <alignment vertical="center"/>
    </xf>
    <xf numFmtId="3" fontId="19" fillId="10" borderId="0" xfId="0" applyNumberFormat="1" applyFont="1" applyFill="1" applyAlignment="1">
      <alignment vertical="center"/>
    </xf>
    <xf numFmtId="166" fontId="19" fillId="0" borderId="0" xfId="0" applyNumberFormat="1" applyFont="1" applyAlignment="1">
      <alignment vertical="center"/>
    </xf>
    <xf numFmtId="0" fontId="19" fillId="0" borderId="0" xfId="0" applyFont="1" applyAlignment="1">
      <alignment vertical="center" wrapText="1"/>
    </xf>
    <xf numFmtId="0" fontId="20" fillId="8" borderId="0" xfId="0" applyFont="1" applyFill="1" applyAlignment="1">
      <alignment vertical="center" wrapText="1"/>
    </xf>
    <xf numFmtId="0" fontId="25" fillId="0" borderId="0" xfId="0" applyFont="1"/>
    <xf numFmtId="0" fontId="26" fillId="0" borderId="0" xfId="0" applyFont="1"/>
    <xf numFmtId="0" fontId="25" fillId="13" borderId="0" xfId="0" applyFont="1" applyFill="1"/>
    <xf numFmtId="0" fontId="27" fillId="12" borderId="0" xfId="0" applyFont="1" applyFill="1"/>
    <xf numFmtId="166" fontId="25" fillId="0" borderId="0" xfId="0" applyNumberFormat="1" applyFont="1"/>
    <xf numFmtId="169" fontId="25" fillId="0" borderId="0" xfId="0" applyNumberFormat="1" applyFont="1"/>
    <xf numFmtId="174" fontId="25" fillId="14" borderId="0" xfId="0" applyNumberFormat="1" applyFont="1" applyFill="1"/>
    <xf numFmtId="164" fontId="25" fillId="14" borderId="0" xfId="0" applyNumberFormat="1" applyFont="1" applyFill="1"/>
    <xf numFmtId="166" fontId="25" fillId="14" borderId="0" xfId="0" applyNumberFormat="1" applyFont="1" applyFill="1"/>
    <xf numFmtId="174" fontId="25" fillId="0" borderId="0" xfId="0" applyNumberFormat="1" applyFont="1"/>
    <xf numFmtId="164" fontId="25" fillId="0" borderId="0" xfId="0" applyNumberFormat="1" applyFont="1"/>
    <xf numFmtId="174" fontId="29" fillId="9" borderId="0" xfId="0" applyNumberFormat="1" applyFont="1" applyFill="1"/>
    <xf numFmtId="165" fontId="29" fillId="9" borderId="0" xfId="0" applyNumberFormat="1" applyFont="1" applyFill="1"/>
    <xf numFmtId="164" fontId="29" fillId="9" borderId="0" xfId="0" applyNumberFormat="1" applyFont="1" applyFill="1"/>
    <xf numFmtId="0" fontId="15" fillId="0" borderId="0" xfId="0" applyFont="1" applyAlignment="1">
      <alignment vertical="top" wrapText="1"/>
    </xf>
    <xf numFmtId="0" fontId="2" fillId="0" borderId="0" xfId="0" applyFont="1" applyAlignment="1">
      <alignment vertical="top" wrapText="1"/>
    </xf>
    <xf numFmtId="0" fontId="5" fillId="0" borderId="0" xfId="0" applyFont="1" applyAlignment="1">
      <alignment vertical="top" wrapText="1"/>
    </xf>
    <xf numFmtId="0" fontId="21" fillId="6" borderId="0" xfId="0" applyFont="1" applyFill="1" applyAlignment="1">
      <alignment vertical="center"/>
    </xf>
    <xf numFmtId="0" fontId="22" fillId="0" borderId="0" xfId="0" applyFont="1" applyAlignment="1">
      <alignment vertical="center"/>
    </xf>
    <xf numFmtId="0" fontId="23" fillId="7" borderId="0" xfId="0" applyFont="1" applyFill="1" applyAlignment="1">
      <alignment vertical="center"/>
    </xf>
    <xf numFmtId="0" fontId="20" fillId="8" borderId="0" xfId="0" applyFont="1" applyFill="1" applyAlignment="1">
      <alignment vertical="center"/>
    </xf>
    <xf numFmtId="0" fontId="21" fillId="6" borderId="0" xfId="0" applyFont="1" applyFill="1"/>
    <xf numFmtId="0" fontId="25" fillId="11" borderId="0" xfId="0" applyFont="1" applyFill="1"/>
    <xf numFmtId="0" fontId="28" fillId="0" borderId="0" xfId="0" applyFont="1"/>
    <xf numFmtId="0" fontId="30" fillId="0" borderId="0" xfId="0" applyFont="1"/>
    <xf numFmtId="0" fontId="0" fillId="0" borderId="0" xfId="0"/>
  </cellXfs>
  <cellStyles count="2">
    <cellStyle name="Comma" xfId="1" builtinId="3"/>
    <cellStyle name="Normal" xfId="0" builtinId="0"/>
  </cellStyles>
  <dxfs count="9">
    <dxf>
      <font>
        <name val="Aptos"/>
      </font>
      <numFmt numFmtId="169" formatCode="0.000000"/>
    </dxf>
    <dxf>
      <font>
        <name val="Aptos"/>
      </font>
      <numFmt numFmtId="166" formatCode="0.0%"/>
    </dxf>
    <dxf>
      <font>
        <name val="Aptos"/>
      </font>
      <numFmt numFmtId="164" formatCode="#,##0.0"/>
    </dxf>
    <dxf>
      <font>
        <name val="Aptos"/>
      </font>
      <numFmt numFmtId="174" formatCode="0.000"/>
    </dxf>
    <dxf>
      <font>
        <name val="Aptos"/>
      </font>
    </dxf>
    <dxf>
      <font>
        <name val="Aptos"/>
      </font>
    </dxf>
    <dxf>
      <font>
        <name val="Aptos"/>
      </font>
    </dxf>
    <dxf>
      <font>
        <name val="Aptos"/>
      </font>
    </dxf>
    <dxf>
      <font>
        <name val="Aptos"/>
      </font>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7F7F7F"/>
      <rgbColor rgb="FF800080"/>
      <rgbColor rgb="FF008080"/>
      <rgbColor rgb="FFBFBFBF"/>
      <rgbColor rgb="FF808080"/>
      <rgbColor rgb="FF9999FF"/>
      <rgbColor rgb="FF993366"/>
      <rgbColor rgb="FFFFFFCC"/>
      <rgbColor rgb="FFD9E2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DC3E6"/>
      <rgbColor rgb="FFFF99CC"/>
      <rgbColor rgb="FFCC99FF"/>
      <rgbColor rgb="FFFFCC99"/>
      <rgbColor rgb="FF2E75B6"/>
      <rgbColor rgb="FF33CCCC"/>
      <rgbColor rgb="FF99CC00"/>
      <rgbColor rgb="FFFFCC00"/>
      <rgbColor rgb="FFFF9900"/>
      <rgbColor rgb="FFFF6600"/>
      <rgbColor rgb="FF595959"/>
      <rgbColor rgb="FF878787"/>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300" b="0" u="none" strike="noStrike">
                <a:uFillTx/>
                <a:latin typeface="Arial"/>
              </a:defRPr>
            </a:pPr>
            <a:r>
              <a:rPr lang="en-US" sz="1800" b="1" u="none" strike="noStrike">
                <a:solidFill>
                  <a:srgbClr val="000000"/>
                </a:solidFill>
                <a:uFillTx/>
                <a:latin typeface="Calibri"/>
              </a:rPr>
              <a:t>Papel de probabilidad Weibull  —  ln(-ln(1-F)) vs ln(t)</a:t>
            </a:r>
          </a:p>
        </c:rich>
      </c:tx>
      <c:overlay val="0"/>
      <c:spPr>
        <a:noFill/>
        <a:ln w="0">
          <a:noFill/>
        </a:ln>
      </c:spPr>
    </c:title>
    <c:autoTitleDeleted val="0"/>
    <c:plotArea>
      <c:layout>
        <c:manualLayout>
          <c:layoutTarget val="inner"/>
          <c:xMode val="edge"/>
          <c:yMode val="edge"/>
          <c:x val="0.12104140013175196"/>
          <c:y val="0.17701041042826746"/>
          <c:w val="0.84728229767297536"/>
          <c:h val="0.6929249167988194"/>
        </c:manualLayout>
      </c:layout>
      <c:scatterChart>
        <c:scatterStyle val="lineMarker"/>
        <c:varyColors val="0"/>
        <c:ser>
          <c:idx val="0"/>
          <c:order val="0"/>
          <c:tx>
            <c:strRef>
              <c:f>Metodo_Grafico!$K$6</c:f>
              <c:strCache>
                <c:ptCount val="1"/>
                <c:pt idx="0">
                  <c:v>Metodo Grafico</c:v>
                </c:pt>
              </c:strCache>
            </c:strRef>
          </c:tx>
          <c:spPr>
            <a:ln w="28575">
              <a:noFill/>
            </a:ln>
          </c:spPr>
          <c:marker>
            <c:symbol val="circle"/>
            <c:size val="6"/>
            <c:spPr>
              <a:solidFill>
                <a:srgbClr val="FF0000">
                  <a:alpha val="9000"/>
                </a:srgbClr>
              </a:solidFill>
              <a:ln>
                <a:solidFill>
                  <a:srgbClr val="FF0000"/>
                </a:solidFill>
              </a:ln>
            </c:spPr>
          </c:marker>
          <c:trendline>
            <c:spPr>
              <a:ln w="28575">
                <a:solidFill>
                  <a:schemeClr val="tx1"/>
                </a:solidFill>
              </a:ln>
            </c:spPr>
            <c:trendlineType val="linear"/>
            <c:dispRSqr val="1"/>
            <c:dispEq val="1"/>
            <c:trendlineLbl>
              <c:layout>
                <c:manualLayout>
                  <c:x val="-0.378176953557118"/>
                  <c:y val="7.7509769604030082E-2"/>
                </c:manualLayout>
              </c:layout>
              <c:numFmt formatCode="General" sourceLinked="0"/>
              <c:spPr>
                <a:solidFill>
                  <a:schemeClr val="bg1"/>
                </a:solidFill>
              </c:spPr>
            </c:trendlineLbl>
          </c:trendline>
          <c:xVal>
            <c:numRef>
              <c:f>Metodo_Grafico!$K$8:$K$207</c:f>
              <c:numCache>
                <c:formatCode>_(* #,##0.0_);_(* \(#,##0.0\);_(* "-"??_);_(@_)</c:formatCode>
                <c:ptCount val="200"/>
                <c:pt idx="0">
                  <c:v>5.9957055413652363</c:v>
                </c:pt>
                <c:pt idx="1">
                  <c:v>6.1076908160761141</c:v>
                </c:pt>
                <c:pt idx="2">
                  <c:v>6.1213957167000128</c:v>
                </c:pt>
                <c:pt idx="3">
                  <c:v>6.26966430417027</c:v>
                </c:pt>
                <c:pt idx="4">
                  <c:v>6.4002574453088208</c:v>
                </c:pt>
                <c:pt idx="5">
                  <c:v>6.5618789622856299</c:v>
                </c:pt>
                <c:pt idx="6">
                  <c:v>6.7101576346356664</c:v>
                </c:pt>
                <c:pt idx="7">
                  <c:v>6.7703306030704651</c:v>
                </c:pt>
                <c:pt idx="8">
                  <c:v>6.7726226049906408</c:v>
                </c:pt>
                <c:pt idx="9">
                  <c:v>6.8476867525160179</c:v>
                </c:pt>
                <c:pt idx="10">
                  <c:v>#N/A</c:v>
                </c:pt>
                <c:pt idx="11">
                  <c:v>#N/A</c:v>
                </c:pt>
                <c:pt idx="12">
                  <c:v>#N/A</c:v>
                </c:pt>
                <c:pt idx="13">
                  <c:v>6.9820275233567246</c:v>
                </c:pt>
                <c:pt idx="14">
                  <c:v>7.0023379214680848</c:v>
                </c:pt>
                <c:pt idx="15">
                  <c:v>#N/A</c:v>
                </c:pt>
                <c:pt idx="16">
                  <c:v>7.0575536440705315</c:v>
                </c:pt>
                <c:pt idx="17">
                  <c:v>#N/A</c:v>
                </c:pt>
                <c:pt idx="18">
                  <c:v>7.1155008881162498</c:v>
                </c:pt>
                <c:pt idx="19">
                  <c:v>#N/A</c:v>
                </c:pt>
                <c:pt idx="20">
                  <c:v>#N/A</c:v>
                </c:pt>
                <c:pt idx="21">
                  <c:v>#N/A</c:v>
                </c:pt>
                <c:pt idx="22">
                  <c:v>7.2154605426393843</c:v>
                </c:pt>
                <c:pt idx="23">
                  <c:v>7.2391431836939857</c:v>
                </c:pt>
                <c:pt idx="24">
                  <c:v>7.273716967312601</c:v>
                </c:pt>
                <c:pt idx="25">
                  <c:v>7.2739250044826589</c:v>
                </c:pt>
                <c:pt idx="26">
                  <c:v>#N/A</c:v>
                </c:pt>
                <c:pt idx="27">
                  <c:v>7.2948527297321162</c:v>
                </c:pt>
                <c:pt idx="28">
                  <c:v>#N/A</c:v>
                </c:pt>
                <c:pt idx="29">
                  <c:v>#N/A</c:v>
                </c:pt>
                <c:pt idx="30">
                  <c:v>#N/A</c:v>
                </c:pt>
                <c:pt idx="31">
                  <c:v>#N/A</c:v>
                </c:pt>
                <c:pt idx="32">
                  <c:v>#N/A</c:v>
                </c:pt>
                <c:pt idx="33">
                  <c:v>#N/A</c:v>
                </c:pt>
                <c:pt idx="34">
                  <c:v>#N/A</c:v>
                </c:pt>
                <c:pt idx="35">
                  <c:v>7.4039747503587652</c:v>
                </c:pt>
                <c:pt idx="36">
                  <c:v>#N/A</c:v>
                </c:pt>
                <c:pt idx="37">
                  <c:v>#N/A</c:v>
                </c:pt>
                <c:pt idx="38">
                  <c:v>7.4547199493640006</c:v>
                </c:pt>
                <c:pt idx="39">
                  <c:v>#N/A</c:v>
                </c:pt>
                <c:pt idx="40">
                  <c:v>#N/A</c:v>
                </c:pt>
                <c:pt idx="41">
                  <c:v>#N/A</c:v>
                </c:pt>
                <c:pt idx="42">
                  <c:v>7.5415239360225819</c:v>
                </c:pt>
                <c:pt idx="43">
                  <c:v>#N/A</c:v>
                </c:pt>
                <c:pt idx="44">
                  <c:v>7.5498196693127664</c:v>
                </c:pt>
                <c:pt idx="45">
                  <c:v>#N/A</c:v>
                </c:pt>
                <c:pt idx="46">
                  <c:v>7.5899931690340461</c:v>
                </c:pt>
                <c:pt idx="47">
                  <c:v>7.6054919118758892</c:v>
                </c:pt>
                <c:pt idx="48">
                  <c:v>7.620705086838262</c:v>
                </c:pt>
                <c:pt idx="49">
                  <c:v>7.6322073093704947</c:v>
                </c:pt>
                <c:pt idx="50">
                  <c:v>7.6361248052518427</c:v>
                </c:pt>
                <c:pt idx="51">
                  <c:v>#N/A</c:v>
                </c:pt>
                <c:pt idx="52">
                  <c:v>7.6435308215977056</c:v>
                </c:pt>
                <c:pt idx="53">
                  <c:v>7.6547275462369901</c:v>
                </c:pt>
                <c:pt idx="54">
                  <c:v>7.6747103866868018</c:v>
                </c:pt>
                <c:pt idx="55">
                  <c:v>#N/A</c:v>
                </c:pt>
                <c:pt idx="56">
                  <c:v>7.6901945670208445</c:v>
                </c:pt>
                <c:pt idx="57">
                  <c:v>#N/A</c:v>
                </c:pt>
                <c:pt idx="58">
                  <c:v>7.7361760835996511</c:v>
                </c:pt>
                <c:pt idx="59">
                  <c:v>#N/A</c:v>
                </c:pt>
                <c:pt idx="60">
                  <c:v>7.7417073361331035</c:v>
                </c:pt>
                <c:pt idx="61">
                  <c:v>7.7573504984180239</c:v>
                </c:pt>
                <c:pt idx="62">
                  <c:v>7.7670099424730097</c:v>
                </c:pt>
                <c:pt idx="63">
                  <c:v>#N/A</c:v>
                </c:pt>
                <c:pt idx="64">
                  <c:v>7.7783370947626427</c:v>
                </c:pt>
                <c:pt idx="65">
                  <c:v>7.781639428205799</c:v>
                </c:pt>
                <c:pt idx="66">
                  <c:v>7.7880042395090268</c:v>
                </c:pt>
                <c:pt idx="67">
                  <c:v>#N/A</c:v>
                </c:pt>
                <c:pt idx="68">
                  <c:v>#N/A</c:v>
                </c:pt>
                <c:pt idx="69">
                  <c:v>7.8032308711423717</c:v>
                </c:pt>
                <c:pt idx="70">
                  <c:v>#N/A</c:v>
                </c:pt>
                <c:pt idx="71">
                  <c:v>7.8041697808514998</c:v>
                </c:pt>
                <c:pt idx="72">
                  <c:v>7.8136319725074195</c:v>
                </c:pt>
                <c:pt idx="73">
                  <c:v>7.8162557453812296</c:v>
                </c:pt>
                <c:pt idx="74">
                  <c:v>7.826243594399779</c:v>
                </c:pt>
                <c:pt idx="75">
                  <c:v>7.8546140124227097</c:v>
                </c:pt>
                <c:pt idx="76">
                  <c:v>#N/A</c:v>
                </c:pt>
                <c:pt idx="77">
                  <c:v>#N/A</c:v>
                </c:pt>
                <c:pt idx="78">
                  <c:v>#N/A</c:v>
                </c:pt>
                <c:pt idx="79">
                  <c:v>7.8960317326289129</c:v>
                </c:pt>
                <c:pt idx="80">
                  <c:v>#N/A</c:v>
                </c:pt>
                <c:pt idx="81">
                  <c:v>7.8975194960514425</c:v>
                </c:pt>
                <c:pt idx="82">
                  <c:v>#N/A</c:v>
                </c:pt>
                <c:pt idx="83">
                  <c:v>7.9339043959165307</c:v>
                </c:pt>
                <c:pt idx="84">
                  <c:v>#N/A</c:v>
                </c:pt>
                <c:pt idx="85">
                  <c:v>7.962589820304351</c:v>
                </c:pt>
                <c:pt idx="86">
                  <c:v>#N/A</c:v>
                </c:pt>
                <c:pt idx="87">
                  <c:v>#N/A</c:v>
                </c:pt>
                <c:pt idx="88">
                  <c:v>7.9956772964420564</c:v>
                </c:pt>
                <c:pt idx="89">
                  <c:v>#N/A</c:v>
                </c:pt>
                <c:pt idx="90">
                  <c:v>#N/A</c:v>
                </c:pt>
                <c:pt idx="91">
                  <c:v>8.0217158445970469</c:v>
                </c:pt>
                <c:pt idx="92">
                  <c:v>8.0293351159366377</c:v>
                </c:pt>
                <c:pt idx="93">
                  <c:v>#N/A</c:v>
                </c:pt>
                <c:pt idx="94">
                  <c:v>#N/A</c:v>
                </c:pt>
                <c:pt idx="95">
                  <c:v>#N/A</c:v>
                </c:pt>
                <c:pt idx="96">
                  <c:v>#N/A</c:v>
                </c:pt>
                <c:pt idx="97">
                  <c:v>8.0903716494795095</c:v>
                </c:pt>
                <c:pt idx="98">
                  <c:v>#N/A</c:v>
                </c:pt>
                <c:pt idx="99">
                  <c:v>8.0988555870853975</c:v>
                </c:pt>
                <c:pt idx="100">
                  <c:v>8.1058810225161455</c:v>
                </c:pt>
                <c:pt idx="101">
                  <c:v>8.1061827362524443</c:v>
                </c:pt>
                <c:pt idx="102">
                  <c:v>8.1093452466062796</c:v>
                </c:pt>
                <c:pt idx="103">
                  <c:v>8.1164170727942047</c:v>
                </c:pt>
                <c:pt idx="104">
                  <c:v>8.1255422271414446</c:v>
                </c:pt>
                <c:pt idx="105">
                  <c:v>8.1278474651879566</c:v>
                </c:pt>
                <c:pt idx="106">
                  <c:v>8.1300590399927959</c:v>
                </c:pt>
                <c:pt idx="107">
                  <c:v>#N/A</c:v>
                </c:pt>
                <c:pt idx="108">
                  <c:v>8.1458686064278041</c:v>
                </c:pt>
                <c:pt idx="109">
                  <c:v>8.1472593063477277</c:v>
                </c:pt>
                <c:pt idx="110">
                  <c:v>8.1475487922228389</c:v>
                </c:pt>
                <c:pt idx="111">
                  <c:v>#N/A</c:v>
                </c:pt>
                <c:pt idx="112">
                  <c:v>8.1519963245352702</c:v>
                </c:pt>
                <c:pt idx="113">
                  <c:v>8.1632003616770348</c:v>
                </c:pt>
                <c:pt idx="114">
                  <c:v>8.1864365893909081</c:v>
                </c:pt>
                <c:pt idx="115">
                  <c:v>8.196960378670072</c:v>
                </c:pt>
                <c:pt idx="116">
                  <c:v>8.1991068927861175</c:v>
                </c:pt>
                <c:pt idx="117">
                  <c:v>#N/A</c:v>
                </c:pt>
                <c:pt idx="118">
                  <c:v>8.2102603393723186</c:v>
                </c:pt>
                <c:pt idx="119">
                  <c:v>8.2139235956227434</c:v>
                </c:pt>
                <c:pt idx="120">
                  <c:v>8.228443883004033</c:v>
                </c:pt>
                <c:pt idx="121">
                  <c:v>8.231934846030228</c:v>
                </c:pt>
                <c:pt idx="122">
                  <c:v>#N/A</c:v>
                </c:pt>
                <c:pt idx="123">
                  <c:v>8.2575671745246133</c:v>
                </c:pt>
                <c:pt idx="124">
                  <c:v>8.2608805787105144</c:v>
                </c:pt>
                <c:pt idx="125">
                  <c:v>8.2612681505776475</c:v>
                </c:pt>
                <c:pt idx="126">
                  <c:v>8.262920104905108</c:v>
                </c:pt>
                <c:pt idx="127">
                  <c:v>8.2662929630569852</c:v>
                </c:pt>
                <c:pt idx="128">
                  <c:v>8.2799507157225261</c:v>
                </c:pt>
                <c:pt idx="129">
                  <c:v>#N/A</c:v>
                </c:pt>
                <c:pt idx="130">
                  <c:v>#N/A</c:v>
                </c:pt>
                <c:pt idx="131">
                  <c:v>8.3046185914512627</c:v>
                </c:pt>
                <c:pt idx="132">
                  <c:v>#N/A</c:v>
                </c:pt>
                <c:pt idx="133">
                  <c:v>8.3218107108874175</c:v>
                </c:pt>
                <c:pt idx="134">
                  <c:v>8.3232442983813026</c:v>
                </c:pt>
                <c:pt idx="135">
                  <c:v>#N/A</c:v>
                </c:pt>
                <c:pt idx="136">
                  <c:v>8.3492714577272213</c:v>
                </c:pt>
                <c:pt idx="137">
                  <c:v>8.3503590825566203</c:v>
                </c:pt>
                <c:pt idx="138">
                  <c:v>#N/A</c:v>
                </c:pt>
                <c:pt idx="139">
                  <c:v>#N/A</c:v>
                </c:pt>
                <c:pt idx="140">
                  <c:v>8.3669282855146001</c:v>
                </c:pt>
                <c:pt idx="141">
                  <c:v>8.3864009011662137</c:v>
                </c:pt>
                <c:pt idx="142">
                  <c:v>#N/A</c:v>
                </c:pt>
                <c:pt idx="143">
                  <c:v>8.4187862215033533</c:v>
                </c:pt>
                <c:pt idx="144">
                  <c:v>8.4191833708587929</c:v>
                </c:pt>
                <c:pt idx="145">
                  <c:v>8.4302399945522932</c:v>
                </c:pt>
                <c:pt idx="146">
                  <c:v>8.4377169899144402</c:v>
                </c:pt>
                <c:pt idx="147">
                  <c:v>#N/A</c:v>
                </c:pt>
                <c:pt idx="148">
                  <c:v>#N/A</c:v>
                </c:pt>
                <c:pt idx="149">
                  <c:v>8.4487430297785089</c:v>
                </c:pt>
                <c:pt idx="150">
                  <c:v>8.461638197293917</c:v>
                </c:pt>
                <c:pt idx="151">
                  <c:v>8.4715052104968205</c:v>
                </c:pt>
                <c:pt idx="152">
                  <c:v>#N/A</c:v>
                </c:pt>
                <c:pt idx="153">
                  <c:v>8.4817525248762191</c:v>
                </c:pt>
                <c:pt idx="154">
                  <c:v>#N/A</c:v>
                </c:pt>
                <c:pt idx="155">
                  <c:v>#N/A</c:v>
                </c:pt>
                <c:pt idx="156">
                  <c:v>8.4879291457297104</c:v>
                </c:pt>
                <c:pt idx="157">
                  <c:v>#N/A</c:v>
                </c:pt>
                <c:pt idx="158">
                  <c:v>8.5294774302494574</c:v>
                </c:pt>
                <c:pt idx="159">
                  <c:v>8.5373878987017573</c:v>
                </c:pt>
                <c:pt idx="160">
                  <c:v>8.5519810169019017</c:v>
                </c:pt>
                <c:pt idx="161">
                  <c:v>#N/A</c:v>
                </c:pt>
                <c:pt idx="162">
                  <c:v>#N/A</c:v>
                </c:pt>
                <c:pt idx="163">
                  <c:v>8.5711888311772491</c:v>
                </c:pt>
                <c:pt idx="164">
                  <c:v>8.5882293073900726</c:v>
                </c:pt>
                <c:pt idx="165">
                  <c:v>8.5920408899049594</c:v>
                </c:pt>
                <c:pt idx="166">
                  <c:v>8.6222016451075216</c:v>
                </c:pt>
                <c:pt idx="167">
                  <c:v>8.6267110533220919</c:v>
                </c:pt>
                <c:pt idx="168">
                  <c:v>8.6297894657186269</c:v>
                </c:pt>
                <c:pt idx="169">
                  <c:v>8.6365039484007884</c:v>
                </c:pt>
                <c:pt idx="170">
                  <c:v>8.642838571016636</c:v>
                </c:pt>
                <c:pt idx="171">
                  <c:v>#N/A</c:v>
                </c:pt>
                <c:pt idx="172">
                  <c:v>8.6521785265538984</c:v>
                </c:pt>
                <c:pt idx="173">
                  <c:v>8.653278819202999</c:v>
                </c:pt>
                <c:pt idx="174">
                  <c:v>8.6597685636876758</c:v>
                </c:pt>
                <c:pt idx="175">
                  <c:v>#N/A</c:v>
                </c:pt>
                <c:pt idx="176">
                  <c:v>8.6748804672518318</c:v>
                </c:pt>
                <c:pt idx="177">
                  <c:v>8.6751879020524552</c:v>
                </c:pt>
                <c:pt idx="178">
                  <c:v>8.6929767553704398</c:v>
                </c:pt>
                <c:pt idx="179">
                  <c:v>8.7055133870135926</c:v>
                </c:pt>
                <c:pt idx="180">
                  <c:v>8.7077143725531467</c:v>
                </c:pt>
                <c:pt idx="181">
                  <c:v>#N/A</c:v>
                </c:pt>
                <c:pt idx="182">
                  <c:v>#N/A</c:v>
                </c:pt>
                <c:pt idx="183">
                  <c:v>#N/A</c:v>
                </c:pt>
                <c:pt idx="184">
                  <c:v>8.7445837115777696</c:v>
                </c:pt>
                <c:pt idx="185">
                  <c:v>8.7451889517013672</c:v>
                </c:pt>
                <c:pt idx="186">
                  <c:v>#N/A</c:v>
                </c:pt>
                <c:pt idx="187">
                  <c:v>8.8270574108016664</c:v>
                </c:pt>
                <c:pt idx="188">
                  <c:v>8.8724591431915503</c:v>
                </c:pt>
                <c:pt idx="189">
                  <c:v>8.8910988306166363</c:v>
                </c:pt>
                <c:pt idx="190">
                  <c:v>8.9030540525495443</c:v>
                </c:pt>
                <c:pt idx="191">
                  <c:v>#N/A</c:v>
                </c:pt>
                <c:pt idx="192">
                  <c:v>#N/A</c:v>
                </c:pt>
                <c:pt idx="193">
                  <c:v>#N/A</c:v>
                </c:pt>
                <c:pt idx="194">
                  <c:v>8.9793410446963886</c:v>
                </c:pt>
                <c:pt idx="195">
                  <c:v>#N/A</c:v>
                </c:pt>
                <c:pt idx="196">
                  <c:v>8.9999155930697476</c:v>
                </c:pt>
                <c:pt idx="197">
                  <c:v>#N/A</c:v>
                </c:pt>
                <c:pt idx="198">
                  <c:v>#N/A</c:v>
                </c:pt>
                <c:pt idx="199">
                  <c:v>#N/A</c:v>
                </c:pt>
              </c:numCache>
            </c:numRef>
          </c:xVal>
          <c:yVal>
            <c:numRef>
              <c:f>Metodo_Grafico!$L$8:$L$207</c:f>
              <c:numCache>
                <c:formatCode>_(* #,##0.0_);_(* \(#,##0.0\);_(* "-"??_);_(@_)</c:formatCode>
                <c:ptCount val="200"/>
                <c:pt idx="0">
                  <c:v>-5.6552412589175045</c:v>
                </c:pt>
                <c:pt idx="1">
                  <c:v>-4.765430532366226</c:v>
                </c:pt>
                <c:pt idx="2">
                  <c:v>-4.3002889433146096</c:v>
                </c:pt>
                <c:pt idx="3">
                  <c:v>-3.9826791979116569</c:v>
                </c:pt>
                <c:pt idx="4">
                  <c:v>-3.7409100809514522</c:v>
                </c:pt>
                <c:pt idx="5">
                  <c:v>-3.545456158937748</c:v>
                </c:pt>
                <c:pt idx="6">
                  <c:v>-3.3812536232148691</c:v>
                </c:pt>
                <c:pt idx="7">
                  <c:v>-3.2395686065793727</c:v>
                </c:pt>
                <c:pt idx="8">
                  <c:v>-3.1148825623951741</c:v>
                </c:pt>
                <c:pt idx="9">
                  <c:v>-3.0034851172440451</c:v>
                </c:pt>
                <c:pt idx="10">
                  <c:v>#N/A</c:v>
                </c:pt>
                <c:pt idx="11">
                  <c:v>#N/A</c:v>
                </c:pt>
                <c:pt idx="12">
                  <c:v>#N/A</c:v>
                </c:pt>
                <c:pt idx="13">
                  <c:v>-2.9012294160884444</c:v>
                </c:pt>
                <c:pt idx="14">
                  <c:v>-2.8079910717338232</c:v>
                </c:pt>
                <c:pt idx="15">
                  <c:v>#N/A</c:v>
                </c:pt>
                <c:pt idx="16">
                  <c:v>-2.7218230509464214</c:v>
                </c:pt>
                <c:pt idx="17">
                  <c:v>#N/A</c:v>
                </c:pt>
                <c:pt idx="18">
                  <c:v>-2.6416584163993959</c:v>
                </c:pt>
                <c:pt idx="19">
                  <c:v>#N/A</c:v>
                </c:pt>
                <c:pt idx="20">
                  <c:v>#N/A</c:v>
                </c:pt>
                <c:pt idx="21">
                  <c:v>#N/A</c:v>
                </c:pt>
                <c:pt idx="22">
                  <c:v>-2.5658437572789405</c:v>
                </c:pt>
                <c:pt idx="23">
                  <c:v>-2.4949902134152451</c:v>
                </c:pt>
                <c:pt idx="24">
                  <c:v>-2.4284631784205808</c:v>
                </c:pt>
                <c:pt idx="25">
                  <c:v>-2.3657421955415652</c:v>
                </c:pt>
                <c:pt idx="26">
                  <c:v>#N/A</c:v>
                </c:pt>
                <c:pt idx="27">
                  <c:v>-2.3060630623619573</c:v>
                </c:pt>
                <c:pt idx="28">
                  <c:v>#N/A</c:v>
                </c:pt>
                <c:pt idx="29">
                  <c:v>#N/A</c:v>
                </c:pt>
                <c:pt idx="30">
                  <c:v>#N/A</c:v>
                </c:pt>
                <c:pt idx="31">
                  <c:v>#N/A</c:v>
                </c:pt>
                <c:pt idx="32">
                  <c:v>#N/A</c:v>
                </c:pt>
                <c:pt idx="33">
                  <c:v>#N/A</c:v>
                </c:pt>
                <c:pt idx="34">
                  <c:v>#N/A</c:v>
                </c:pt>
                <c:pt idx="35">
                  <c:v>-2.2471017103167159</c:v>
                </c:pt>
                <c:pt idx="36">
                  <c:v>#N/A</c:v>
                </c:pt>
                <c:pt idx="37">
                  <c:v>#N/A</c:v>
                </c:pt>
                <c:pt idx="38">
                  <c:v>-2.1904242156204843</c:v>
                </c:pt>
                <c:pt idx="39">
                  <c:v>#N/A</c:v>
                </c:pt>
                <c:pt idx="40">
                  <c:v>#N/A</c:v>
                </c:pt>
                <c:pt idx="41">
                  <c:v>#N/A</c:v>
                </c:pt>
                <c:pt idx="42">
                  <c:v>-2.1354698406120405</c:v>
                </c:pt>
                <c:pt idx="43">
                  <c:v>#N/A</c:v>
                </c:pt>
                <c:pt idx="44">
                  <c:v>-2.0827297774256639</c:v>
                </c:pt>
                <c:pt idx="45">
                  <c:v>#N/A</c:v>
                </c:pt>
                <c:pt idx="46">
                  <c:v>-2.0319995563743638</c:v>
                </c:pt>
                <c:pt idx="47">
                  <c:v>-1.983411573739954</c:v>
                </c:pt>
                <c:pt idx="48">
                  <c:v>-1.9367780135538448</c:v>
                </c:pt>
                <c:pt idx="49">
                  <c:v>-1.8919344918613703</c:v>
                </c:pt>
                <c:pt idx="50">
                  <c:v>-1.8487363088551199</c:v>
                </c:pt>
                <c:pt idx="51">
                  <c:v>#N/A</c:v>
                </c:pt>
                <c:pt idx="52">
                  <c:v>-1.8067805452170425</c:v>
                </c:pt>
                <c:pt idx="53">
                  <c:v>-1.7662464082841083</c:v>
                </c:pt>
                <c:pt idx="54">
                  <c:v>-1.7270302593094691</c:v>
                </c:pt>
                <c:pt idx="55">
                  <c:v>#N/A</c:v>
                </c:pt>
                <c:pt idx="56">
                  <c:v>-1.6887812563951505</c:v>
                </c:pt>
                <c:pt idx="57">
                  <c:v>#N/A</c:v>
                </c:pt>
                <c:pt idx="58">
                  <c:v>-1.6514335263193833</c:v>
                </c:pt>
                <c:pt idx="59">
                  <c:v>#N/A</c:v>
                </c:pt>
                <c:pt idx="60">
                  <c:v>-1.6149268568360173</c:v>
                </c:pt>
                <c:pt idx="61">
                  <c:v>-1.5794576071237121</c:v>
                </c:pt>
                <c:pt idx="62">
                  <c:v>-1.5449598938675893</c:v>
                </c:pt>
                <c:pt idx="63">
                  <c:v>#N/A</c:v>
                </c:pt>
                <c:pt idx="64">
                  <c:v>-1.5111318092450519</c:v>
                </c:pt>
                <c:pt idx="65">
                  <c:v>-1.4781727236169862</c:v>
                </c:pt>
                <c:pt idx="66">
                  <c:v>-1.4460314672775987</c:v>
                </c:pt>
                <c:pt idx="67">
                  <c:v>#N/A</c:v>
                </c:pt>
                <c:pt idx="68">
                  <c:v>#N/A</c:v>
                </c:pt>
                <c:pt idx="69">
                  <c:v>-1.4141914964088782</c:v>
                </c:pt>
                <c:pt idx="70">
                  <c:v>#N/A</c:v>
                </c:pt>
                <c:pt idx="71">
                  <c:v>-1.3828644743341236</c:v>
                </c:pt>
                <c:pt idx="72">
                  <c:v>-1.3522558427867442</c:v>
                </c:pt>
                <c:pt idx="73">
                  <c:v>-1.322326406338759</c:v>
                </c:pt>
                <c:pt idx="74">
                  <c:v>-1.2930399358437716</c:v>
                </c:pt>
                <c:pt idx="75">
                  <c:v>-1.2643628723217009</c:v>
                </c:pt>
                <c:pt idx="76">
                  <c:v>#N/A</c:v>
                </c:pt>
                <c:pt idx="77">
                  <c:v>#N/A</c:v>
                </c:pt>
                <c:pt idx="78">
                  <c:v>#N/A</c:v>
                </c:pt>
                <c:pt idx="79">
                  <c:v>-1.235580146535713</c:v>
                </c:pt>
                <c:pt idx="80">
                  <c:v>#N/A</c:v>
                </c:pt>
                <c:pt idx="81">
                  <c:v>-1.2071406244536118</c:v>
                </c:pt>
                <c:pt idx="82">
                  <c:v>#N/A</c:v>
                </c:pt>
                <c:pt idx="83">
                  <c:v>-1.1790229811995261</c:v>
                </c:pt>
                <c:pt idx="84">
                  <c:v>#N/A</c:v>
                </c:pt>
                <c:pt idx="85">
                  <c:v>-1.1512068376152582</c:v>
                </c:pt>
                <c:pt idx="86">
                  <c:v>#N/A</c:v>
                </c:pt>
                <c:pt idx="87">
                  <c:v>#N/A</c:v>
                </c:pt>
                <c:pt idx="88">
                  <c:v>-1.1234312784782052</c:v>
                </c:pt>
                <c:pt idx="89">
                  <c:v>#N/A</c:v>
                </c:pt>
                <c:pt idx="90">
                  <c:v>#N/A</c:v>
                </c:pt>
                <c:pt idx="91">
                  <c:v>-1.0956756504645997</c:v>
                </c:pt>
                <c:pt idx="92">
                  <c:v>-1.0684235765162562</c:v>
                </c:pt>
                <c:pt idx="93">
                  <c:v>#N/A</c:v>
                </c:pt>
                <c:pt idx="94">
                  <c:v>#N/A</c:v>
                </c:pt>
                <c:pt idx="95">
                  <c:v>#N/A</c:v>
                </c:pt>
                <c:pt idx="96">
                  <c:v>#N/A</c:v>
                </c:pt>
                <c:pt idx="97">
                  <c:v>-1.0406300051233761</c:v>
                </c:pt>
                <c:pt idx="98">
                  <c:v>#N/A</c:v>
                </c:pt>
                <c:pt idx="99">
                  <c:v>-1.013061931056954</c:v>
                </c:pt>
                <c:pt idx="100">
                  <c:v>-0.98596957082891767</c:v>
                </c:pt>
                <c:pt idx="101">
                  <c:v>-0.95932970868900602</c:v>
                </c:pt>
                <c:pt idx="102">
                  <c:v>-0.93312055927151427</c:v>
                </c:pt>
                <c:pt idx="103">
                  <c:v>-0.9073216450333228</c:v>
                </c:pt>
                <c:pt idx="104">
                  <c:v>-0.88191368618297339</c:v>
                </c:pt>
                <c:pt idx="105">
                  <c:v>-0.85687850158324597</c:v>
                </c:pt>
                <c:pt idx="106">
                  <c:v>-0.83219891931908418</c:v>
                </c:pt>
                <c:pt idx="107">
                  <c:v>#N/A</c:v>
                </c:pt>
                <c:pt idx="108">
                  <c:v>-0.80759876031189937</c:v>
                </c:pt>
                <c:pt idx="109">
                  <c:v>-0.78332941289005431</c:v>
                </c:pt>
                <c:pt idx="110">
                  <c:v>-0.75937581314785152</c:v>
                </c:pt>
                <c:pt idx="111">
                  <c:v>#N/A</c:v>
                </c:pt>
                <c:pt idx="112">
                  <c:v>-0.7354595608390202</c:v>
                </c:pt>
                <c:pt idx="113">
                  <c:v>-0.71183749794113249</c:v>
                </c:pt>
                <c:pt idx="114">
                  <c:v>-0.68849623412745131</c:v>
                </c:pt>
                <c:pt idx="115">
                  <c:v>-0.66542300314490843</c:v>
                </c:pt>
                <c:pt idx="116">
                  <c:v>-0.64260561558360463</c:v>
                </c:pt>
                <c:pt idx="117">
                  <c:v>#N/A</c:v>
                </c:pt>
                <c:pt idx="118">
                  <c:v>-0.61976189181946628</c:v>
                </c:pt>
                <c:pt idx="119">
                  <c:v>-0.59715670799647735</c:v>
                </c:pt>
                <c:pt idx="120">
                  <c:v>-0.57477897462114058</c:v>
                </c:pt>
                <c:pt idx="121">
                  <c:v>-0.55261804450158114</c:v>
                </c:pt>
                <c:pt idx="122">
                  <c:v>#N/A</c:v>
                </c:pt>
                <c:pt idx="123">
                  <c:v>-0.53038351072761902</c:v>
                </c:pt>
                <c:pt idx="124">
                  <c:v>-0.50835063032741168</c:v>
                </c:pt>
                <c:pt idx="125">
                  <c:v>-0.48650952688792393</c:v>
                </c:pt>
                <c:pt idx="126">
                  <c:v>-0.4648506614235291</c:v>
                </c:pt>
                <c:pt idx="127">
                  <c:v>-0.44336480531254729</c:v>
                </c:pt>
                <c:pt idx="128">
                  <c:v>-0.42204301487604429</c:v>
                </c:pt>
                <c:pt idx="129">
                  <c:v>#N/A</c:v>
                </c:pt>
                <c:pt idx="130">
                  <c:v>#N/A</c:v>
                </c:pt>
                <c:pt idx="131">
                  <c:v>-0.40027405165393715</c:v>
                </c:pt>
                <c:pt idx="132">
                  <c:v>#N/A</c:v>
                </c:pt>
                <c:pt idx="133">
                  <c:v>-0.3783435563147447</c:v>
                </c:pt>
                <c:pt idx="134">
                  <c:v>-0.35656352196852698</c:v>
                </c:pt>
                <c:pt idx="135">
                  <c:v>#N/A</c:v>
                </c:pt>
                <c:pt idx="136">
                  <c:v>-0.33459299167477374</c:v>
                </c:pt>
                <c:pt idx="137">
                  <c:v>-0.31275887446235462</c:v>
                </c:pt>
                <c:pt idx="138">
                  <c:v>#N/A</c:v>
                </c:pt>
                <c:pt idx="139">
                  <c:v>#N/A</c:v>
                </c:pt>
                <c:pt idx="140">
                  <c:v>-0.29034239796118766</c:v>
                </c:pt>
                <c:pt idx="141">
                  <c:v>-0.26805183262899723</c:v>
                </c:pt>
                <c:pt idx="142">
                  <c:v>#N/A</c:v>
                </c:pt>
                <c:pt idx="143">
                  <c:v>-0.24549612991949399</c:v>
                </c:pt>
                <c:pt idx="144">
                  <c:v>-0.22305062923313054</c:v>
                </c:pt>
                <c:pt idx="145">
                  <c:v>-0.20070539471102447</c:v>
                </c:pt>
                <c:pt idx="146">
                  <c:v>-0.17845058294750316</c:v>
                </c:pt>
                <c:pt idx="147">
                  <c:v>#N/A</c:v>
                </c:pt>
                <c:pt idx="148">
                  <c:v>#N/A</c:v>
                </c:pt>
                <c:pt idx="149">
                  <c:v>-0.15542504022336845</c:v>
                </c:pt>
                <c:pt idx="150">
                  <c:v>-0.13247555228750046</c:v>
                </c:pt>
                <c:pt idx="151">
                  <c:v>-0.10959121428272627</c:v>
                </c:pt>
                <c:pt idx="152">
                  <c:v>#N/A</c:v>
                </c:pt>
                <c:pt idx="153">
                  <c:v>-8.6285962942053318E-2</c:v>
                </c:pt>
                <c:pt idx="154">
                  <c:v>#N/A</c:v>
                </c:pt>
                <c:pt idx="155">
                  <c:v>#N/A</c:v>
                </c:pt>
                <c:pt idx="156">
                  <c:v>-6.1992563744186428E-2</c:v>
                </c:pt>
                <c:pt idx="157">
                  <c:v>#N/A</c:v>
                </c:pt>
                <c:pt idx="158">
                  <c:v>-3.7170738301275937E-2</c:v>
                </c:pt>
                <c:pt idx="159">
                  <c:v>-1.2371346779179809E-2</c:v>
                </c:pt>
                <c:pt idx="160">
                  <c:v>1.2420515378392328E-2</c:v>
                </c:pt>
                <c:pt idx="161">
                  <c:v>#N/A</c:v>
                </c:pt>
                <c:pt idx="162">
                  <c:v>#N/A</c:v>
                </c:pt>
                <c:pt idx="163">
                  <c:v>3.8525844308349037E-2</c:v>
                </c:pt>
                <c:pt idx="164">
                  <c:v>6.4658013034205097E-2</c:v>
                </c:pt>
                <c:pt idx="165">
                  <c:v>9.0835924622700306E-2</c:v>
                </c:pt>
                <c:pt idx="166">
                  <c:v>0.11707921745534776</c:v>
                </c:pt>
                <c:pt idx="167">
                  <c:v>0.1434083954002672</c:v>
                </c:pt>
                <c:pt idx="168">
                  <c:v>0.16984497384277655</c:v>
                </c:pt>
                <c:pt idx="169">
                  <c:v>0.19641164479001394</c:v>
                </c:pt>
                <c:pt idx="170">
                  <c:v>0.22313246495533115</c:v>
                </c:pt>
                <c:pt idx="171">
                  <c:v>#N/A</c:v>
                </c:pt>
                <c:pt idx="172">
                  <c:v>0.25096421178937445</c:v>
                </c:pt>
                <c:pt idx="173">
                  <c:v>0.2790188176906902</c:v>
                </c:pt>
                <c:pt idx="174">
                  <c:v>0.30732917264057058</c:v>
                </c:pt>
                <c:pt idx="175">
                  <c:v>#N/A</c:v>
                </c:pt>
                <c:pt idx="176">
                  <c:v>0.33708169247911829</c:v>
                </c:pt>
                <c:pt idx="177">
                  <c:v>0.36719354917288943</c:v>
                </c:pt>
                <c:pt idx="178">
                  <c:v>0.39771339246630039</c:v>
                </c:pt>
                <c:pt idx="179">
                  <c:v>0.4286953480458382</c:v>
                </c:pt>
                <c:pt idx="180">
                  <c:v>0.46020008263262085</c:v>
                </c:pt>
                <c:pt idx="181">
                  <c:v>#N/A</c:v>
                </c:pt>
                <c:pt idx="182">
                  <c:v>#N/A</c:v>
                </c:pt>
                <c:pt idx="183">
                  <c:v>#N/A</c:v>
                </c:pt>
                <c:pt idx="184">
                  <c:v>0.49802723115571057</c:v>
                </c:pt>
                <c:pt idx="185">
                  <c:v>0.53680203446347041</c:v>
                </c:pt>
                <c:pt idx="186">
                  <c:v>#N/A</c:v>
                </c:pt>
                <c:pt idx="187">
                  <c:v>0.57957139617651965</c:v>
                </c:pt>
                <c:pt idx="188">
                  <c:v>0.6238291168305018</c:v>
                </c:pt>
                <c:pt idx="189">
                  <c:v>0.66985349348865031</c:v>
                </c:pt>
                <c:pt idx="190">
                  <c:v>0.71799496915930128</c:v>
                </c:pt>
                <c:pt idx="191">
                  <c:v>#N/A</c:v>
                </c:pt>
                <c:pt idx="192">
                  <c:v>#N/A</c:v>
                </c:pt>
                <c:pt idx="193">
                  <c:v>#N/A</c:v>
                </c:pt>
                <c:pt idx="194">
                  <c:v>0.79136649419403704</c:v>
                </c:pt>
                <c:pt idx="195">
                  <c:v>#N/A</c:v>
                </c:pt>
                <c:pt idx="196">
                  <c:v>0.88910784127862519</c:v>
                </c:pt>
                <c:pt idx="197">
                  <c:v>#N/A</c:v>
                </c:pt>
                <c:pt idx="198">
                  <c:v>#N/A</c:v>
                </c:pt>
                <c:pt idx="199">
                  <c:v>#N/A</c:v>
                </c:pt>
              </c:numCache>
            </c:numRef>
          </c:yVal>
          <c:smooth val="0"/>
          <c:extLst>
            <c:ext xmlns:c16="http://schemas.microsoft.com/office/drawing/2014/chart" uri="{C3380CC4-5D6E-409C-BE32-E72D297353CC}">
              <c16:uniqueId val="{00000002-0D08-4927-85C5-197FEE796B80}"/>
            </c:ext>
          </c:extLst>
        </c:ser>
        <c:dLbls>
          <c:showLegendKey val="0"/>
          <c:showVal val="0"/>
          <c:showCatName val="0"/>
          <c:showSerName val="0"/>
          <c:showPercent val="0"/>
          <c:showBubbleSize val="0"/>
        </c:dLbls>
        <c:axId val="38756920"/>
        <c:axId val="74436010"/>
      </c:scatterChart>
      <c:valAx>
        <c:axId val="38756920"/>
        <c:scaling>
          <c:orientation val="minMax"/>
          <c:min val="5.5"/>
        </c:scaling>
        <c:delete val="0"/>
        <c:axPos val="b"/>
        <c:majorGridlines>
          <c:spPr>
            <a:ln>
              <a:solidFill>
                <a:schemeClr val="bg1">
                  <a:lumMod val="50000"/>
                </a:schemeClr>
              </a:solidFill>
            </a:ln>
          </c:spPr>
        </c:majorGridlines>
        <c:minorGridlines>
          <c:spPr>
            <a:ln>
              <a:solidFill>
                <a:schemeClr val="bg1">
                  <a:lumMod val="85000"/>
                </a:schemeClr>
              </a:solidFill>
            </a:ln>
          </c:spPr>
        </c:minorGridlines>
        <c:title>
          <c:tx>
            <c:rich>
              <a:bodyPr rot="0"/>
              <a:lstStyle/>
              <a:p>
                <a:pPr>
                  <a:defRPr sz="1300" b="0" u="none" strike="noStrike">
                    <a:uFillTx/>
                    <a:latin typeface="Arial"/>
                  </a:defRPr>
                </a:pPr>
                <a:r>
                  <a:rPr lang="en-US" sz="1000" b="1" u="none" strike="noStrike">
                    <a:solidFill>
                      <a:srgbClr val="000000"/>
                    </a:solidFill>
                    <a:uFillTx/>
                    <a:latin typeface="Calibri"/>
                  </a:rPr>
                  <a:t>x = ln(t)</a:t>
                </a:r>
              </a:p>
            </c:rich>
          </c:tx>
          <c:overlay val="0"/>
          <c:spPr>
            <a:noFill/>
            <a:ln w="0">
              <a:noFill/>
            </a:ln>
          </c:spPr>
        </c:title>
        <c:numFmt formatCode="0.0" sourceLinked="0"/>
        <c:majorTickMark val="none"/>
        <c:minorTickMark val="none"/>
        <c:tickLblPos val="low"/>
        <c:spPr>
          <a:ln w="9360">
            <a:solidFill>
              <a:srgbClr val="878787"/>
            </a:solidFill>
            <a:round/>
          </a:ln>
        </c:spPr>
        <c:txPr>
          <a:bodyPr/>
          <a:lstStyle/>
          <a:p>
            <a:pPr>
              <a:defRPr sz="1000" b="0" u="none" strike="noStrike">
                <a:solidFill>
                  <a:srgbClr val="000000"/>
                </a:solidFill>
                <a:uFillTx/>
                <a:latin typeface="Calibri"/>
              </a:defRPr>
            </a:pPr>
            <a:endParaRPr lang="en-US"/>
          </a:p>
        </c:txPr>
        <c:crossAx val="74436010"/>
        <c:crosses val="autoZero"/>
        <c:crossBetween val="midCat"/>
      </c:valAx>
      <c:valAx>
        <c:axId val="74436010"/>
        <c:scaling>
          <c:orientation val="minMax"/>
        </c:scaling>
        <c:delete val="0"/>
        <c:axPos val="l"/>
        <c:majorGridlines>
          <c:spPr>
            <a:ln w="9360">
              <a:solidFill>
                <a:srgbClr val="878787"/>
              </a:solidFill>
              <a:round/>
            </a:ln>
          </c:spPr>
        </c:majorGridlines>
        <c:minorGridlines>
          <c:spPr>
            <a:ln>
              <a:solidFill>
                <a:schemeClr val="bg1">
                  <a:lumMod val="85000"/>
                </a:schemeClr>
              </a:solidFill>
            </a:ln>
          </c:spPr>
        </c:minorGridlines>
        <c:title>
          <c:tx>
            <c:rich>
              <a:bodyPr rot="-5400000"/>
              <a:lstStyle/>
              <a:p>
                <a:pPr>
                  <a:defRPr sz="1300" b="0" u="none" strike="noStrike">
                    <a:uFillTx/>
                    <a:latin typeface="Arial"/>
                  </a:defRPr>
                </a:pPr>
                <a:r>
                  <a:rPr lang="en-US" sz="1000" b="1" u="none" strike="noStrike">
                    <a:solidFill>
                      <a:srgbClr val="000000"/>
                    </a:solidFill>
                    <a:uFillTx/>
                    <a:latin typeface="Calibri"/>
                  </a:rPr>
                  <a:t>y = ln(-ln(1-F))</a:t>
                </a:r>
              </a:p>
            </c:rich>
          </c:tx>
          <c:overlay val="0"/>
          <c:spPr>
            <a:noFill/>
            <a:ln w="0">
              <a:noFill/>
            </a:ln>
          </c:spPr>
        </c:title>
        <c:numFmt formatCode="_(* #,##0.0_);_(* \(#,##0.0\);_(* &quot;-&quot;??_);_(@_)"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38756920"/>
        <c:crosses val="autoZero"/>
        <c:crossBetween val="midCat"/>
      </c:valAx>
      <c:spPr>
        <a:noFill/>
        <a:ln w="0">
          <a:noFill/>
        </a:ln>
      </c:spPr>
    </c:plotArea>
    <c:legend>
      <c:legendPos val="t"/>
      <c:overlay val="0"/>
      <c:spPr>
        <a:noFill/>
        <a:ln w="0">
          <a:solidFill>
            <a:schemeClr val="accent1"/>
          </a:solid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a:pPr>
            <a:r>
              <a:rPr lang="en-US"/>
              <a:t>Bondad de ajuste  —  F(t) Weibull MLE vs. estimacion empirica Kaplan-Meier</a:t>
            </a:r>
          </a:p>
        </c:rich>
      </c:tx>
      <c:overlay val="0"/>
      <c:spPr>
        <a:noFill/>
        <a:ln w="0">
          <a:noFill/>
        </a:ln>
      </c:spPr>
    </c:title>
    <c:autoTitleDeleted val="0"/>
    <c:plotArea>
      <c:layout/>
      <c:scatterChart>
        <c:scatterStyle val="lineMarker"/>
        <c:varyColors val="0"/>
        <c:ser>
          <c:idx val="0"/>
          <c:order val="0"/>
          <c:tx>
            <c:v>F empirica (Kaplan-Meier)</c:v>
          </c:tx>
          <c:spPr>
            <a:ln w="20160">
              <a:solidFill>
                <a:srgbClr val="FF0000"/>
              </a:solidFill>
              <a:round/>
            </a:ln>
          </c:spPr>
          <c:marker>
            <c:symbol val="none"/>
          </c:marker>
          <c:dLbls>
            <c:spPr>
              <a:noFill/>
              <a:ln>
                <a:noFill/>
              </a:ln>
              <a:effectLst/>
            </c:sp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0160">
                      <a:solidFill>
                        <a:srgbClr val="000000"/>
                      </a:solidFill>
                    </a:ln>
                  </c:spPr>
                </c15:leaderLines>
              </c:ext>
            </c:extLst>
          </c:dLbls>
          <c:xVal>
            <c:numRef>
              <c:f>Max_Verosimilitud!$R$13:$R$212</c:f>
              <c:numCache>
                <c:formatCode>#,##0.0</c:formatCode>
                <c:ptCount val="200"/>
                <c:pt idx="0">
                  <c:v>401.7</c:v>
                </c:pt>
                <c:pt idx="1">
                  <c:v>449.3</c:v>
                </c:pt>
                <c:pt idx="2">
                  <c:v>455.5</c:v>
                </c:pt>
                <c:pt idx="3">
                  <c:v>528.29999999999995</c:v>
                </c:pt>
                <c:pt idx="4">
                  <c:v>602</c:v>
                </c:pt>
                <c:pt idx="5">
                  <c:v>707.6</c:v>
                </c:pt>
                <c:pt idx="6">
                  <c:v>820.7</c:v>
                </c:pt>
                <c:pt idx="7">
                  <c:v>871.6</c:v>
                </c:pt>
                <c:pt idx="8">
                  <c:v>873.6</c:v>
                </c:pt>
                <c:pt idx="9">
                  <c:v>941.7</c:v>
                </c:pt>
                <c:pt idx="10">
                  <c:v>960.8</c:v>
                </c:pt>
                <c:pt idx="11">
                  <c:v>1024.2</c:v>
                </c:pt>
                <c:pt idx="12">
                  <c:v>1073.5</c:v>
                </c:pt>
                <c:pt idx="13">
                  <c:v>1077.0999999999999</c:v>
                </c:pt>
                <c:pt idx="14">
                  <c:v>1099.2</c:v>
                </c:pt>
                <c:pt idx="15">
                  <c:v>1133.3</c:v>
                </c:pt>
                <c:pt idx="16">
                  <c:v>1161.5999999999999</c:v>
                </c:pt>
                <c:pt idx="17">
                  <c:v>1196.5999999999999</c:v>
                </c:pt>
                <c:pt idx="18">
                  <c:v>1230.9000000000001</c:v>
                </c:pt>
                <c:pt idx="19">
                  <c:v>1240.7</c:v>
                </c:pt>
                <c:pt idx="20">
                  <c:v>1265.2</c:v>
                </c:pt>
                <c:pt idx="21">
                  <c:v>1308.3</c:v>
                </c:pt>
                <c:pt idx="22">
                  <c:v>1360.3</c:v>
                </c:pt>
                <c:pt idx="23">
                  <c:v>1392.9</c:v>
                </c:pt>
                <c:pt idx="24">
                  <c:v>1441.9</c:v>
                </c:pt>
                <c:pt idx="25">
                  <c:v>1442.2</c:v>
                </c:pt>
                <c:pt idx="26">
                  <c:v>1449.1</c:v>
                </c:pt>
                <c:pt idx="27">
                  <c:v>1472.7</c:v>
                </c:pt>
                <c:pt idx="28">
                  <c:v>1472.8</c:v>
                </c:pt>
                <c:pt idx="29">
                  <c:v>1474.1</c:v>
                </c:pt>
                <c:pt idx="30">
                  <c:v>1528.3</c:v>
                </c:pt>
                <c:pt idx="31">
                  <c:v>1535.6</c:v>
                </c:pt>
                <c:pt idx="32">
                  <c:v>1544.6</c:v>
                </c:pt>
                <c:pt idx="33">
                  <c:v>1575.6</c:v>
                </c:pt>
                <c:pt idx="34">
                  <c:v>1615.9</c:v>
                </c:pt>
                <c:pt idx="35">
                  <c:v>1642.5</c:v>
                </c:pt>
                <c:pt idx="36">
                  <c:v>1670.7</c:v>
                </c:pt>
                <c:pt idx="37">
                  <c:v>1712.9</c:v>
                </c:pt>
                <c:pt idx="38">
                  <c:v>1728</c:v>
                </c:pt>
                <c:pt idx="39">
                  <c:v>1758.9</c:v>
                </c:pt>
                <c:pt idx="40">
                  <c:v>1775.5</c:v>
                </c:pt>
                <c:pt idx="41">
                  <c:v>1821.5</c:v>
                </c:pt>
                <c:pt idx="42">
                  <c:v>1884.7</c:v>
                </c:pt>
                <c:pt idx="43">
                  <c:v>1888.1</c:v>
                </c:pt>
                <c:pt idx="44">
                  <c:v>1900.4</c:v>
                </c:pt>
                <c:pt idx="45">
                  <c:v>1922.1</c:v>
                </c:pt>
                <c:pt idx="46">
                  <c:v>1978.3</c:v>
                </c:pt>
                <c:pt idx="47">
                  <c:v>2009.2</c:v>
                </c:pt>
                <c:pt idx="48">
                  <c:v>2040</c:v>
                </c:pt>
                <c:pt idx="49">
                  <c:v>2063.6</c:v>
                </c:pt>
                <c:pt idx="50">
                  <c:v>2071.6999999999998</c:v>
                </c:pt>
                <c:pt idx="51">
                  <c:v>2085.5</c:v>
                </c:pt>
                <c:pt idx="52">
                  <c:v>2087.1</c:v>
                </c:pt>
                <c:pt idx="53">
                  <c:v>2110.6</c:v>
                </c:pt>
                <c:pt idx="54">
                  <c:v>2153.1999999999998</c:v>
                </c:pt>
                <c:pt idx="55">
                  <c:v>2167.1999999999998</c:v>
                </c:pt>
                <c:pt idx="56">
                  <c:v>2186.8000000000002</c:v>
                </c:pt>
                <c:pt idx="57">
                  <c:v>2189.6999999999998</c:v>
                </c:pt>
                <c:pt idx="58">
                  <c:v>2289.6999999999998</c:v>
                </c:pt>
                <c:pt idx="59">
                  <c:v>2298.1999999999998</c:v>
                </c:pt>
                <c:pt idx="60">
                  <c:v>2302.4</c:v>
                </c:pt>
                <c:pt idx="61">
                  <c:v>2338.6999999999998</c:v>
                </c:pt>
                <c:pt idx="62">
                  <c:v>2361.4</c:v>
                </c:pt>
                <c:pt idx="63">
                  <c:v>2372.5</c:v>
                </c:pt>
                <c:pt idx="64">
                  <c:v>2388.3000000000002</c:v>
                </c:pt>
                <c:pt idx="65">
                  <c:v>2396.1999999999998</c:v>
                </c:pt>
                <c:pt idx="66">
                  <c:v>2411.5</c:v>
                </c:pt>
                <c:pt idx="67">
                  <c:v>2435.6999999999998</c:v>
                </c:pt>
                <c:pt idx="68">
                  <c:v>2447.4</c:v>
                </c:pt>
                <c:pt idx="69">
                  <c:v>2448.5</c:v>
                </c:pt>
                <c:pt idx="70">
                  <c:v>2448.6</c:v>
                </c:pt>
                <c:pt idx="71">
                  <c:v>2450.8000000000002</c:v>
                </c:pt>
                <c:pt idx="72">
                  <c:v>2474.1</c:v>
                </c:pt>
                <c:pt idx="73">
                  <c:v>2480.6</c:v>
                </c:pt>
                <c:pt idx="74">
                  <c:v>2505.5</c:v>
                </c:pt>
                <c:pt idx="75">
                  <c:v>2577.6</c:v>
                </c:pt>
                <c:pt idx="76">
                  <c:v>2587.9</c:v>
                </c:pt>
                <c:pt idx="77">
                  <c:v>2624.6</c:v>
                </c:pt>
                <c:pt idx="78">
                  <c:v>2673.1</c:v>
                </c:pt>
                <c:pt idx="79">
                  <c:v>2686.6</c:v>
                </c:pt>
                <c:pt idx="80">
                  <c:v>2689.4</c:v>
                </c:pt>
                <c:pt idx="81">
                  <c:v>2690.6</c:v>
                </c:pt>
                <c:pt idx="82">
                  <c:v>2732.7</c:v>
                </c:pt>
                <c:pt idx="83">
                  <c:v>2790.3</c:v>
                </c:pt>
                <c:pt idx="84">
                  <c:v>2840.9</c:v>
                </c:pt>
                <c:pt idx="85">
                  <c:v>2871.5</c:v>
                </c:pt>
                <c:pt idx="86">
                  <c:v>2935.3</c:v>
                </c:pt>
                <c:pt idx="87">
                  <c:v>2953</c:v>
                </c:pt>
                <c:pt idx="88">
                  <c:v>2968.1</c:v>
                </c:pt>
                <c:pt idx="89">
                  <c:v>2986.6</c:v>
                </c:pt>
                <c:pt idx="90">
                  <c:v>3033.6</c:v>
                </c:pt>
                <c:pt idx="91">
                  <c:v>3046.4</c:v>
                </c:pt>
                <c:pt idx="92">
                  <c:v>3069.7</c:v>
                </c:pt>
                <c:pt idx="93">
                  <c:v>3079.7</c:v>
                </c:pt>
                <c:pt idx="94">
                  <c:v>3131</c:v>
                </c:pt>
                <c:pt idx="95">
                  <c:v>3224.7</c:v>
                </c:pt>
                <c:pt idx="96">
                  <c:v>3257.9</c:v>
                </c:pt>
                <c:pt idx="97">
                  <c:v>3262.9</c:v>
                </c:pt>
                <c:pt idx="98">
                  <c:v>3289</c:v>
                </c:pt>
                <c:pt idx="99">
                  <c:v>3290.7</c:v>
                </c:pt>
                <c:pt idx="100">
                  <c:v>3313.9</c:v>
                </c:pt>
                <c:pt idx="101">
                  <c:v>3314.9</c:v>
                </c:pt>
                <c:pt idx="102">
                  <c:v>3325.4</c:v>
                </c:pt>
                <c:pt idx="103">
                  <c:v>3349</c:v>
                </c:pt>
                <c:pt idx="104">
                  <c:v>3379.7</c:v>
                </c:pt>
                <c:pt idx="105">
                  <c:v>3387.5</c:v>
                </c:pt>
                <c:pt idx="106">
                  <c:v>3395</c:v>
                </c:pt>
                <c:pt idx="107">
                  <c:v>3433.4</c:v>
                </c:pt>
                <c:pt idx="108">
                  <c:v>3449.1</c:v>
                </c:pt>
                <c:pt idx="109">
                  <c:v>3453.9</c:v>
                </c:pt>
                <c:pt idx="110">
                  <c:v>3454.9</c:v>
                </c:pt>
                <c:pt idx="111">
                  <c:v>3468.4</c:v>
                </c:pt>
                <c:pt idx="112">
                  <c:v>3470.3</c:v>
                </c:pt>
                <c:pt idx="113">
                  <c:v>3509.4</c:v>
                </c:pt>
                <c:pt idx="114">
                  <c:v>3591.9</c:v>
                </c:pt>
                <c:pt idx="115">
                  <c:v>3629.9</c:v>
                </c:pt>
                <c:pt idx="116">
                  <c:v>3637.7</c:v>
                </c:pt>
                <c:pt idx="117">
                  <c:v>3640.6</c:v>
                </c:pt>
                <c:pt idx="118">
                  <c:v>3678.5</c:v>
                </c:pt>
                <c:pt idx="119">
                  <c:v>3692</c:v>
                </c:pt>
                <c:pt idx="120">
                  <c:v>3746</c:v>
                </c:pt>
                <c:pt idx="121">
                  <c:v>3759.1</c:v>
                </c:pt>
                <c:pt idx="122">
                  <c:v>3811.3</c:v>
                </c:pt>
                <c:pt idx="123">
                  <c:v>3856.7</c:v>
                </c:pt>
                <c:pt idx="124">
                  <c:v>3869.5</c:v>
                </c:pt>
                <c:pt idx="125">
                  <c:v>3871</c:v>
                </c:pt>
                <c:pt idx="126">
                  <c:v>3877.4</c:v>
                </c:pt>
                <c:pt idx="127">
                  <c:v>3890.5</c:v>
                </c:pt>
                <c:pt idx="128">
                  <c:v>3944</c:v>
                </c:pt>
                <c:pt idx="129">
                  <c:v>3955.9</c:v>
                </c:pt>
                <c:pt idx="130">
                  <c:v>4030.6</c:v>
                </c:pt>
                <c:pt idx="131">
                  <c:v>4042.5</c:v>
                </c:pt>
                <c:pt idx="132">
                  <c:v>4045.9</c:v>
                </c:pt>
                <c:pt idx="133">
                  <c:v>4112.6000000000004</c:v>
                </c:pt>
                <c:pt idx="134">
                  <c:v>4118.5</c:v>
                </c:pt>
                <c:pt idx="135">
                  <c:v>4211.8</c:v>
                </c:pt>
                <c:pt idx="136">
                  <c:v>4227.1000000000004</c:v>
                </c:pt>
                <c:pt idx="137">
                  <c:v>4231.7</c:v>
                </c:pt>
                <c:pt idx="138">
                  <c:v>4265.7</c:v>
                </c:pt>
                <c:pt idx="139">
                  <c:v>4301.7</c:v>
                </c:pt>
                <c:pt idx="140">
                  <c:v>4302.3999999999996</c:v>
                </c:pt>
                <c:pt idx="141">
                  <c:v>4387</c:v>
                </c:pt>
                <c:pt idx="142">
                  <c:v>4487.2</c:v>
                </c:pt>
                <c:pt idx="143">
                  <c:v>4531.3999999999996</c:v>
                </c:pt>
                <c:pt idx="144">
                  <c:v>4533.2</c:v>
                </c:pt>
                <c:pt idx="145">
                  <c:v>4583.6000000000004</c:v>
                </c:pt>
                <c:pt idx="146">
                  <c:v>4618</c:v>
                </c:pt>
                <c:pt idx="147">
                  <c:v>4625</c:v>
                </c:pt>
                <c:pt idx="148">
                  <c:v>4660.7</c:v>
                </c:pt>
                <c:pt idx="149">
                  <c:v>4669.2</c:v>
                </c:pt>
                <c:pt idx="150">
                  <c:v>4729.8</c:v>
                </c:pt>
                <c:pt idx="151">
                  <c:v>4776.7</c:v>
                </c:pt>
                <c:pt idx="152">
                  <c:v>4805.7</c:v>
                </c:pt>
                <c:pt idx="153">
                  <c:v>4825.8999999999996</c:v>
                </c:pt>
                <c:pt idx="154">
                  <c:v>4830</c:v>
                </c:pt>
                <c:pt idx="155">
                  <c:v>4848.8999999999996</c:v>
                </c:pt>
                <c:pt idx="156">
                  <c:v>4855.8</c:v>
                </c:pt>
                <c:pt idx="157">
                  <c:v>4920.8</c:v>
                </c:pt>
                <c:pt idx="158">
                  <c:v>5061.8</c:v>
                </c:pt>
                <c:pt idx="159">
                  <c:v>5102</c:v>
                </c:pt>
                <c:pt idx="160">
                  <c:v>5177</c:v>
                </c:pt>
                <c:pt idx="161">
                  <c:v>5202.6000000000004</c:v>
                </c:pt>
                <c:pt idx="162">
                  <c:v>5211.8999999999996</c:v>
                </c:pt>
                <c:pt idx="163">
                  <c:v>5277.4</c:v>
                </c:pt>
                <c:pt idx="164">
                  <c:v>5368.1</c:v>
                </c:pt>
                <c:pt idx="165">
                  <c:v>5388.6</c:v>
                </c:pt>
                <c:pt idx="166">
                  <c:v>5553.6</c:v>
                </c:pt>
                <c:pt idx="167">
                  <c:v>5578.7</c:v>
                </c:pt>
                <c:pt idx="168">
                  <c:v>5595.9</c:v>
                </c:pt>
                <c:pt idx="169">
                  <c:v>5633.6</c:v>
                </c:pt>
                <c:pt idx="170">
                  <c:v>5669.4</c:v>
                </c:pt>
                <c:pt idx="171">
                  <c:v>5693.9</c:v>
                </c:pt>
                <c:pt idx="172">
                  <c:v>5722.6</c:v>
                </c:pt>
                <c:pt idx="173">
                  <c:v>5728.9</c:v>
                </c:pt>
                <c:pt idx="174">
                  <c:v>5766.2</c:v>
                </c:pt>
                <c:pt idx="175">
                  <c:v>5793.4</c:v>
                </c:pt>
                <c:pt idx="176">
                  <c:v>5854</c:v>
                </c:pt>
                <c:pt idx="177">
                  <c:v>5855.8</c:v>
                </c:pt>
                <c:pt idx="178">
                  <c:v>5960.9</c:v>
                </c:pt>
                <c:pt idx="179">
                  <c:v>6036.1</c:v>
                </c:pt>
                <c:pt idx="180">
                  <c:v>6049.4</c:v>
                </c:pt>
                <c:pt idx="181">
                  <c:v>6133</c:v>
                </c:pt>
                <c:pt idx="182">
                  <c:v>6198.9</c:v>
                </c:pt>
                <c:pt idx="183">
                  <c:v>6264.4</c:v>
                </c:pt>
                <c:pt idx="184">
                  <c:v>6276.6</c:v>
                </c:pt>
                <c:pt idx="185">
                  <c:v>6280.4</c:v>
                </c:pt>
                <c:pt idx="186">
                  <c:v>6618.6</c:v>
                </c:pt>
                <c:pt idx="187">
                  <c:v>6816.2</c:v>
                </c:pt>
                <c:pt idx="188">
                  <c:v>7132.8</c:v>
                </c:pt>
                <c:pt idx="189">
                  <c:v>7267</c:v>
                </c:pt>
                <c:pt idx="190">
                  <c:v>7354.4</c:v>
                </c:pt>
                <c:pt idx="191">
                  <c:v>7492.8</c:v>
                </c:pt>
                <c:pt idx="192">
                  <c:v>7523.3</c:v>
                </c:pt>
                <c:pt idx="193">
                  <c:v>7613.7</c:v>
                </c:pt>
                <c:pt idx="194">
                  <c:v>7937.4</c:v>
                </c:pt>
                <c:pt idx="195">
                  <c:v>8053.9</c:v>
                </c:pt>
                <c:pt idx="196">
                  <c:v>8102.4</c:v>
                </c:pt>
                <c:pt idx="197">
                  <c:v>8605.7999999999993</c:v>
                </c:pt>
                <c:pt idx="198">
                  <c:v>8811.7000000000007</c:v>
                </c:pt>
                <c:pt idx="199">
                  <c:v>9165.7000000000007</c:v>
                </c:pt>
              </c:numCache>
            </c:numRef>
          </c:xVal>
          <c:yVal>
            <c:numRef>
              <c:f>Max_Verosimilitud!$U$13:$U$212</c:f>
              <c:numCache>
                <c:formatCode>0.00000</c:formatCode>
                <c:ptCount val="200"/>
                <c:pt idx="0">
                  <c:v>5.0000000000000044E-3</c:v>
                </c:pt>
                <c:pt idx="1">
                  <c:v>1.0000000000000009E-2</c:v>
                </c:pt>
                <c:pt idx="2">
                  <c:v>1.5000000000000013E-2</c:v>
                </c:pt>
                <c:pt idx="3">
                  <c:v>2.0000000000000018E-2</c:v>
                </c:pt>
                <c:pt idx="4">
                  <c:v>2.5000000000000022E-2</c:v>
                </c:pt>
                <c:pt idx="5">
                  <c:v>3.0000000000000027E-2</c:v>
                </c:pt>
                <c:pt idx="6">
                  <c:v>3.5000000000000031E-2</c:v>
                </c:pt>
                <c:pt idx="7">
                  <c:v>4.0000000000000036E-2</c:v>
                </c:pt>
                <c:pt idx="8">
                  <c:v>4.500000000000004E-2</c:v>
                </c:pt>
                <c:pt idx="9">
                  <c:v>5.0000000000000044E-2</c:v>
                </c:pt>
                <c:pt idx="10">
                  <c:v>5.0000000000000044E-2</c:v>
                </c:pt>
                <c:pt idx="11">
                  <c:v>5.0000000000000044E-2</c:v>
                </c:pt>
                <c:pt idx="12">
                  <c:v>5.0000000000000044E-2</c:v>
                </c:pt>
                <c:pt idx="13">
                  <c:v>5.5080213903743402E-2</c:v>
                </c:pt>
                <c:pt idx="14">
                  <c:v>6.016042780748676E-2</c:v>
                </c:pt>
                <c:pt idx="15">
                  <c:v>6.016042780748676E-2</c:v>
                </c:pt>
                <c:pt idx="16">
                  <c:v>6.5268251569402636E-2</c:v>
                </c:pt>
                <c:pt idx="17">
                  <c:v>6.5268251569402636E-2</c:v>
                </c:pt>
                <c:pt idx="18">
                  <c:v>7.0404140297043227E-2</c:v>
                </c:pt>
                <c:pt idx="19">
                  <c:v>7.0404140297043227E-2</c:v>
                </c:pt>
                <c:pt idx="20">
                  <c:v>7.0404140297043227E-2</c:v>
                </c:pt>
                <c:pt idx="21">
                  <c:v>7.0404140297043227E-2</c:v>
                </c:pt>
                <c:pt idx="22">
                  <c:v>7.562658894705987E-2</c:v>
                </c:pt>
                <c:pt idx="23">
                  <c:v>8.0849037597076401E-2</c:v>
                </c:pt>
                <c:pt idx="24">
                  <c:v>8.6071486247093043E-2</c:v>
                </c:pt>
                <c:pt idx="25">
                  <c:v>9.1293934897109574E-2</c:v>
                </c:pt>
                <c:pt idx="26">
                  <c:v>9.1293934897109574E-2</c:v>
                </c:pt>
                <c:pt idx="27">
                  <c:v>9.6546571111577162E-2</c:v>
                </c:pt>
                <c:pt idx="28">
                  <c:v>9.6546571111577162E-2</c:v>
                </c:pt>
                <c:pt idx="29">
                  <c:v>9.6546571111577162E-2</c:v>
                </c:pt>
                <c:pt idx="30">
                  <c:v>9.6546571111577162E-2</c:v>
                </c:pt>
                <c:pt idx="31">
                  <c:v>9.6546571111577162E-2</c:v>
                </c:pt>
                <c:pt idx="32">
                  <c:v>9.6546571111577162E-2</c:v>
                </c:pt>
                <c:pt idx="33">
                  <c:v>9.6546571111577162E-2</c:v>
                </c:pt>
                <c:pt idx="34">
                  <c:v>9.6546571111577162E-2</c:v>
                </c:pt>
                <c:pt idx="35">
                  <c:v>0.1020220464381737</c:v>
                </c:pt>
                <c:pt idx="36">
                  <c:v>0.1020220464381737</c:v>
                </c:pt>
                <c:pt idx="37">
                  <c:v>0.1020220464381737</c:v>
                </c:pt>
                <c:pt idx="38">
                  <c:v>0.10756512022559239</c:v>
                </c:pt>
                <c:pt idx="39">
                  <c:v>0.10756512022559239</c:v>
                </c:pt>
                <c:pt idx="40">
                  <c:v>0.10756512022559239</c:v>
                </c:pt>
                <c:pt idx="41">
                  <c:v>0.10756512022559239</c:v>
                </c:pt>
                <c:pt idx="42">
                  <c:v>0.11321344224948104</c:v>
                </c:pt>
                <c:pt idx="43">
                  <c:v>0.11321344224948104</c:v>
                </c:pt>
                <c:pt idx="44">
                  <c:v>0.11889797146583048</c:v>
                </c:pt>
                <c:pt idx="45">
                  <c:v>0.11889797146583048</c:v>
                </c:pt>
                <c:pt idx="46">
                  <c:v>0.12461941320955883</c:v>
                </c:pt>
                <c:pt idx="47">
                  <c:v>0.13034085495328718</c:v>
                </c:pt>
                <c:pt idx="48">
                  <c:v>0.13606229669701553</c:v>
                </c:pt>
                <c:pt idx="49">
                  <c:v>0.14178373844074388</c:v>
                </c:pt>
                <c:pt idx="50">
                  <c:v>0.14750518018447234</c:v>
                </c:pt>
                <c:pt idx="51">
                  <c:v>0.14750518018447234</c:v>
                </c:pt>
                <c:pt idx="52">
                  <c:v>0.15326528031836106</c:v>
                </c:pt>
                <c:pt idx="53">
                  <c:v>0.15902538045224979</c:v>
                </c:pt>
                <c:pt idx="54">
                  <c:v>0.16478548058613851</c:v>
                </c:pt>
                <c:pt idx="55">
                  <c:v>0.16478548058613851</c:v>
                </c:pt>
                <c:pt idx="56">
                  <c:v>0.17058558141540137</c:v>
                </c:pt>
                <c:pt idx="57">
                  <c:v>0.17058558141540137</c:v>
                </c:pt>
                <c:pt idx="58">
                  <c:v>0.17642652802515202</c:v>
                </c:pt>
                <c:pt idx="59">
                  <c:v>0.17642652802515202</c:v>
                </c:pt>
                <c:pt idx="60">
                  <c:v>0.18230919568211523</c:v>
                </c:pt>
                <c:pt idx="61">
                  <c:v>0.18819186333907845</c:v>
                </c:pt>
                <c:pt idx="62">
                  <c:v>0.19407453099604166</c:v>
                </c:pt>
                <c:pt idx="63">
                  <c:v>0.19407453099604166</c:v>
                </c:pt>
                <c:pt idx="64">
                  <c:v>0.20000045356224727</c:v>
                </c:pt>
                <c:pt idx="65">
                  <c:v>0.20592637612845288</c:v>
                </c:pt>
                <c:pt idx="66">
                  <c:v>0.21185229869465849</c:v>
                </c:pt>
                <c:pt idx="67">
                  <c:v>0.21185229869465849</c:v>
                </c:pt>
                <c:pt idx="68">
                  <c:v>0.21185229869465849</c:v>
                </c:pt>
                <c:pt idx="69">
                  <c:v>0.21786869336111148</c:v>
                </c:pt>
                <c:pt idx="70">
                  <c:v>0.21786869336111148</c:v>
                </c:pt>
                <c:pt idx="71">
                  <c:v>0.22393172674590911</c:v>
                </c:pt>
                <c:pt idx="72">
                  <c:v>0.22999476013070674</c:v>
                </c:pt>
                <c:pt idx="73">
                  <c:v>0.23605779351550427</c:v>
                </c:pt>
                <c:pt idx="74">
                  <c:v>0.24212082690030179</c:v>
                </c:pt>
                <c:pt idx="75">
                  <c:v>0.24818386028509942</c:v>
                </c:pt>
                <c:pt idx="76">
                  <c:v>0.24818386028509942</c:v>
                </c:pt>
                <c:pt idx="77">
                  <c:v>0.24818386028509942</c:v>
                </c:pt>
                <c:pt idx="78">
                  <c:v>0.24818386028509942</c:v>
                </c:pt>
                <c:pt idx="79">
                  <c:v>0.25439721681166882</c:v>
                </c:pt>
                <c:pt idx="80">
                  <c:v>0.25439721681166882</c:v>
                </c:pt>
                <c:pt idx="81">
                  <c:v>0.26066278641829344</c:v>
                </c:pt>
                <c:pt idx="82">
                  <c:v>0.26066278641829344</c:v>
                </c:pt>
                <c:pt idx="83">
                  <c:v>0.2669819079018978</c:v>
                </c:pt>
                <c:pt idx="84">
                  <c:v>0.2669819079018978</c:v>
                </c:pt>
                <c:pt idx="85">
                  <c:v>0.2733559782679682</c:v>
                </c:pt>
                <c:pt idx="86">
                  <c:v>0.2733559782679682</c:v>
                </c:pt>
                <c:pt idx="87">
                  <c:v>0.2733559782679682</c:v>
                </c:pt>
                <c:pt idx="88">
                  <c:v>0.27984387131914701</c:v>
                </c:pt>
                <c:pt idx="89">
                  <c:v>0.27984387131914701</c:v>
                </c:pt>
                <c:pt idx="90">
                  <c:v>0.27984387131914701</c:v>
                </c:pt>
                <c:pt idx="91">
                  <c:v>0.28645080827952174</c:v>
                </c:pt>
                <c:pt idx="92">
                  <c:v>0.29305774523989658</c:v>
                </c:pt>
                <c:pt idx="93">
                  <c:v>0.29305774523989658</c:v>
                </c:pt>
                <c:pt idx="94">
                  <c:v>0.29305774523989658</c:v>
                </c:pt>
                <c:pt idx="95">
                  <c:v>0.29305774523989658</c:v>
                </c:pt>
                <c:pt idx="96">
                  <c:v>0.29305774523989658</c:v>
                </c:pt>
                <c:pt idx="97">
                  <c:v>0.29992126227640248</c:v>
                </c:pt>
                <c:pt idx="98">
                  <c:v>0.29992126227640248</c:v>
                </c:pt>
                <c:pt idx="99">
                  <c:v>0.30685273492713117</c:v>
                </c:pt>
                <c:pt idx="100">
                  <c:v>0.31378420757785985</c:v>
                </c:pt>
                <c:pt idx="101">
                  <c:v>0.32071568022858854</c:v>
                </c:pt>
                <c:pt idx="102">
                  <c:v>0.32764715287931723</c:v>
                </c:pt>
                <c:pt idx="103">
                  <c:v>0.33457862553004591</c:v>
                </c:pt>
                <c:pt idx="104">
                  <c:v>0.3415100981807746</c:v>
                </c:pt>
                <c:pt idx="105">
                  <c:v>0.34844157083150329</c:v>
                </c:pt>
                <c:pt idx="106">
                  <c:v>0.35537304348223198</c:v>
                </c:pt>
                <c:pt idx="107">
                  <c:v>0.35537304348223198</c:v>
                </c:pt>
                <c:pt idx="108">
                  <c:v>0.36237985822699037</c:v>
                </c:pt>
                <c:pt idx="109">
                  <c:v>0.36938667297174865</c:v>
                </c:pt>
                <c:pt idx="110">
                  <c:v>0.37639348771650694</c:v>
                </c:pt>
                <c:pt idx="111">
                  <c:v>0.37639348771650694</c:v>
                </c:pt>
                <c:pt idx="112">
                  <c:v>0.3834799253560921</c:v>
                </c:pt>
                <c:pt idx="113">
                  <c:v>0.39056636299567726</c:v>
                </c:pt>
                <c:pt idx="114">
                  <c:v>0.39765280063526243</c:v>
                </c:pt>
                <c:pt idx="115">
                  <c:v>0.40473923827484759</c:v>
                </c:pt>
                <c:pt idx="116">
                  <c:v>0.41182567591443275</c:v>
                </c:pt>
                <c:pt idx="117">
                  <c:v>0.41182567591443275</c:v>
                </c:pt>
                <c:pt idx="118">
                  <c:v>0.41899853352523231</c:v>
                </c:pt>
                <c:pt idx="119">
                  <c:v>0.42617139113603197</c:v>
                </c:pt>
                <c:pt idx="120">
                  <c:v>0.43334424874683153</c:v>
                </c:pt>
                <c:pt idx="121">
                  <c:v>0.44051710635763108</c:v>
                </c:pt>
                <c:pt idx="122">
                  <c:v>0.44051710635763108</c:v>
                </c:pt>
                <c:pt idx="123">
                  <c:v>0.44778311796337611</c:v>
                </c:pt>
                <c:pt idx="124">
                  <c:v>0.45504912956912114</c:v>
                </c:pt>
                <c:pt idx="125">
                  <c:v>0.46231514117486616</c:v>
                </c:pt>
                <c:pt idx="126">
                  <c:v>0.46958115278061119</c:v>
                </c:pt>
                <c:pt idx="127">
                  <c:v>0.47684716438635621</c:v>
                </c:pt>
                <c:pt idx="128">
                  <c:v>0.48411317599210124</c:v>
                </c:pt>
                <c:pt idx="129">
                  <c:v>0.48411317599210124</c:v>
                </c:pt>
                <c:pt idx="130">
                  <c:v>0.48411317599210124</c:v>
                </c:pt>
                <c:pt idx="131">
                  <c:v>0.49158979662989688</c:v>
                </c:pt>
                <c:pt idx="132">
                  <c:v>0.49158979662989688</c:v>
                </c:pt>
                <c:pt idx="133">
                  <c:v>0.49917800862049544</c:v>
                </c:pt>
                <c:pt idx="134">
                  <c:v>0.506766220611094</c:v>
                </c:pt>
                <c:pt idx="135">
                  <c:v>0.506766220611094</c:v>
                </c:pt>
                <c:pt idx="136">
                  <c:v>0.5144729984140457</c:v>
                </c:pt>
                <c:pt idx="137">
                  <c:v>0.52217977621699729</c:v>
                </c:pt>
                <c:pt idx="138">
                  <c:v>0.52217977621699729</c:v>
                </c:pt>
                <c:pt idx="139">
                  <c:v>0.52217977621699729</c:v>
                </c:pt>
                <c:pt idx="140">
                  <c:v>0.53014344661338075</c:v>
                </c:pt>
                <c:pt idx="141">
                  <c:v>0.5381071170097641</c:v>
                </c:pt>
                <c:pt idx="142">
                  <c:v>0.5381071170097641</c:v>
                </c:pt>
                <c:pt idx="143">
                  <c:v>0.54621050092187351</c:v>
                </c:pt>
                <c:pt idx="144">
                  <c:v>0.55431388483398292</c:v>
                </c:pt>
                <c:pt idx="145">
                  <c:v>0.56241726874609232</c:v>
                </c:pt>
                <c:pt idx="146">
                  <c:v>0.57052065265820173</c:v>
                </c:pt>
                <c:pt idx="147">
                  <c:v>0.57052065265820173</c:v>
                </c:pt>
                <c:pt idx="148">
                  <c:v>0.57052065265820173</c:v>
                </c:pt>
                <c:pt idx="149">
                  <c:v>0.57894181633157027</c:v>
                </c:pt>
                <c:pt idx="150">
                  <c:v>0.58736298000493892</c:v>
                </c:pt>
                <c:pt idx="151">
                  <c:v>0.59578414367830757</c:v>
                </c:pt>
                <c:pt idx="152">
                  <c:v>0.59578414367830757</c:v>
                </c:pt>
                <c:pt idx="153">
                  <c:v>0.60438448104685416</c:v>
                </c:pt>
                <c:pt idx="154">
                  <c:v>0.60438448104685416</c:v>
                </c:pt>
                <c:pt idx="155">
                  <c:v>0.60438448104685416</c:v>
                </c:pt>
                <c:pt idx="156">
                  <c:v>0.61337574284124385</c:v>
                </c:pt>
                <c:pt idx="157">
                  <c:v>0.61337574284124385</c:v>
                </c:pt>
                <c:pt idx="158">
                  <c:v>0.62258108229740472</c:v>
                </c:pt>
                <c:pt idx="159">
                  <c:v>0.63178642175356559</c:v>
                </c:pt>
                <c:pt idx="160">
                  <c:v>0.64099176120972645</c:v>
                </c:pt>
                <c:pt idx="161">
                  <c:v>0.64099176120972645</c:v>
                </c:pt>
                <c:pt idx="162">
                  <c:v>0.64099176120972645</c:v>
                </c:pt>
                <c:pt idx="163">
                  <c:v>0.65069468658243657</c:v>
                </c:pt>
                <c:pt idx="164">
                  <c:v>0.66039761195514668</c:v>
                </c:pt>
                <c:pt idx="165">
                  <c:v>0.67010053732785679</c:v>
                </c:pt>
                <c:pt idx="166">
                  <c:v>0.67980346270056691</c:v>
                </c:pt>
                <c:pt idx="167">
                  <c:v>0.68950638807327702</c:v>
                </c:pt>
                <c:pt idx="168">
                  <c:v>0.69920931344598714</c:v>
                </c:pt>
                <c:pt idx="169">
                  <c:v>0.70891223881869714</c:v>
                </c:pt>
                <c:pt idx="170">
                  <c:v>0.71861516419140725</c:v>
                </c:pt>
                <c:pt idx="171">
                  <c:v>0.71861516419140725</c:v>
                </c:pt>
                <c:pt idx="172">
                  <c:v>0.72866462261314269</c:v>
                </c:pt>
                <c:pt idx="173">
                  <c:v>0.73871408103487823</c:v>
                </c:pt>
                <c:pt idx="174">
                  <c:v>0.74876353945661367</c:v>
                </c:pt>
                <c:pt idx="175">
                  <c:v>0.74876353945661367</c:v>
                </c:pt>
                <c:pt idx="176">
                  <c:v>0.75923172531258798</c:v>
                </c:pt>
                <c:pt idx="177">
                  <c:v>0.76969991116856251</c:v>
                </c:pt>
                <c:pt idx="178">
                  <c:v>0.78016809702453682</c:v>
                </c:pt>
                <c:pt idx="179">
                  <c:v>0.79063628288051135</c:v>
                </c:pt>
                <c:pt idx="180">
                  <c:v>0.80110446873648578</c:v>
                </c:pt>
                <c:pt idx="181">
                  <c:v>0.80110446873648578</c:v>
                </c:pt>
                <c:pt idx="182">
                  <c:v>0.80110446873648578</c:v>
                </c:pt>
                <c:pt idx="183">
                  <c:v>0.80110446873648578</c:v>
                </c:pt>
                <c:pt idx="184">
                  <c:v>0.81353543944045548</c:v>
                </c:pt>
                <c:pt idx="185">
                  <c:v>0.82596641014442507</c:v>
                </c:pt>
                <c:pt idx="186">
                  <c:v>0.82596641014442507</c:v>
                </c:pt>
                <c:pt idx="187">
                  <c:v>0.83935360936408465</c:v>
                </c:pt>
                <c:pt idx="188">
                  <c:v>0.85274080858374424</c:v>
                </c:pt>
                <c:pt idx="189">
                  <c:v>0.86612800780340393</c:v>
                </c:pt>
                <c:pt idx="190">
                  <c:v>0.87951520702306352</c:v>
                </c:pt>
                <c:pt idx="191">
                  <c:v>0.87951520702306352</c:v>
                </c:pt>
                <c:pt idx="192">
                  <c:v>0.87951520702306352</c:v>
                </c:pt>
                <c:pt idx="193">
                  <c:v>0.87951520702306352</c:v>
                </c:pt>
                <c:pt idx="194">
                  <c:v>0.89959600585255295</c:v>
                </c:pt>
                <c:pt idx="195">
                  <c:v>0.89959600585255295</c:v>
                </c:pt>
                <c:pt idx="196">
                  <c:v>0.92469700438941471</c:v>
                </c:pt>
                <c:pt idx="197">
                  <c:v>0.92469700438941471</c:v>
                </c:pt>
                <c:pt idx="198">
                  <c:v>0.92469700438941471</c:v>
                </c:pt>
                <c:pt idx="199">
                  <c:v>0.92469700438941471</c:v>
                </c:pt>
              </c:numCache>
            </c:numRef>
          </c:yVal>
          <c:smooth val="1"/>
          <c:extLst>
            <c:ext xmlns:c16="http://schemas.microsoft.com/office/drawing/2014/chart" uri="{C3380CC4-5D6E-409C-BE32-E72D297353CC}">
              <c16:uniqueId val="{00000000-5BAD-41E2-867E-04084C46E8B6}"/>
            </c:ext>
          </c:extLst>
        </c:ser>
        <c:ser>
          <c:idx val="1"/>
          <c:order val="1"/>
          <c:tx>
            <c:v>F Weibull ajustada por MLE</c:v>
          </c:tx>
          <c:spPr>
            <a:ln w="28080">
              <a:solidFill>
                <a:schemeClr val="tx1"/>
              </a:solidFill>
              <a:round/>
            </a:ln>
          </c:spPr>
          <c:marker>
            <c:symbol val="none"/>
          </c:marker>
          <c:dLbls>
            <c:spPr>
              <a:noFill/>
              <a:ln>
                <a:noFill/>
              </a:ln>
              <a:effectLst/>
            </c:sp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8080">
                      <a:solidFill>
                        <a:srgbClr val="000000"/>
                      </a:solidFill>
                    </a:ln>
                  </c:spPr>
                </c15:leaderLines>
              </c:ext>
            </c:extLst>
          </c:dLbls>
          <c:xVal>
            <c:numRef>
              <c:f>Max_Verosimilitud!$R$13:$R$212</c:f>
              <c:numCache>
                <c:formatCode>#,##0.0</c:formatCode>
                <c:ptCount val="200"/>
                <c:pt idx="0">
                  <c:v>401.7</c:v>
                </c:pt>
                <c:pt idx="1">
                  <c:v>449.3</c:v>
                </c:pt>
                <c:pt idx="2">
                  <c:v>455.5</c:v>
                </c:pt>
                <c:pt idx="3">
                  <c:v>528.29999999999995</c:v>
                </c:pt>
                <c:pt idx="4">
                  <c:v>602</c:v>
                </c:pt>
                <c:pt idx="5">
                  <c:v>707.6</c:v>
                </c:pt>
                <c:pt idx="6">
                  <c:v>820.7</c:v>
                </c:pt>
                <c:pt idx="7">
                  <c:v>871.6</c:v>
                </c:pt>
                <c:pt idx="8">
                  <c:v>873.6</c:v>
                </c:pt>
                <c:pt idx="9">
                  <c:v>941.7</c:v>
                </c:pt>
                <c:pt idx="10">
                  <c:v>960.8</c:v>
                </c:pt>
                <c:pt idx="11">
                  <c:v>1024.2</c:v>
                </c:pt>
                <c:pt idx="12">
                  <c:v>1073.5</c:v>
                </c:pt>
                <c:pt idx="13">
                  <c:v>1077.0999999999999</c:v>
                </c:pt>
                <c:pt idx="14">
                  <c:v>1099.2</c:v>
                </c:pt>
                <c:pt idx="15">
                  <c:v>1133.3</c:v>
                </c:pt>
                <c:pt idx="16">
                  <c:v>1161.5999999999999</c:v>
                </c:pt>
                <c:pt idx="17">
                  <c:v>1196.5999999999999</c:v>
                </c:pt>
                <c:pt idx="18">
                  <c:v>1230.9000000000001</c:v>
                </c:pt>
                <c:pt idx="19">
                  <c:v>1240.7</c:v>
                </c:pt>
                <c:pt idx="20">
                  <c:v>1265.2</c:v>
                </c:pt>
                <c:pt idx="21">
                  <c:v>1308.3</c:v>
                </c:pt>
                <c:pt idx="22">
                  <c:v>1360.3</c:v>
                </c:pt>
                <c:pt idx="23">
                  <c:v>1392.9</c:v>
                </c:pt>
                <c:pt idx="24">
                  <c:v>1441.9</c:v>
                </c:pt>
                <c:pt idx="25">
                  <c:v>1442.2</c:v>
                </c:pt>
                <c:pt idx="26">
                  <c:v>1449.1</c:v>
                </c:pt>
                <c:pt idx="27">
                  <c:v>1472.7</c:v>
                </c:pt>
                <c:pt idx="28">
                  <c:v>1472.8</c:v>
                </c:pt>
                <c:pt idx="29">
                  <c:v>1474.1</c:v>
                </c:pt>
                <c:pt idx="30">
                  <c:v>1528.3</c:v>
                </c:pt>
                <c:pt idx="31">
                  <c:v>1535.6</c:v>
                </c:pt>
                <c:pt idx="32">
                  <c:v>1544.6</c:v>
                </c:pt>
                <c:pt idx="33">
                  <c:v>1575.6</c:v>
                </c:pt>
                <c:pt idx="34">
                  <c:v>1615.9</c:v>
                </c:pt>
                <c:pt idx="35">
                  <c:v>1642.5</c:v>
                </c:pt>
                <c:pt idx="36">
                  <c:v>1670.7</c:v>
                </c:pt>
                <c:pt idx="37">
                  <c:v>1712.9</c:v>
                </c:pt>
                <c:pt idx="38">
                  <c:v>1728</c:v>
                </c:pt>
                <c:pt idx="39">
                  <c:v>1758.9</c:v>
                </c:pt>
                <c:pt idx="40">
                  <c:v>1775.5</c:v>
                </c:pt>
                <c:pt idx="41">
                  <c:v>1821.5</c:v>
                </c:pt>
                <c:pt idx="42">
                  <c:v>1884.7</c:v>
                </c:pt>
                <c:pt idx="43">
                  <c:v>1888.1</c:v>
                </c:pt>
                <c:pt idx="44">
                  <c:v>1900.4</c:v>
                </c:pt>
                <c:pt idx="45">
                  <c:v>1922.1</c:v>
                </c:pt>
                <c:pt idx="46">
                  <c:v>1978.3</c:v>
                </c:pt>
                <c:pt idx="47">
                  <c:v>2009.2</c:v>
                </c:pt>
                <c:pt idx="48">
                  <c:v>2040</c:v>
                </c:pt>
                <c:pt idx="49">
                  <c:v>2063.6</c:v>
                </c:pt>
                <c:pt idx="50">
                  <c:v>2071.6999999999998</c:v>
                </c:pt>
                <c:pt idx="51">
                  <c:v>2085.5</c:v>
                </c:pt>
                <c:pt idx="52">
                  <c:v>2087.1</c:v>
                </c:pt>
                <c:pt idx="53">
                  <c:v>2110.6</c:v>
                </c:pt>
                <c:pt idx="54">
                  <c:v>2153.1999999999998</c:v>
                </c:pt>
                <c:pt idx="55">
                  <c:v>2167.1999999999998</c:v>
                </c:pt>
                <c:pt idx="56">
                  <c:v>2186.8000000000002</c:v>
                </c:pt>
                <c:pt idx="57">
                  <c:v>2189.6999999999998</c:v>
                </c:pt>
                <c:pt idx="58">
                  <c:v>2289.6999999999998</c:v>
                </c:pt>
                <c:pt idx="59">
                  <c:v>2298.1999999999998</c:v>
                </c:pt>
                <c:pt idx="60">
                  <c:v>2302.4</c:v>
                </c:pt>
                <c:pt idx="61">
                  <c:v>2338.6999999999998</c:v>
                </c:pt>
                <c:pt idx="62">
                  <c:v>2361.4</c:v>
                </c:pt>
                <c:pt idx="63">
                  <c:v>2372.5</c:v>
                </c:pt>
                <c:pt idx="64">
                  <c:v>2388.3000000000002</c:v>
                </c:pt>
                <c:pt idx="65">
                  <c:v>2396.1999999999998</c:v>
                </c:pt>
                <c:pt idx="66">
                  <c:v>2411.5</c:v>
                </c:pt>
                <c:pt idx="67">
                  <c:v>2435.6999999999998</c:v>
                </c:pt>
                <c:pt idx="68">
                  <c:v>2447.4</c:v>
                </c:pt>
                <c:pt idx="69">
                  <c:v>2448.5</c:v>
                </c:pt>
                <c:pt idx="70">
                  <c:v>2448.6</c:v>
                </c:pt>
                <c:pt idx="71">
                  <c:v>2450.8000000000002</c:v>
                </c:pt>
                <c:pt idx="72">
                  <c:v>2474.1</c:v>
                </c:pt>
                <c:pt idx="73">
                  <c:v>2480.6</c:v>
                </c:pt>
                <c:pt idx="74">
                  <c:v>2505.5</c:v>
                </c:pt>
                <c:pt idx="75">
                  <c:v>2577.6</c:v>
                </c:pt>
                <c:pt idx="76">
                  <c:v>2587.9</c:v>
                </c:pt>
                <c:pt idx="77">
                  <c:v>2624.6</c:v>
                </c:pt>
                <c:pt idx="78">
                  <c:v>2673.1</c:v>
                </c:pt>
                <c:pt idx="79">
                  <c:v>2686.6</c:v>
                </c:pt>
                <c:pt idx="80">
                  <c:v>2689.4</c:v>
                </c:pt>
                <c:pt idx="81">
                  <c:v>2690.6</c:v>
                </c:pt>
                <c:pt idx="82">
                  <c:v>2732.7</c:v>
                </c:pt>
                <c:pt idx="83">
                  <c:v>2790.3</c:v>
                </c:pt>
                <c:pt idx="84">
                  <c:v>2840.9</c:v>
                </c:pt>
                <c:pt idx="85">
                  <c:v>2871.5</c:v>
                </c:pt>
                <c:pt idx="86">
                  <c:v>2935.3</c:v>
                </c:pt>
                <c:pt idx="87">
                  <c:v>2953</c:v>
                </c:pt>
                <c:pt idx="88">
                  <c:v>2968.1</c:v>
                </c:pt>
                <c:pt idx="89">
                  <c:v>2986.6</c:v>
                </c:pt>
                <c:pt idx="90">
                  <c:v>3033.6</c:v>
                </c:pt>
                <c:pt idx="91">
                  <c:v>3046.4</c:v>
                </c:pt>
                <c:pt idx="92">
                  <c:v>3069.7</c:v>
                </c:pt>
                <c:pt idx="93">
                  <c:v>3079.7</c:v>
                </c:pt>
                <c:pt idx="94">
                  <c:v>3131</c:v>
                </c:pt>
                <c:pt idx="95">
                  <c:v>3224.7</c:v>
                </c:pt>
                <c:pt idx="96">
                  <c:v>3257.9</c:v>
                </c:pt>
                <c:pt idx="97">
                  <c:v>3262.9</c:v>
                </c:pt>
                <c:pt idx="98">
                  <c:v>3289</c:v>
                </c:pt>
                <c:pt idx="99">
                  <c:v>3290.7</c:v>
                </c:pt>
                <c:pt idx="100">
                  <c:v>3313.9</c:v>
                </c:pt>
                <c:pt idx="101">
                  <c:v>3314.9</c:v>
                </c:pt>
                <c:pt idx="102">
                  <c:v>3325.4</c:v>
                </c:pt>
                <c:pt idx="103">
                  <c:v>3349</c:v>
                </c:pt>
                <c:pt idx="104">
                  <c:v>3379.7</c:v>
                </c:pt>
                <c:pt idx="105">
                  <c:v>3387.5</c:v>
                </c:pt>
                <c:pt idx="106">
                  <c:v>3395</c:v>
                </c:pt>
                <c:pt idx="107">
                  <c:v>3433.4</c:v>
                </c:pt>
                <c:pt idx="108">
                  <c:v>3449.1</c:v>
                </c:pt>
                <c:pt idx="109">
                  <c:v>3453.9</c:v>
                </c:pt>
                <c:pt idx="110">
                  <c:v>3454.9</c:v>
                </c:pt>
                <c:pt idx="111">
                  <c:v>3468.4</c:v>
                </c:pt>
                <c:pt idx="112">
                  <c:v>3470.3</c:v>
                </c:pt>
                <c:pt idx="113">
                  <c:v>3509.4</c:v>
                </c:pt>
                <c:pt idx="114">
                  <c:v>3591.9</c:v>
                </c:pt>
                <c:pt idx="115">
                  <c:v>3629.9</c:v>
                </c:pt>
                <c:pt idx="116">
                  <c:v>3637.7</c:v>
                </c:pt>
                <c:pt idx="117">
                  <c:v>3640.6</c:v>
                </c:pt>
                <c:pt idx="118">
                  <c:v>3678.5</c:v>
                </c:pt>
                <c:pt idx="119">
                  <c:v>3692</c:v>
                </c:pt>
                <c:pt idx="120">
                  <c:v>3746</c:v>
                </c:pt>
                <c:pt idx="121">
                  <c:v>3759.1</c:v>
                </c:pt>
                <c:pt idx="122">
                  <c:v>3811.3</c:v>
                </c:pt>
                <c:pt idx="123">
                  <c:v>3856.7</c:v>
                </c:pt>
                <c:pt idx="124">
                  <c:v>3869.5</c:v>
                </c:pt>
                <c:pt idx="125">
                  <c:v>3871</c:v>
                </c:pt>
                <c:pt idx="126">
                  <c:v>3877.4</c:v>
                </c:pt>
                <c:pt idx="127">
                  <c:v>3890.5</c:v>
                </c:pt>
                <c:pt idx="128">
                  <c:v>3944</c:v>
                </c:pt>
                <c:pt idx="129">
                  <c:v>3955.9</c:v>
                </c:pt>
                <c:pt idx="130">
                  <c:v>4030.6</c:v>
                </c:pt>
                <c:pt idx="131">
                  <c:v>4042.5</c:v>
                </c:pt>
                <c:pt idx="132">
                  <c:v>4045.9</c:v>
                </c:pt>
                <c:pt idx="133">
                  <c:v>4112.6000000000004</c:v>
                </c:pt>
                <c:pt idx="134">
                  <c:v>4118.5</c:v>
                </c:pt>
                <c:pt idx="135">
                  <c:v>4211.8</c:v>
                </c:pt>
                <c:pt idx="136">
                  <c:v>4227.1000000000004</c:v>
                </c:pt>
                <c:pt idx="137">
                  <c:v>4231.7</c:v>
                </c:pt>
                <c:pt idx="138">
                  <c:v>4265.7</c:v>
                </c:pt>
                <c:pt idx="139">
                  <c:v>4301.7</c:v>
                </c:pt>
                <c:pt idx="140">
                  <c:v>4302.3999999999996</c:v>
                </c:pt>
                <c:pt idx="141">
                  <c:v>4387</c:v>
                </c:pt>
                <c:pt idx="142">
                  <c:v>4487.2</c:v>
                </c:pt>
                <c:pt idx="143">
                  <c:v>4531.3999999999996</c:v>
                </c:pt>
                <c:pt idx="144">
                  <c:v>4533.2</c:v>
                </c:pt>
                <c:pt idx="145">
                  <c:v>4583.6000000000004</c:v>
                </c:pt>
                <c:pt idx="146">
                  <c:v>4618</c:v>
                </c:pt>
                <c:pt idx="147">
                  <c:v>4625</c:v>
                </c:pt>
                <c:pt idx="148">
                  <c:v>4660.7</c:v>
                </c:pt>
                <c:pt idx="149">
                  <c:v>4669.2</c:v>
                </c:pt>
                <c:pt idx="150">
                  <c:v>4729.8</c:v>
                </c:pt>
                <c:pt idx="151">
                  <c:v>4776.7</c:v>
                </c:pt>
                <c:pt idx="152">
                  <c:v>4805.7</c:v>
                </c:pt>
                <c:pt idx="153">
                  <c:v>4825.8999999999996</c:v>
                </c:pt>
                <c:pt idx="154">
                  <c:v>4830</c:v>
                </c:pt>
                <c:pt idx="155">
                  <c:v>4848.8999999999996</c:v>
                </c:pt>
                <c:pt idx="156">
                  <c:v>4855.8</c:v>
                </c:pt>
                <c:pt idx="157">
                  <c:v>4920.8</c:v>
                </c:pt>
                <c:pt idx="158">
                  <c:v>5061.8</c:v>
                </c:pt>
                <c:pt idx="159">
                  <c:v>5102</c:v>
                </c:pt>
                <c:pt idx="160">
                  <c:v>5177</c:v>
                </c:pt>
                <c:pt idx="161">
                  <c:v>5202.6000000000004</c:v>
                </c:pt>
                <c:pt idx="162">
                  <c:v>5211.8999999999996</c:v>
                </c:pt>
                <c:pt idx="163">
                  <c:v>5277.4</c:v>
                </c:pt>
                <c:pt idx="164">
                  <c:v>5368.1</c:v>
                </c:pt>
                <c:pt idx="165">
                  <c:v>5388.6</c:v>
                </c:pt>
                <c:pt idx="166">
                  <c:v>5553.6</c:v>
                </c:pt>
                <c:pt idx="167">
                  <c:v>5578.7</c:v>
                </c:pt>
                <c:pt idx="168">
                  <c:v>5595.9</c:v>
                </c:pt>
                <c:pt idx="169">
                  <c:v>5633.6</c:v>
                </c:pt>
                <c:pt idx="170">
                  <c:v>5669.4</c:v>
                </c:pt>
                <c:pt idx="171">
                  <c:v>5693.9</c:v>
                </c:pt>
                <c:pt idx="172">
                  <c:v>5722.6</c:v>
                </c:pt>
                <c:pt idx="173">
                  <c:v>5728.9</c:v>
                </c:pt>
                <c:pt idx="174">
                  <c:v>5766.2</c:v>
                </c:pt>
                <c:pt idx="175">
                  <c:v>5793.4</c:v>
                </c:pt>
                <c:pt idx="176">
                  <c:v>5854</c:v>
                </c:pt>
                <c:pt idx="177">
                  <c:v>5855.8</c:v>
                </c:pt>
                <c:pt idx="178">
                  <c:v>5960.9</c:v>
                </c:pt>
                <c:pt idx="179">
                  <c:v>6036.1</c:v>
                </c:pt>
                <c:pt idx="180">
                  <c:v>6049.4</c:v>
                </c:pt>
                <c:pt idx="181">
                  <c:v>6133</c:v>
                </c:pt>
                <c:pt idx="182">
                  <c:v>6198.9</c:v>
                </c:pt>
                <c:pt idx="183">
                  <c:v>6264.4</c:v>
                </c:pt>
                <c:pt idx="184">
                  <c:v>6276.6</c:v>
                </c:pt>
                <c:pt idx="185">
                  <c:v>6280.4</c:v>
                </c:pt>
                <c:pt idx="186">
                  <c:v>6618.6</c:v>
                </c:pt>
                <c:pt idx="187">
                  <c:v>6816.2</c:v>
                </c:pt>
                <c:pt idx="188">
                  <c:v>7132.8</c:v>
                </c:pt>
                <c:pt idx="189">
                  <c:v>7267</c:v>
                </c:pt>
                <c:pt idx="190">
                  <c:v>7354.4</c:v>
                </c:pt>
                <c:pt idx="191">
                  <c:v>7492.8</c:v>
                </c:pt>
                <c:pt idx="192">
                  <c:v>7523.3</c:v>
                </c:pt>
                <c:pt idx="193">
                  <c:v>7613.7</c:v>
                </c:pt>
                <c:pt idx="194">
                  <c:v>7937.4</c:v>
                </c:pt>
                <c:pt idx="195">
                  <c:v>8053.9</c:v>
                </c:pt>
                <c:pt idx="196">
                  <c:v>8102.4</c:v>
                </c:pt>
                <c:pt idx="197">
                  <c:v>8605.7999999999993</c:v>
                </c:pt>
                <c:pt idx="198">
                  <c:v>8811.7000000000007</c:v>
                </c:pt>
                <c:pt idx="199">
                  <c:v>9165.7000000000007</c:v>
                </c:pt>
              </c:numCache>
            </c:numRef>
          </c:xVal>
          <c:yVal>
            <c:numRef>
              <c:f>Max_Verosimilitud!$T$13:$T$212</c:f>
              <c:numCache>
                <c:formatCode>0.00000</c:formatCode>
                <c:ptCount val="200"/>
                <c:pt idx="0">
                  <c:v>7.0617291035260932E-3</c:v>
                </c:pt>
                <c:pt idx="1">
                  <c:v>8.7752782531942408E-3</c:v>
                </c:pt>
                <c:pt idx="2">
                  <c:v>9.0115955329802544E-3</c:v>
                </c:pt>
                <c:pt idx="3">
                  <c:v>1.2010467790314672E-2</c:v>
                </c:pt>
                <c:pt idx="4">
                  <c:v>1.5462007930746258E-2</c:v>
                </c:pt>
                <c:pt idx="5">
                  <c:v>2.112164931030569E-2</c:v>
                </c:pt>
                <c:pt idx="6">
                  <c:v>2.8093501608212224E-2</c:v>
                </c:pt>
                <c:pt idx="7">
                  <c:v>3.1531059186037713E-2</c:v>
                </c:pt>
                <c:pt idx="8">
                  <c:v>3.1669873124788528E-2</c:v>
                </c:pt>
                <c:pt idx="9">
                  <c:v>3.6563407263653036E-2</c:v>
                </c:pt>
                <c:pt idx="10">
                  <c:v>3.799361948340374E-2</c:v>
                </c:pt>
                <c:pt idx="11">
                  <c:v>4.2919539694391107E-2</c:v>
                </c:pt>
                <c:pt idx="12">
                  <c:v>4.6936951759044554E-2</c:v>
                </c:pt>
                <c:pt idx="13">
                  <c:v>4.7236641740245666E-2</c:v>
                </c:pt>
                <c:pt idx="14">
                  <c:v>4.9095124768798737E-2</c:v>
                </c:pt>
                <c:pt idx="15">
                  <c:v>5.2025474706662078E-2</c:v>
                </c:pt>
                <c:pt idx="16">
                  <c:v>5.4514655883876828E-2</c:v>
                </c:pt>
                <c:pt idx="17">
                  <c:v>5.7664151677280562E-2</c:v>
                </c:pt>
                <c:pt idx="18">
                  <c:v>6.0825943461242704E-2</c:v>
                </c:pt>
                <c:pt idx="19">
                  <c:v>6.174286801763007E-2</c:v>
                </c:pt>
                <c:pt idx="20">
                  <c:v>6.4061311088510764E-2</c:v>
                </c:pt>
                <c:pt idx="21">
                  <c:v>6.8229585242086888E-2</c:v>
                </c:pt>
                <c:pt idx="22">
                  <c:v>7.3408483393230139E-2</c:v>
                </c:pt>
                <c:pt idx="23">
                  <c:v>7.6737418888122022E-2</c:v>
                </c:pt>
                <c:pt idx="24">
                  <c:v>8.1857953931969374E-2</c:v>
                </c:pt>
                <c:pt idx="25">
                  <c:v>8.1889731592978188E-2</c:v>
                </c:pt>
                <c:pt idx="26">
                  <c:v>8.2622041905931587E-2</c:v>
                </c:pt>
                <c:pt idx="27">
                  <c:v>8.5147295573389625E-2</c:v>
                </c:pt>
                <c:pt idx="28">
                  <c:v>8.5158063124618932E-2</c:v>
                </c:pt>
                <c:pt idx="29">
                  <c:v>8.5298092798180125E-2</c:v>
                </c:pt>
                <c:pt idx="30">
                  <c:v>9.1220673043372003E-2</c:v>
                </c:pt>
                <c:pt idx="31">
                  <c:v>9.2030842655862588E-2</c:v>
                </c:pt>
                <c:pt idx="32">
                  <c:v>9.3033715118220339E-2</c:v>
                </c:pt>
                <c:pt idx="33">
                  <c:v>9.6521891194012333E-2</c:v>
                </c:pt>
                <c:pt idx="34">
                  <c:v>0.10113392679448252</c:v>
                </c:pt>
                <c:pt idx="35">
                  <c:v>0.1042252757480242</c:v>
                </c:pt>
                <c:pt idx="36">
                  <c:v>0.10754289052731547</c:v>
                </c:pt>
                <c:pt idx="37">
                  <c:v>0.11258378010810433</c:v>
                </c:pt>
                <c:pt idx="38">
                  <c:v>0.1144093813637832</c:v>
                </c:pt>
                <c:pt idx="39">
                  <c:v>0.11818057915695035</c:v>
                </c:pt>
                <c:pt idx="40">
                  <c:v>0.1202259247771742</c:v>
                </c:pt>
                <c:pt idx="41">
                  <c:v>0.1259633546471558</c:v>
                </c:pt>
                <c:pt idx="42">
                  <c:v>0.134008925915996</c:v>
                </c:pt>
                <c:pt idx="43">
                  <c:v>0.13444698273698452</c:v>
                </c:pt>
                <c:pt idx="44">
                  <c:v>0.13603610346882111</c:v>
                </c:pt>
                <c:pt idx="45">
                  <c:v>0.13885630225258905</c:v>
                </c:pt>
                <c:pt idx="46">
                  <c:v>0.14625705341681683</c:v>
                </c:pt>
                <c:pt idx="47">
                  <c:v>0.15038430270119174</c:v>
                </c:pt>
                <c:pt idx="48">
                  <c:v>0.15453820227025683</c:v>
                </c:pt>
                <c:pt idx="49">
                  <c:v>0.15774757087361024</c:v>
                </c:pt>
                <c:pt idx="50">
                  <c:v>0.15885431758080182</c:v>
                </c:pt>
                <c:pt idx="51">
                  <c:v>0.16074597197101415</c:v>
                </c:pt>
                <c:pt idx="52">
                  <c:v>0.16096578765353975</c:v>
                </c:pt>
                <c:pt idx="53">
                  <c:v>0.16420603353466279</c:v>
                </c:pt>
                <c:pt idx="54">
                  <c:v>0.17013480119809643</c:v>
                </c:pt>
                <c:pt idx="55">
                  <c:v>0.17209838565943258</c:v>
                </c:pt>
                <c:pt idx="56">
                  <c:v>0.1748597659313057</c:v>
                </c:pt>
                <c:pt idx="57">
                  <c:v>0.17526955092238883</c:v>
                </c:pt>
                <c:pt idx="58">
                  <c:v>0.18958537552355859</c:v>
                </c:pt>
                <c:pt idx="59">
                  <c:v>0.19081833499634437</c:v>
                </c:pt>
                <c:pt idx="60">
                  <c:v>0.19142846509276035</c:v>
                </c:pt>
                <c:pt idx="61">
                  <c:v>0.19672627515009178</c:v>
                </c:pt>
                <c:pt idx="62">
                  <c:v>0.20006118084521274</c:v>
                </c:pt>
                <c:pt idx="63">
                  <c:v>0.20169792765397154</c:v>
                </c:pt>
                <c:pt idx="64">
                  <c:v>0.20403443160937829</c:v>
                </c:pt>
                <c:pt idx="65">
                  <c:v>0.20520561251724656</c:v>
                </c:pt>
                <c:pt idx="66">
                  <c:v>0.20747933492316017</c:v>
                </c:pt>
                <c:pt idx="67">
                  <c:v>0.21109023494441947</c:v>
                </c:pt>
                <c:pt idx="68">
                  <c:v>0.21284229228529938</c:v>
                </c:pt>
                <c:pt idx="69">
                  <c:v>0.21300722401355043</c:v>
                </c:pt>
                <c:pt idx="70">
                  <c:v>0.2130222195755912</c:v>
                </c:pt>
                <c:pt idx="71">
                  <c:v>0.21335219643183734</c:v>
                </c:pt>
                <c:pt idx="72">
                  <c:v>0.21685562472240938</c:v>
                </c:pt>
                <c:pt idx="73">
                  <c:v>0.2178357736701253</c:v>
                </c:pt>
                <c:pt idx="74">
                  <c:v>0.22160158446670675</c:v>
                </c:pt>
                <c:pt idx="75">
                  <c:v>0.23260147513316487</c:v>
                </c:pt>
                <c:pt idx="76">
                  <c:v>0.23418405986852064</c:v>
                </c:pt>
                <c:pt idx="77">
                  <c:v>0.23984469453964563</c:v>
                </c:pt>
                <c:pt idx="78">
                  <c:v>0.24737549802865633</c:v>
                </c:pt>
                <c:pt idx="79">
                  <c:v>0.24948145861313675</c:v>
                </c:pt>
                <c:pt idx="80">
                  <c:v>0.24991876833756177</c:v>
                </c:pt>
                <c:pt idx="81">
                  <c:v>0.25010624085709188</c:v>
                </c:pt>
                <c:pt idx="82">
                  <c:v>0.25670353337411322</c:v>
                </c:pt>
                <c:pt idx="83">
                  <c:v>0.26579041541027559</c:v>
                </c:pt>
                <c:pt idx="84">
                  <c:v>0.2738269080332062</c:v>
                </c:pt>
                <c:pt idx="85">
                  <c:v>0.27870976053676533</c:v>
                </c:pt>
                <c:pt idx="86">
                  <c:v>0.2889416009420841</c:v>
                </c:pt>
                <c:pt idx="87">
                  <c:v>0.29179173410279313</c:v>
                </c:pt>
                <c:pt idx="88">
                  <c:v>0.29422693561775104</c:v>
                </c:pt>
                <c:pt idx="89">
                  <c:v>0.29721499646995519</c:v>
                </c:pt>
                <c:pt idx="90">
                  <c:v>0.30482760264332887</c:v>
                </c:pt>
                <c:pt idx="91">
                  <c:v>0.30690584703773338</c:v>
                </c:pt>
                <c:pt idx="92">
                  <c:v>0.31069410133828135</c:v>
                </c:pt>
                <c:pt idx="93">
                  <c:v>0.31232195006607066</c:v>
                </c:pt>
                <c:pt idx="94">
                  <c:v>0.3206903817622333</c:v>
                </c:pt>
                <c:pt idx="95">
                  <c:v>0.33604180676302597</c:v>
                </c:pt>
                <c:pt idx="96">
                  <c:v>0.34149838992934645</c:v>
                </c:pt>
                <c:pt idx="97">
                  <c:v>0.34232083405776847</c:v>
                </c:pt>
                <c:pt idx="98">
                  <c:v>0.34661660864697863</c:v>
                </c:pt>
                <c:pt idx="99">
                  <c:v>0.34689655559899613</c:v>
                </c:pt>
                <c:pt idx="100">
                  <c:v>0.35071865865180463</c:v>
                </c:pt>
                <c:pt idx="101">
                  <c:v>0.35088347089133065</c:v>
                </c:pt>
                <c:pt idx="102">
                  <c:v>0.35261431263262288</c:v>
                </c:pt>
                <c:pt idx="103">
                  <c:v>0.35650655092834649</c:v>
                </c:pt>
                <c:pt idx="104">
                  <c:v>0.36157336535183837</c:v>
                </c:pt>
                <c:pt idx="105">
                  <c:v>0.3628612689940528</c:v>
                </c:pt>
                <c:pt idx="106">
                  <c:v>0.36409983304213522</c:v>
                </c:pt>
                <c:pt idx="107">
                  <c:v>0.37044387696079406</c:v>
                </c:pt>
                <c:pt idx="108">
                  <c:v>0.37303869572474291</c:v>
                </c:pt>
                <c:pt idx="109">
                  <c:v>0.3738321110607441</c:v>
                </c:pt>
                <c:pt idx="110">
                  <c:v>0.37399741099677042</c:v>
                </c:pt>
                <c:pt idx="111">
                  <c:v>0.37622911560858086</c:v>
                </c:pt>
                <c:pt idx="112">
                  <c:v>0.37654322860680234</c:v>
                </c:pt>
                <c:pt idx="113">
                  <c:v>0.38300814400934946</c:v>
                </c:pt>
                <c:pt idx="114">
                  <c:v>0.39664886271947841</c:v>
                </c:pt>
                <c:pt idx="115">
                  <c:v>0.40292885027798231</c:v>
                </c:pt>
                <c:pt idx="116">
                  <c:v>0.40421748164463223</c:v>
                </c:pt>
                <c:pt idx="117">
                  <c:v>0.40469654581047998</c:v>
                </c:pt>
                <c:pt idx="118">
                  <c:v>0.41095501137388057</c:v>
                </c:pt>
                <c:pt idx="119">
                  <c:v>0.41318305204079475</c:v>
                </c:pt>
                <c:pt idx="120">
                  <c:v>0.42208727150821335</c:v>
                </c:pt>
                <c:pt idx="121">
                  <c:v>0.42424518131091415</c:v>
                </c:pt>
                <c:pt idx="122">
                  <c:v>0.43283384653931667</c:v>
                </c:pt>
                <c:pt idx="123">
                  <c:v>0.44028881030972167</c:v>
                </c:pt>
                <c:pt idx="124">
                  <c:v>0.44238784607089321</c:v>
                </c:pt>
                <c:pt idx="125">
                  <c:v>0.44263374139834388</c:v>
                </c:pt>
                <c:pt idx="126">
                  <c:v>0.4436826896362267</c:v>
                </c:pt>
                <c:pt idx="127">
                  <c:v>0.44582869959398952</c:v>
                </c:pt>
                <c:pt idx="128">
                  <c:v>0.45457727540938397</c:v>
                </c:pt>
                <c:pt idx="129">
                  <c:v>0.45651958155503991</c:v>
                </c:pt>
                <c:pt idx="130">
                  <c:v>0.46867862014248907</c:v>
                </c:pt>
                <c:pt idx="131">
                  <c:v>0.47060992833103177</c:v>
                </c:pt>
                <c:pt idx="132">
                  <c:v>0.47116142831370933</c:v>
                </c:pt>
                <c:pt idx="133">
                  <c:v>0.48195210092162588</c:v>
                </c:pt>
                <c:pt idx="134">
                  <c:v>0.48290388320943423</c:v>
                </c:pt>
                <c:pt idx="135">
                  <c:v>0.49789130198757126</c:v>
                </c:pt>
                <c:pt idx="136">
                  <c:v>0.50033701593711699</c:v>
                </c:pt>
                <c:pt idx="137">
                  <c:v>0.5010716334857469</c:v>
                </c:pt>
                <c:pt idx="138">
                  <c:v>0.50649123230577586</c:v>
                </c:pt>
                <c:pt idx="139">
                  <c:v>0.51220950859285863</c:v>
                </c:pt>
                <c:pt idx="140">
                  <c:v>0.51232048671469799</c:v>
                </c:pt>
                <c:pt idx="141">
                  <c:v>0.52567126286366683</c:v>
                </c:pt>
                <c:pt idx="142">
                  <c:v>0.54131573953061585</c:v>
                </c:pt>
                <c:pt idx="143">
                  <c:v>0.54815482325056664</c:v>
                </c:pt>
                <c:pt idx="144">
                  <c:v>0.54843250190231974</c:v>
                </c:pt>
                <c:pt idx="145">
                  <c:v>0.55618028748468884</c:v>
                </c:pt>
                <c:pt idx="146">
                  <c:v>0.56143764579195388</c:v>
                </c:pt>
                <c:pt idx="147">
                  <c:v>0.5625043301753454</c:v>
                </c:pt>
                <c:pt idx="148">
                  <c:v>0.5679276881599109</c:v>
                </c:pt>
                <c:pt idx="149">
                  <c:v>0.56921479416977105</c:v>
                </c:pt>
                <c:pt idx="150">
                  <c:v>0.57834360313163935</c:v>
                </c:pt>
                <c:pt idx="151">
                  <c:v>0.58535011938894987</c:v>
                </c:pt>
                <c:pt idx="152">
                  <c:v>0.58965629473674641</c:v>
                </c:pt>
                <c:pt idx="153">
                  <c:v>0.59264372853483827</c:v>
                </c:pt>
                <c:pt idx="154">
                  <c:v>0.59324887071283605</c:v>
                </c:pt>
                <c:pt idx="155">
                  <c:v>0.5960330747117476</c:v>
                </c:pt>
                <c:pt idx="156">
                  <c:v>0.59704732670104277</c:v>
                </c:pt>
                <c:pt idx="157">
                  <c:v>0.60654317539227531</c:v>
                </c:pt>
                <c:pt idx="158">
                  <c:v>0.62676522104383747</c:v>
                </c:pt>
                <c:pt idx="159">
                  <c:v>0.6324329613994778</c:v>
                </c:pt>
                <c:pt idx="160">
                  <c:v>0.64288752599041743</c:v>
                </c:pt>
                <c:pt idx="161">
                  <c:v>0.64641981035153639</c:v>
                </c:pt>
                <c:pt idx="162">
                  <c:v>0.64769840661811484</c:v>
                </c:pt>
                <c:pt idx="163">
                  <c:v>0.65663318941546844</c:v>
                </c:pt>
                <c:pt idx="164">
                  <c:v>0.66879879636280637</c:v>
                </c:pt>
                <c:pt idx="165">
                  <c:v>0.67151469745512382</c:v>
                </c:pt>
                <c:pt idx="166">
                  <c:v>0.69291140927736916</c:v>
                </c:pt>
                <c:pt idx="167">
                  <c:v>0.69609310498833121</c:v>
                </c:pt>
                <c:pt idx="168">
                  <c:v>0.69826208896989317</c:v>
                </c:pt>
                <c:pt idx="169">
                  <c:v>0.70298391046845221</c:v>
                </c:pt>
                <c:pt idx="170">
                  <c:v>0.70742652311521448</c:v>
                </c:pt>
                <c:pt idx="171">
                  <c:v>0.71044359596349937</c:v>
                </c:pt>
                <c:pt idx="172">
                  <c:v>0.7139537435460952</c:v>
                </c:pt>
                <c:pt idx="173">
                  <c:v>0.71472076907108595</c:v>
                </c:pt>
                <c:pt idx="174">
                  <c:v>0.71923619771006209</c:v>
                </c:pt>
                <c:pt idx="175">
                  <c:v>0.72250098947736929</c:v>
                </c:pt>
                <c:pt idx="176">
                  <c:v>0.72968958729580047</c:v>
                </c:pt>
                <c:pt idx="177">
                  <c:v>0.72990130701127875</c:v>
                </c:pt>
                <c:pt idx="178">
                  <c:v>0.7420822031931551</c:v>
                </c:pt>
                <c:pt idx="179">
                  <c:v>0.75057820464951008</c:v>
                </c:pt>
                <c:pt idx="180">
                  <c:v>0.7520616958072126</c:v>
                </c:pt>
                <c:pt idx="181">
                  <c:v>0.76125457825004084</c:v>
                </c:pt>
                <c:pt idx="182">
                  <c:v>0.76834047377685</c:v>
                </c:pt>
                <c:pt idx="183">
                  <c:v>0.77524290591751721</c:v>
                </c:pt>
                <c:pt idx="184">
                  <c:v>0.77651308120330675</c:v>
                </c:pt>
                <c:pt idx="185">
                  <c:v>0.77690771767970457</c:v>
                </c:pt>
                <c:pt idx="186">
                  <c:v>0.81015025681586772</c:v>
                </c:pt>
                <c:pt idx="187">
                  <c:v>0.82786964404361718</c:v>
                </c:pt>
                <c:pt idx="188">
                  <c:v>0.85371212337770042</c:v>
                </c:pt>
                <c:pt idx="189">
                  <c:v>0.86374728562361558</c:v>
                </c:pt>
                <c:pt idx="190">
                  <c:v>0.86999741909673434</c:v>
                </c:pt>
                <c:pt idx="191">
                  <c:v>0.87944465723579635</c:v>
                </c:pt>
                <c:pt idx="192">
                  <c:v>0.88145372478661166</c:v>
                </c:pt>
                <c:pt idx="193">
                  <c:v>0.88725676964439704</c:v>
                </c:pt>
                <c:pt idx="194">
                  <c:v>0.9062400348060935</c:v>
                </c:pt>
                <c:pt idx="195">
                  <c:v>0.91241565933659474</c:v>
                </c:pt>
                <c:pt idx="196">
                  <c:v>0.91488873480551558</c:v>
                </c:pt>
                <c:pt idx="197">
                  <c:v>0.93738209795630134</c:v>
                </c:pt>
                <c:pt idx="198">
                  <c:v>0.94504720776917694</c:v>
                </c:pt>
                <c:pt idx="199">
                  <c:v>0.95639623558893694</c:v>
                </c:pt>
              </c:numCache>
            </c:numRef>
          </c:yVal>
          <c:smooth val="1"/>
          <c:extLst>
            <c:ext xmlns:c16="http://schemas.microsoft.com/office/drawing/2014/chart" uri="{C3380CC4-5D6E-409C-BE32-E72D297353CC}">
              <c16:uniqueId val="{00000001-5BAD-41E2-867E-04084C46E8B6}"/>
            </c:ext>
          </c:extLst>
        </c:ser>
        <c:dLbls>
          <c:showLegendKey val="0"/>
          <c:showVal val="0"/>
          <c:showCatName val="0"/>
          <c:showSerName val="0"/>
          <c:showPercent val="0"/>
          <c:showBubbleSize val="0"/>
        </c:dLbls>
        <c:axId val="88161180"/>
        <c:axId val="23991594"/>
      </c:scatterChart>
      <c:valAx>
        <c:axId val="88161180"/>
        <c:scaling>
          <c:orientation val="minMax"/>
        </c:scaling>
        <c:delete val="0"/>
        <c:axPos val="b"/>
        <c:majorGridlines>
          <c:spPr>
            <a:ln w="9360">
              <a:solidFill>
                <a:srgbClr val="878787"/>
              </a:solidFill>
              <a:round/>
            </a:ln>
          </c:spPr>
        </c:majorGridlines>
        <c:minorGridlines/>
        <c:title>
          <c:tx>
            <c:rich>
              <a:bodyPr rot="0"/>
              <a:lstStyle/>
              <a:p>
                <a:pPr>
                  <a:defRPr/>
                </a:pPr>
                <a:r>
                  <a:rPr lang="en-US"/>
                  <a:t>Tiempo de operacion t (h)</a:t>
                </a:r>
              </a:p>
            </c:rich>
          </c:tx>
          <c:overlay val="0"/>
          <c:spPr>
            <a:noFill/>
            <a:ln w="0">
              <a:noFill/>
            </a:ln>
          </c:spPr>
        </c:title>
        <c:numFmt formatCode="#,##0" sourceLinked="0"/>
        <c:majorTickMark val="none"/>
        <c:minorTickMark val="none"/>
        <c:tickLblPos val="nextTo"/>
        <c:spPr>
          <a:ln w="9360">
            <a:solidFill>
              <a:schemeClr val="bg1">
                <a:lumMod val="85000"/>
              </a:schemeClr>
            </a:solidFill>
            <a:round/>
          </a:ln>
        </c:spPr>
        <c:crossAx val="23991594"/>
        <c:crosses val="autoZero"/>
        <c:crossBetween val="midCat"/>
      </c:valAx>
      <c:valAx>
        <c:axId val="23991594"/>
        <c:scaling>
          <c:orientation val="minMax"/>
          <c:max val="1"/>
        </c:scaling>
        <c:delete val="0"/>
        <c:axPos val="l"/>
        <c:majorGridlines>
          <c:spPr>
            <a:ln w="9360">
              <a:solidFill>
                <a:srgbClr val="878787"/>
              </a:solidFill>
              <a:round/>
            </a:ln>
          </c:spPr>
        </c:majorGridlines>
        <c:title>
          <c:tx>
            <c:rich>
              <a:bodyPr rot="-5400000"/>
              <a:lstStyle/>
              <a:p>
                <a:pPr>
                  <a:defRPr/>
                </a:pPr>
                <a:r>
                  <a:rPr lang="en-US"/>
                  <a:t>Probabilidad acumulada de falla F(t)</a:t>
                </a:r>
              </a:p>
            </c:rich>
          </c:tx>
          <c:overlay val="0"/>
          <c:spPr>
            <a:noFill/>
            <a:ln w="0">
              <a:noFill/>
            </a:ln>
          </c:spPr>
        </c:title>
        <c:numFmt formatCode="0.0" sourceLinked="0"/>
        <c:majorTickMark val="none"/>
        <c:minorTickMark val="none"/>
        <c:tickLblPos val="nextTo"/>
        <c:spPr>
          <a:ln w="9360">
            <a:solidFill>
              <a:srgbClr val="878787"/>
            </a:solidFill>
            <a:round/>
          </a:ln>
        </c:spPr>
        <c:crossAx val="88161180"/>
        <c:crosses val="autoZero"/>
        <c:crossBetween val="midCat"/>
      </c:valAx>
      <c:spPr>
        <a:noFill/>
        <a:ln w="0">
          <a:noFill/>
        </a:ln>
      </c:spPr>
    </c:plotArea>
    <c:legend>
      <c:legendPos val="t"/>
      <c:overlay val="0"/>
      <c:spPr>
        <a:noFill/>
        <a:ln w="0">
          <a:noFill/>
        </a:ln>
      </c:spPr>
    </c:legend>
    <c:plotVisOnly val="1"/>
    <c:dispBlanksAs val="gap"/>
    <c:showDLblsOverMax val="1"/>
  </c:chart>
  <c:spPr>
    <a:solidFill>
      <a:srgbClr val="FFFFFF"/>
    </a:solidFill>
    <a:ln w="9360">
      <a:solidFill>
        <a:srgbClr val="D9D9D9"/>
      </a:solidFill>
      <a:round/>
    </a:ln>
  </c:spPr>
  <c:txPr>
    <a:bodyPr/>
    <a:lstStyle/>
    <a:p>
      <a:pPr>
        <a:defRPr sz="1200">
          <a:latin typeface="Avenir Next LT Pro" panose="020B050402020202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a:pPr>
            <a:r>
              <a:rPr lang="en-US"/>
              <a:t>Curva de supervivencia Kaplan-Meier con banda de confianza del 95%</a:t>
            </a:r>
          </a:p>
        </c:rich>
      </c:tx>
      <c:overlay val="0"/>
      <c:spPr>
        <a:noFill/>
        <a:ln w="0">
          <a:noFill/>
        </a:ln>
      </c:spPr>
    </c:title>
    <c:autoTitleDeleted val="0"/>
    <c:plotArea>
      <c:layout/>
      <c:scatterChart>
        <c:scatterStyle val="lineMarker"/>
        <c:varyColors val="0"/>
        <c:ser>
          <c:idx val="0"/>
          <c:order val="0"/>
          <c:tx>
            <c:v>Limite superior 95%</c:v>
          </c:tx>
          <c:spPr>
            <a:ln w="15840">
              <a:solidFill>
                <a:srgbClr val="FF0000"/>
              </a:solidFill>
              <a:prstDash val="dash"/>
              <a:round/>
            </a:ln>
          </c:spPr>
          <c:marker>
            <c:symbol val="none"/>
          </c:marker>
          <c:dLbls>
            <c:spPr>
              <a:noFill/>
              <a:ln>
                <a:noFill/>
              </a:ln>
              <a:effectLst/>
            </c:sp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15840">
                      <a:solidFill>
                        <a:srgbClr val="000000"/>
                      </a:solidFill>
                      <a:prstDash val="dash"/>
                    </a:ln>
                  </c:spPr>
                </c15:leaderLines>
              </c:ext>
            </c:extLst>
          </c:dLbls>
          <c:xVal>
            <c:numRef>
              <c:f>Kaplan_Meier!$B$8:$B$207</c:f>
              <c:numCache>
                <c:formatCode>#,##0.0</c:formatCode>
                <c:ptCount val="200"/>
                <c:pt idx="0">
                  <c:v>401.7</c:v>
                </c:pt>
                <c:pt idx="1">
                  <c:v>449.3</c:v>
                </c:pt>
                <c:pt idx="2">
                  <c:v>455.5</c:v>
                </c:pt>
                <c:pt idx="3">
                  <c:v>528.29999999999995</c:v>
                </c:pt>
                <c:pt idx="4">
                  <c:v>602</c:v>
                </c:pt>
                <c:pt idx="5">
                  <c:v>707.6</c:v>
                </c:pt>
                <c:pt idx="6">
                  <c:v>820.7</c:v>
                </c:pt>
                <c:pt idx="7">
                  <c:v>871.6</c:v>
                </c:pt>
                <c:pt idx="8">
                  <c:v>873.6</c:v>
                </c:pt>
                <c:pt idx="9">
                  <c:v>941.7</c:v>
                </c:pt>
                <c:pt idx="10">
                  <c:v>960.8</c:v>
                </c:pt>
                <c:pt idx="11">
                  <c:v>1024.2</c:v>
                </c:pt>
                <c:pt idx="12">
                  <c:v>1073.5</c:v>
                </c:pt>
                <c:pt idx="13">
                  <c:v>1077.0999999999999</c:v>
                </c:pt>
                <c:pt idx="14">
                  <c:v>1099.2</c:v>
                </c:pt>
                <c:pt idx="15">
                  <c:v>1133.3</c:v>
                </c:pt>
                <c:pt idx="16">
                  <c:v>1161.5999999999999</c:v>
                </c:pt>
                <c:pt idx="17">
                  <c:v>1196.5999999999999</c:v>
                </c:pt>
                <c:pt idx="18">
                  <c:v>1230.9000000000001</c:v>
                </c:pt>
                <c:pt idx="19">
                  <c:v>1240.7</c:v>
                </c:pt>
                <c:pt idx="20">
                  <c:v>1265.2</c:v>
                </c:pt>
                <c:pt idx="21">
                  <c:v>1308.3</c:v>
                </c:pt>
                <c:pt idx="22">
                  <c:v>1360.3</c:v>
                </c:pt>
                <c:pt idx="23">
                  <c:v>1392.9</c:v>
                </c:pt>
                <c:pt idx="24">
                  <c:v>1441.9</c:v>
                </c:pt>
                <c:pt idx="25">
                  <c:v>1442.2</c:v>
                </c:pt>
                <c:pt idx="26">
                  <c:v>1449.1</c:v>
                </c:pt>
                <c:pt idx="27">
                  <c:v>1472.7</c:v>
                </c:pt>
                <c:pt idx="28">
                  <c:v>1472.8</c:v>
                </c:pt>
                <c:pt idx="29">
                  <c:v>1474.1</c:v>
                </c:pt>
                <c:pt idx="30">
                  <c:v>1528.3</c:v>
                </c:pt>
                <c:pt idx="31">
                  <c:v>1535.6</c:v>
                </c:pt>
                <c:pt idx="32">
                  <c:v>1544.6</c:v>
                </c:pt>
                <c:pt idx="33">
                  <c:v>1575.6</c:v>
                </c:pt>
                <c:pt idx="34">
                  <c:v>1615.9</c:v>
                </c:pt>
                <c:pt idx="35">
                  <c:v>1642.5</c:v>
                </c:pt>
                <c:pt idx="36">
                  <c:v>1670.7</c:v>
                </c:pt>
                <c:pt idx="37">
                  <c:v>1712.9</c:v>
                </c:pt>
                <c:pt idx="38">
                  <c:v>1728</c:v>
                </c:pt>
                <c:pt idx="39">
                  <c:v>1758.9</c:v>
                </c:pt>
                <c:pt idx="40">
                  <c:v>1775.5</c:v>
                </c:pt>
                <c:pt idx="41">
                  <c:v>1821.5</c:v>
                </c:pt>
                <c:pt idx="42">
                  <c:v>1884.7</c:v>
                </c:pt>
                <c:pt idx="43">
                  <c:v>1888.1</c:v>
                </c:pt>
                <c:pt idx="44">
                  <c:v>1900.4</c:v>
                </c:pt>
                <c:pt idx="45">
                  <c:v>1922.1</c:v>
                </c:pt>
                <c:pt idx="46">
                  <c:v>1978.3</c:v>
                </c:pt>
                <c:pt idx="47">
                  <c:v>2009.2</c:v>
                </c:pt>
                <c:pt idx="48">
                  <c:v>2040</c:v>
                </c:pt>
                <c:pt idx="49">
                  <c:v>2063.6</c:v>
                </c:pt>
                <c:pt idx="50">
                  <c:v>2071.6999999999998</c:v>
                </c:pt>
                <c:pt idx="51">
                  <c:v>2085.5</c:v>
                </c:pt>
                <c:pt idx="52">
                  <c:v>2087.1</c:v>
                </c:pt>
                <c:pt idx="53">
                  <c:v>2110.6</c:v>
                </c:pt>
                <c:pt idx="54">
                  <c:v>2153.1999999999998</c:v>
                </c:pt>
                <c:pt idx="55">
                  <c:v>2167.1999999999998</c:v>
                </c:pt>
                <c:pt idx="56">
                  <c:v>2186.8000000000002</c:v>
                </c:pt>
                <c:pt idx="57">
                  <c:v>2189.6999999999998</c:v>
                </c:pt>
                <c:pt idx="58">
                  <c:v>2289.6999999999998</c:v>
                </c:pt>
                <c:pt idx="59">
                  <c:v>2298.1999999999998</c:v>
                </c:pt>
                <c:pt idx="60">
                  <c:v>2302.4</c:v>
                </c:pt>
                <c:pt idx="61">
                  <c:v>2338.6999999999998</c:v>
                </c:pt>
                <c:pt idx="62">
                  <c:v>2361.4</c:v>
                </c:pt>
                <c:pt idx="63">
                  <c:v>2372.5</c:v>
                </c:pt>
                <c:pt idx="64">
                  <c:v>2388.3000000000002</c:v>
                </c:pt>
                <c:pt idx="65">
                  <c:v>2396.1999999999998</c:v>
                </c:pt>
                <c:pt idx="66">
                  <c:v>2411.5</c:v>
                </c:pt>
                <c:pt idx="67">
                  <c:v>2435.6999999999998</c:v>
                </c:pt>
                <c:pt idx="68">
                  <c:v>2447.4</c:v>
                </c:pt>
                <c:pt idx="69">
                  <c:v>2448.5</c:v>
                </c:pt>
                <c:pt idx="70">
                  <c:v>2448.6</c:v>
                </c:pt>
                <c:pt idx="71">
                  <c:v>2450.8000000000002</c:v>
                </c:pt>
                <c:pt idx="72">
                  <c:v>2474.1</c:v>
                </c:pt>
                <c:pt idx="73">
                  <c:v>2480.6</c:v>
                </c:pt>
                <c:pt idx="74">
                  <c:v>2505.5</c:v>
                </c:pt>
                <c:pt idx="75">
                  <c:v>2577.6</c:v>
                </c:pt>
                <c:pt idx="76">
                  <c:v>2587.9</c:v>
                </c:pt>
                <c:pt idx="77">
                  <c:v>2624.6</c:v>
                </c:pt>
                <c:pt idx="78">
                  <c:v>2673.1</c:v>
                </c:pt>
                <c:pt idx="79">
                  <c:v>2686.6</c:v>
                </c:pt>
                <c:pt idx="80">
                  <c:v>2689.4</c:v>
                </c:pt>
                <c:pt idx="81">
                  <c:v>2690.6</c:v>
                </c:pt>
                <c:pt idx="82">
                  <c:v>2732.7</c:v>
                </c:pt>
                <c:pt idx="83">
                  <c:v>2790.3</c:v>
                </c:pt>
                <c:pt idx="84">
                  <c:v>2840.9</c:v>
                </c:pt>
                <c:pt idx="85">
                  <c:v>2871.5</c:v>
                </c:pt>
                <c:pt idx="86">
                  <c:v>2935.3</c:v>
                </c:pt>
                <c:pt idx="87">
                  <c:v>2953</c:v>
                </c:pt>
                <c:pt idx="88">
                  <c:v>2968.1</c:v>
                </c:pt>
                <c:pt idx="89">
                  <c:v>2986.6</c:v>
                </c:pt>
                <c:pt idx="90">
                  <c:v>3033.6</c:v>
                </c:pt>
                <c:pt idx="91">
                  <c:v>3046.4</c:v>
                </c:pt>
                <c:pt idx="92">
                  <c:v>3069.7</c:v>
                </c:pt>
                <c:pt idx="93">
                  <c:v>3079.7</c:v>
                </c:pt>
                <c:pt idx="94">
                  <c:v>3131</c:v>
                </c:pt>
                <c:pt idx="95">
                  <c:v>3224.7</c:v>
                </c:pt>
                <c:pt idx="96">
                  <c:v>3257.9</c:v>
                </c:pt>
                <c:pt idx="97">
                  <c:v>3262.9</c:v>
                </c:pt>
                <c:pt idx="98">
                  <c:v>3289</c:v>
                </c:pt>
                <c:pt idx="99">
                  <c:v>3290.7</c:v>
                </c:pt>
                <c:pt idx="100">
                  <c:v>3313.9</c:v>
                </c:pt>
                <c:pt idx="101">
                  <c:v>3314.9</c:v>
                </c:pt>
                <c:pt idx="102">
                  <c:v>3325.4</c:v>
                </c:pt>
                <c:pt idx="103">
                  <c:v>3349</c:v>
                </c:pt>
                <c:pt idx="104">
                  <c:v>3379.7</c:v>
                </c:pt>
                <c:pt idx="105">
                  <c:v>3387.5</c:v>
                </c:pt>
                <c:pt idx="106">
                  <c:v>3395</c:v>
                </c:pt>
                <c:pt idx="107">
                  <c:v>3433.4</c:v>
                </c:pt>
                <c:pt idx="108">
                  <c:v>3449.1</c:v>
                </c:pt>
                <c:pt idx="109">
                  <c:v>3453.9</c:v>
                </c:pt>
                <c:pt idx="110">
                  <c:v>3454.9</c:v>
                </c:pt>
                <c:pt idx="111">
                  <c:v>3468.4</c:v>
                </c:pt>
                <c:pt idx="112">
                  <c:v>3470.3</c:v>
                </c:pt>
                <c:pt idx="113">
                  <c:v>3509.4</c:v>
                </c:pt>
                <c:pt idx="114">
                  <c:v>3591.9</c:v>
                </c:pt>
                <c:pt idx="115">
                  <c:v>3629.9</c:v>
                </c:pt>
                <c:pt idx="116">
                  <c:v>3637.7</c:v>
                </c:pt>
                <c:pt idx="117">
                  <c:v>3640.6</c:v>
                </c:pt>
                <c:pt idx="118">
                  <c:v>3678.5</c:v>
                </c:pt>
                <c:pt idx="119">
                  <c:v>3692</c:v>
                </c:pt>
                <c:pt idx="120">
                  <c:v>3746</c:v>
                </c:pt>
                <c:pt idx="121">
                  <c:v>3759.1</c:v>
                </c:pt>
                <c:pt idx="122">
                  <c:v>3811.3</c:v>
                </c:pt>
                <c:pt idx="123">
                  <c:v>3856.7</c:v>
                </c:pt>
                <c:pt idx="124">
                  <c:v>3869.5</c:v>
                </c:pt>
                <c:pt idx="125">
                  <c:v>3871</c:v>
                </c:pt>
                <c:pt idx="126">
                  <c:v>3877.4</c:v>
                </c:pt>
                <c:pt idx="127">
                  <c:v>3890.5</c:v>
                </c:pt>
                <c:pt idx="128">
                  <c:v>3944</c:v>
                </c:pt>
                <c:pt idx="129">
                  <c:v>3955.9</c:v>
                </c:pt>
                <c:pt idx="130">
                  <c:v>4030.6</c:v>
                </c:pt>
                <c:pt idx="131">
                  <c:v>4042.5</c:v>
                </c:pt>
                <c:pt idx="132">
                  <c:v>4045.9</c:v>
                </c:pt>
                <c:pt idx="133">
                  <c:v>4112.6000000000004</c:v>
                </c:pt>
                <c:pt idx="134">
                  <c:v>4118.5</c:v>
                </c:pt>
                <c:pt idx="135">
                  <c:v>4211.8</c:v>
                </c:pt>
                <c:pt idx="136">
                  <c:v>4227.1000000000004</c:v>
                </c:pt>
                <c:pt idx="137">
                  <c:v>4231.7</c:v>
                </c:pt>
                <c:pt idx="138">
                  <c:v>4265.7</c:v>
                </c:pt>
                <c:pt idx="139">
                  <c:v>4301.7</c:v>
                </c:pt>
                <c:pt idx="140">
                  <c:v>4302.3999999999996</c:v>
                </c:pt>
                <c:pt idx="141">
                  <c:v>4387</c:v>
                </c:pt>
                <c:pt idx="142">
                  <c:v>4487.2</c:v>
                </c:pt>
                <c:pt idx="143">
                  <c:v>4531.3999999999996</c:v>
                </c:pt>
                <c:pt idx="144">
                  <c:v>4533.2</c:v>
                </c:pt>
                <c:pt idx="145">
                  <c:v>4583.6000000000004</c:v>
                </c:pt>
                <c:pt idx="146">
                  <c:v>4618</c:v>
                </c:pt>
                <c:pt idx="147">
                  <c:v>4625</c:v>
                </c:pt>
                <c:pt idx="148">
                  <c:v>4660.7</c:v>
                </c:pt>
                <c:pt idx="149">
                  <c:v>4669.2</c:v>
                </c:pt>
                <c:pt idx="150">
                  <c:v>4729.8</c:v>
                </c:pt>
                <c:pt idx="151">
                  <c:v>4776.7</c:v>
                </c:pt>
                <c:pt idx="152">
                  <c:v>4805.7</c:v>
                </c:pt>
                <c:pt idx="153">
                  <c:v>4825.8999999999996</c:v>
                </c:pt>
                <c:pt idx="154">
                  <c:v>4830</c:v>
                </c:pt>
                <c:pt idx="155">
                  <c:v>4848.8999999999996</c:v>
                </c:pt>
                <c:pt idx="156">
                  <c:v>4855.8</c:v>
                </c:pt>
                <c:pt idx="157">
                  <c:v>4920.8</c:v>
                </c:pt>
                <c:pt idx="158">
                  <c:v>5061.8</c:v>
                </c:pt>
                <c:pt idx="159">
                  <c:v>5102</c:v>
                </c:pt>
                <c:pt idx="160">
                  <c:v>5177</c:v>
                </c:pt>
                <c:pt idx="161">
                  <c:v>5202.6000000000004</c:v>
                </c:pt>
                <c:pt idx="162">
                  <c:v>5211.8999999999996</c:v>
                </c:pt>
                <c:pt idx="163">
                  <c:v>5277.4</c:v>
                </c:pt>
                <c:pt idx="164">
                  <c:v>5368.1</c:v>
                </c:pt>
                <c:pt idx="165">
                  <c:v>5388.6</c:v>
                </c:pt>
                <c:pt idx="166">
                  <c:v>5553.6</c:v>
                </c:pt>
                <c:pt idx="167">
                  <c:v>5578.7</c:v>
                </c:pt>
                <c:pt idx="168">
                  <c:v>5595.9</c:v>
                </c:pt>
                <c:pt idx="169">
                  <c:v>5633.6</c:v>
                </c:pt>
                <c:pt idx="170">
                  <c:v>5669.4</c:v>
                </c:pt>
                <c:pt idx="171">
                  <c:v>5693.9</c:v>
                </c:pt>
                <c:pt idx="172">
                  <c:v>5722.6</c:v>
                </c:pt>
                <c:pt idx="173">
                  <c:v>5728.9</c:v>
                </c:pt>
                <c:pt idx="174">
                  <c:v>5766.2</c:v>
                </c:pt>
                <c:pt idx="175">
                  <c:v>5793.4</c:v>
                </c:pt>
                <c:pt idx="176">
                  <c:v>5854</c:v>
                </c:pt>
                <c:pt idx="177">
                  <c:v>5855.8</c:v>
                </c:pt>
                <c:pt idx="178">
                  <c:v>5960.9</c:v>
                </c:pt>
                <c:pt idx="179">
                  <c:v>6036.1</c:v>
                </c:pt>
                <c:pt idx="180">
                  <c:v>6049.4</c:v>
                </c:pt>
                <c:pt idx="181">
                  <c:v>6133</c:v>
                </c:pt>
                <c:pt idx="182">
                  <c:v>6198.9</c:v>
                </c:pt>
                <c:pt idx="183">
                  <c:v>6264.4</c:v>
                </c:pt>
                <c:pt idx="184">
                  <c:v>6276.6</c:v>
                </c:pt>
                <c:pt idx="185">
                  <c:v>6280.4</c:v>
                </c:pt>
                <c:pt idx="186">
                  <c:v>6618.6</c:v>
                </c:pt>
                <c:pt idx="187">
                  <c:v>6816.2</c:v>
                </c:pt>
                <c:pt idx="188">
                  <c:v>7132.8</c:v>
                </c:pt>
                <c:pt idx="189">
                  <c:v>7267</c:v>
                </c:pt>
                <c:pt idx="190">
                  <c:v>7354.4</c:v>
                </c:pt>
                <c:pt idx="191">
                  <c:v>7492.8</c:v>
                </c:pt>
                <c:pt idx="192">
                  <c:v>7523.3</c:v>
                </c:pt>
                <c:pt idx="193">
                  <c:v>7613.7</c:v>
                </c:pt>
                <c:pt idx="194">
                  <c:v>7937.4</c:v>
                </c:pt>
                <c:pt idx="195">
                  <c:v>8053.9</c:v>
                </c:pt>
                <c:pt idx="196">
                  <c:v>8102.4</c:v>
                </c:pt>
                <c:pt idx="197">
                  <c:v>8605.7999999999993</c:v>
                </c:pt>
                <c:pt idx="198">
                  <c:v>8811.7000000000007</c:v>
                </c:pt>
                <c:pt idx="199">
                  <c:v>9165.7000000000007</c:v>
                </c:pt>
              </c:numCache>
            </c:numRef>
          </c:xVal>
          <c:yVal>
            <c:numRef>
              <c:f>Kaplan_Meier!$L$8:$L$207</c:f>
              <c:numCache>
                <c:formatCode>0.00</c:formatCode>
                <c:ptCount val="200"/>
                <c:pt idx="0">
                  <c:v>0.99929416652189229</c:v>
                </c:pt>
                <c:pt idx="1">
                  <c:v>0.9974896056008804</c:v>
                </c:pt>
                <c:pt idx="2">
                  <c:v>0.99513744135389592</c:v>
                </c:pt>
                <c:pt idx="3">
                  <c:v>0.99244636280119736</c:v>
                </c:pt>
                <c:pt idx="4">
                  <c:v>0.98951759826857899</c:v>
                </c:pt>
                <c:pt idx="5">
                  <c:v>0.98640949488018181</c:v>
                </c:pt>
                <c:pt idx="6">
                  <c:v>0.98315939670214381</c:v>
                </c:pt>
                <c:pt idx="7">
                  <c:v>0.9797929541667445</c:v>
                </c:pt>
                <c:pt idx="8">
                  <c:v>0.97632870785670789</c:v>
                </c:pt>
                <c:pt idx="9">
                  <c:v>0.97278058743373774</c:v>
                </c:pt>
                <c:pt idx="10">
                  <c:v>0.97278058743373774</c:v>
                </c:pt>
                <c:pt idx="11">
                  <c:v>0.97278058743373774</c:v>
                </c:pt>
                <c:pt idx="12">
                  <c:v>0.97278058743373774</c:v>
                </c:pt>
                <c:pt idx="13">
                  <c:v>0.96911472174250901</c:v>
                </c:pt>
                <c:pt idx="14">
                  <c:v>0.96538180465084222</c:v>
                </c:pt>
                <c:pt idx="15">
                  <c:v>0.96538180465084222</c:v>
                </c:pt>
                <c:pt idx="16">
                  <c:v>0.9615730409454516</c:v>
                </c:pt>
                <c:pt idx="17">
                  <c:v>0.9615730409454516</c:v>
                </c:pt>
                <c:pt idx="18">
                  <c:v>0.95769310323023793</c:v>
                </c:pt>
                <c:pt idx="19">
                  <c:v>0.95769310323023793</c:v>
                </c:pt>
                <c:pt idx="20">
                  <c:v>0.95769310323023793</c:v>
                </c:pt>
                <c:pt idx="21">
                  <c:v>0.95769310323023793</c:v>
                </c:pt>
                <c:pt idx="22">
                  <c:v>0.95371096646295261</c:v>
                </c:pt>
                <c:pt idx="23">
                  <c:v>0.94968099340017542</c:v>
                </c:pt>
                <c:pt idx="24">
                  <c:v>0.94560713391665452</c:v>
                </c:pt>
                <c:pt idx="25">
                  <c:v>0.94149278311332263</c:v>
                </c:pt>
                <c:pt idx="26">
                  <c:v>0.94149278311332263</c:v>
                </c:pt>
                <c:pt idx="27">
                  <c:v>0.93732163254302348</c:v>
                </c:pt>
                <c:pt idx="28">
                  <c:v>0.93732163254302348</c:v>
                </c:pt>
                <c:pt idx="29">
                  <c:v>0.93732163254302348</c:v>
                </c:pt>
                <c:pt idx="30">
                  <c:v>0.93732163254302348</c:v>
                </c:pt>
                <c:pt idx="31">
                  <c:v>0.93732163254302348</c:v>
                </c:pt>
                <c:pt idx="32">
                  <c:v>0.93732163254302348</c:v>
                </c:pt>
                <c:pt idx="33">
                  <c:v>0.93732163254302348</c:v>
                </c:pt>
                <c:pt idx="34">
                  <c:v>0.93732163254302348</c:v>
                </c:pt>
                <c:pt idx="35">
                  <c:v>0.9329725544928068</c:v>
                </c:pt>
                <c:pt idx="36">
                  <c:v>0.9329725544928068</c:v>
                </c:pt>
                <c:pt idx="37">
                  <c:v>0.9329725544928068</c:v>
                </c:pt>
                <c:pt idx="38">
                  <c:v>0.92854288579283195</c:v>
                </c:pt>
                <c:pt idx="39">
                  <c:v>0.92854288579283195</c:v>
                </c:pt>
                <c:pt idx="40">
                  <c:v>0.92854288579283195</c:v>
                </c:pt>
                <c:pt idx="41">
                  <c:v>0.92854288579283195</c:v>
                </c:pt>
                <c:pt idx="42">
                  <c:v>0.92400930887562538</c:v>
                </c:pt>
                <c:pt idx="43">
                  <c:v>0.92400930887562538</c:v>
                </c:pt>
                <c:pt idx="44">
                  <c:v>0.91941639087177718</c:v>
                </c:pt>
                <c:pt idx="45">
                  <c:v>0.91941639087177718</c:v>
                </c:pt>
                <c:pt idx="46">
                  <c:v>0.91476496855653822</c:v>
                </c:pt>
                <c:pt idx="47">
                  <c:v>0.91008051429322423</c:v>
                </c:pt>
                <c:pt idx="48">
                  <c:v>0.90536484811536277</c:v>
                </c:pt>
                <c:pt idx="49">
                  <c:v>0.90061960456480072</c:v>
                </c:pt>
                <c:pt idx="50">
                  <c:v>0.89584625818171026</c:v>
                </c:pt>
                <c:pt idx="51">
                  <c:v>0.89584625818171026</c:v>
                </c:pt>
                <c:pt idx="52">
                  <c:v>0.89101963914075721</c:v>
                </c:pt>
                <c:pt idx="53">
                  <c:v>0.88616693652217804</c:v>
                </c:pt>
                <c:pt idx="54">
                  <c:v>0.88128929227953245</c:v>
                </c:pt>
                <c:pt idx="55">
                  <c:v>0.88128929227953245</c:v>
                </c:pt>
                <c:pt idx="56">
                  <c:v>0.87635973160668057</c:v>
                </c:pt>
                <c:pt idx="57">
                  <c:v>0.87635973160668057</c:v>
                </c:pt>
                <c:pt idx="58">
                  <c:v>0.87137799396999516</c:v>
                </c:pt>
                <c:pt idx="59">
                  <c:v>0.87137799396999516</c:v>
                </c:pt>
                <c:pt idx="60">
                  <c:v>0.86634374882058274</c:v>
                </c:pt>
                <c:pt idx="61">
                  <c:v>0.86128684525078825</c:v>
                </c:pt>
                <c:pt idx="62">
                  <c:v>0.85620810922785906</c:v>
                </c:pt>
                <c:pt idx="63">
                  <c:v>0.85620810922785906</c:v>
                </c:pt>
                <c:pt idx="64">
                  <c:v>0.85107720863813319</c:v>
                </c:pt>
                <c:pt idx="65">
                  <c:v>0.84592546773722876</c:v>
                </c:pt>
                <c:pt idx="66">
                  <c:v>0.84075356608471497</c:v>
                </c:pt>
                <c:pt idx="67">
                  <c:v>0.84075356608471497</c:v>
                </c:pt>
                <c:pt idx="68">
                  <c:v>0.84075356608471497</c:v>
                </c:pt>
                <c:pt idx="69">
                  <c:v>0.83549621449664313</c:v>
                </c:pt>
                <c:pt idx="70">
                  <c:v>0.83549621449664313</c:v>
                </c:pt>
                <c:pt idx="71">
                  <c:v>0.8301849532144534</c:v>
                </c:pt>
                <c:pt idx="72">
                  <c:v>0.82485391083270876</c:v>
                </c:pt>
                <c:pt idx="73">
                  <c:v>0.81950365969395933</c:v>
                </c:pt>
                <c:pt idx="74">
                  <c:v>0.81413473362401201</c:v>
                </c:pt>
                <c:pt idx="75">
                  <c:v>0.80874763126093396</c:v>
                </c:pt>
                <c:pt idx="76">
                  <c:v>0.80874763126093396</c:v>
                </c:pt>
                <c:pt idx="77">
                  <c:v>0.80874763126093396</c:v>
                </c:pt>
                <c:pt idx="78">
                  <c:v>0.80874763126093396</c:v>
                </c:pt>
                <c:pt idx="79">
                  <c:v>0.80323094505671822</c:v>
                </c:pt>
                <c:pt idx="80">
                  <c:v>0.80323094505671822</c:v>
                </c:pt>
                <c:pt idx="81">
                  <c:v>0.79765673151529892</c:v>
                </c:pt>
                <c:pt idx="82">
                  <c:v>0.79765673151529892</c:v>
                </c:pt>
                <c:pt idx="83">
                  <c:v>0.79202388022258019</c:v>
                </c:pt>
                <c:pt idx="84">
                  <c:v>0.79202388022258019</c:v>
                </c:pt>
                <c:pt idx="85">
                  <c:v>0.78633121554820429</c:v>
                </c:pt>
                <c:pt idx="86">
                  <c:v>0.78633121554820429</c:v>
                </c:pt>
                <c:pt idx="87">
                  <c:v>0.78633121554820429</c:v>
                </c:pt>
                <c:pt idx="88">
                  <c:v>0.78053475588110932</c:v>
                </c:pt>
                <c:pt idx="89">
                  <c:v>0.78053475588110932</c:v>
                </c:pt>
                <c:pt idx="90">
                  <c:v>0.78053475588110932</c:v>
                </c:pt>
                <c:pt idx="91">
                  <c:v>0.77463009423739837</c:v>
                </c:pt>
                <c:pt idx="92">
                  <c:v>0.76870505543700351</c:v>
                </c:pt>
                <c:pt idx="93">
                  <c:v>0.76870505543700351</c:v>
                </c:pt>
                <c:pt idx="94">
                  <c:v>0.76870505543700351</c:v>
                </c:pt>
                <c:pt idx="95">
                  <c:v>0.76870505543700351</c:v>
                </c:pt>
                <c:pt idx="96">
                  <c:v>0.76870505543700351</c:v>
                </c:pt>
                <c:pt idx="97">
                  <c:v>0.76256939315100669</c:v>
                </c:pt>
                <c:pt idx="98">
                  <c:v>0.76256939315100669</c:v>
                </c:pt>
                <c:pt idx="99">
                  <c:v>0.75636125807555432</c:v>
                </c:pt>
                <c:pt idx="100">
                  <c:v>0.75013071887642802</c:v>
                </c:pt>
                <c:pt idx="101">
                  <c:v>0.74387828941559497</c:v>
                </c:pt>
                <c:pt idx="102">
                  <c:v>0.7376044475624306</c:v>
                </c:pt>
                <c:pt idx="103">
                  <c:v>0.73130963811090943</c:v>
                </c:pt>
                <c:pt idx="104">
                  <c:v>0.72499427536466332</c:v>
                </c:pt>
                <c:pt idx="105">
                  <c:v>0.71865874543447916</c:v>
                </c:pt>
                <c:pt idx="106">
                  <c:v>0.7123034082857076</c:v>
                </c:pt>
                <c:pt idx="107">
                  <c:v>0.7123034082857076</c:v>
                </c:pt>
                <c:pt idx="108">
                  <c:v>0.70587089661706837</c:v>
                </c:pt>
                <c:pt idx="109">
                  <c:v>0.699418494690354</c:v>
                </c:pt>
                <c:pt idx="110">
                  <c:v>0.69294651604097468</c:v>
                </c:pt>
                <c:pt idx="111">
                  <c:v>0.69294651604097468</c:v>
                </c:pt>
                <c:pt idx="112">
                  <c:v>0.68639378009566698</c:v>
                </c:pt>
                <c:pt idx="113">
                  <c:v>0.67982126768871021</c:v>
                </c:pt>
                <c:pt idx="114">
                  <c:v>0.67322925183713433</c:v>
                </c:pt>
                <c:pt idx="115">
                  <c:v>0.66661798573625275</c:v>
                </c:pt>
                <c:pt idx="116">
                  <c:v>0.65998770387554395</c:v>
                </c:pt>
                <c:pt idx="117">
                  <c:v>0.65998770387554395</c:v>
                </c:pt>
                <c:pt idx="118">
                  <c:v>0.65327093542830039</c:v>
                </c:pt>
                <c:pt idx="119">
                  <c:v>0.64653476190260195</c:v>
                </c:pt>
                <c:pt idx="120">
                  <c:v>0.63977938545851365</c:v>
                </c:pt>
                <c:pt idx="121">
                  <c:v>0.63300499140768118</c:v>
                </c:pt>
                <c:pt idx="122">
                  <c:v>0.63300499140768118</c:v>
                </c:pt>
                <c:pt idx="123">
                  <c:v>0.62613812035443672</c:v>
                </c:pt>
                <c:pt idx="124">
                  <c:v>0.61925168633796102</c:v>
                </c:pt>
                <c:pt idx="125">
                  <c:v>0.61234584520000113</c:v>
                </c:pt>
                <c:pt idx="126">
                  <c:v>0.60542073693625464</c:v>
                </c:pt>
                <c:pt idx="127">
                  <c:v>0.59847648625760408</c:v>
                </c:pt>
                <c:pt idx="128">
                  <c:v>0.59151320308120947</c:v>
                </c:pt>
                <c:pt idx="129">
                  <c:v>0.59151320308120947</c:v>
                </c:pt>
                <c:pt idx="130">
                  <c:v>0.59151320308120947</c:v>
                </c:pt>
                <c:pt idx="131">
                  <c:v>0.5843626557638617</c:v>
                </c:pt>
                <c:pt idx="132">
                  <c:v>0.5843626557638617</c:v>
                </c:pt>
                <c:pt idx="133">
                  <c:v>0.57710252112236171</c:v>
                </c:pt>
                <c:pt idx="134">
                  <c:v>0.56982048823713605</c:v>
                </c:pt>
                <c:pt idx="135">
                  <c:v>0.56982048823713605</c:v>
                </c:pt>
                <c:pt idx="136">
                  <c:v>0.56242233831793798</c:v>
                </c:pt>
                <c:pt idx="137">
                  <c:v>0.55500122842327582</c:v>
                </c:pt>
                <c:pt idx="138">
                  <c:v>0.55500122842327582</c:v>
                </c:pt>
                <c:pt idx="139">
                  <c:v>0.55500122842327582</c:v>
                </c:pt>
                <c:pt idx="140">
                  <c:v>0.54735354656839474</c:v>
                </c:pt>
                <c:pt idx="141">
                  <c:v>0.53968017998048845</c:v>
                </c:pt>
                <c:pt idx="142">
                  <c:v>0.53968017998048845</c:v>
                </c:pt>
                <c:pt idx="143">
                  <c:v>0.53187079738896503</c:v>
                </c:pt>
                <c:pt idx="144">
                  <c:v>0.52403420907365594</c:v>
                </c:pt>
                <c:pt idx="145">
                  <c:v>0.51617047411407446</c:v>
                </c:pt>
                <c:pt idx="146">
                  <c:v>0.50827962319221254</c:v>
                </c:pt>
                <c:pt idx="147">
                  <c:v>0.50827962319221254</c:v>
                </c:pt>
                <c:pt idx="148">
                  <c:v>0.50827962319221254</c:v>
                </c:pt>
                <c:pt idx="149">
                  <c:v>0.50010998063496515</c:v>
                </c:pt>
                <c:pt idx="150">
                  <c:v>0.49190910625271095</c:v>
                </c:pt>
                <c:pt idx="151">
                  <c:v>0.48367699569785111</c:v>
                </c:pt>
                <c:pt idx="152">
                  <c:v>0.48367699569785111</c:v>
                </c:pt>
                <c:pt idx="153">
                  <c:v>0.47527197938601656</c:v>
                </c:pt>
                <c:pt idx="154">
                  <c:v>0.47527197938601656</c:v>
                </c:pt>
                <c:pt idx="155">
                  <c:v>0.47527197938601656</c:v>
                </c:pt>
                <c:pt idx="156">
                  <c:v>0.46652766474413104</c:v>
                </c:pt>
                <c:pt idx="157">
                  <c:v>0.46652766474413104</c:v>
                </c:pt>
                <c:pt idx="158">
                  <c:v>0.45757807422693375</c:v>
                </c:pt>
                <c:pt idx="159">
                  <c:v>0.44858472518696479</c:v>
                </c:pt>
                <c:pt idx="160">
                  <c:v>0.43954754001567992</c:v>
                </c:pt>
                <c:pt idx="161">
                  <c:v>0.43954754001567992</c:v>
                </c:pt>
                <c:pt idx="162">
                  <c:v>0.43954754001567992</c:v>
                </c:pt>
                <c:pt idx="163">
                  <c:v>0.43008437746938694</c:v>
                </c:pt>
                <c:pt idx="164">
                  <c:v>0.42056740206457277</c:v>
                </c:pt>
                <c:pt idx="165">
                  <c:v>0.41099641376672497</c:v>
                </c:pt>
                <c:pt idx="166">
                  <c:v>0.40137109250523528</c:v>
                </c:pt>
                <c:pt idx="167">
                  <c:v>0.39169099574037675</c:v>
                </c:pt>
                <c:pt idx="168">
                  <c:v>0.38195555457715619</c:v>
                </c:pt>
                <c:pt idx="169">
                  <c:v>0.37216406833380378</c:v>
                </c:pt>
                <c:pt idx="170">
                  <c:v>0.36231569742830627</c:v>
                </c:pt>
                <c:pt idx="171">
                  <c:v>0.36231569742830627</c:v>
                </c:pt>
                <c:pt idx="172">
                  <c:v>0.35213950437857455</c:v>
                </c:pt>
                <c:pt idx="173">
                  <c:v>0.3418960450664888</c:v>
                </c:pt>
                <c:pt idx="174">
                  <c:v>0.33158394719092632</c:v>
                </c:pt>
                <c:pt idx="175">
                  <c:v>0.33158394719092632</c:v>
                </c:pt>
                <c:pt idx="176">
                  <c:v>0.32087866533611342</c:v>
                </c:pt>
                <c:pt idx="177">
                  <c:v>0.31008937981114804</c:v>
                </c:pt>
                <c:pt idx="178">
                  <c:v>0.29921378873878457</c:v>
                </c:pt>
                <c:pt idx="179">
                  <c:v>0.28824918440211411</c:v>
                </c:pt>
                <c:pt idx="180">
                  <c:v>0.27719240050837624</c:v>
                </c:pt>
                <c:pt idx="181">
                  <c:v>0.27719240050837624</c:v>
                </c:pt>
                <c:pt idx="182">
                  <c:v>0.27719240050837624</c:v>
                </c:pt>
                <c:pt idx="183">
                  <c:v>0.27719240050837624</c:v>
                </c:pt>
                <c:pt idx="184">
                  <c:v>0.26461450079624926</c:v>
                </c:pt>
                <c:pt idx="185">
                  <c:v>0.25184506717614402</c:v>
                </c:pt>
                <c:pt idx="186">
                  <c:v>0.25184506717614402</c:v>
                </c:pt>
                <c:pt idx="187">
                  <c:v>0.23824216123779443</c:v>
                </c:pt>
                <c:pt idx="188">
                  <c:v>0.22436417458447114</c:v>
                </c:pt>
                <c:pt idx="189">
                  <c:v>0.21019757041320172</c:v>
                </c:pt>
                <c:pt idx="190">
                  <c:v>0.19572374818283933</c:v>
                </c:pt>
                <c:pt idx="191">
                  <c:v>0.19572374818283933</c:v>
                </c:pt>
                <c:pt idx="192">
                  <c:v>0.19572374818283933</c:v>
                </c:pt>
                <c:pt idx="193">
                  <c:v>0.19572374818283933</c:v>
                </c:pt>
                <c:pt idx="194">
                  <c:v>0.17780845476545118</c:v>
                </c:pt>
                <c:pt idx="195">
                  <c:v>0.17780845476545118</c:v>
                </c:pt>
                <c:pt idx="196">
                  <c:v>0.1573127574663957</c:v>
                </c:pt>
                <c:pt idx="197">
                  <c:v>0.1573127574663957</c:v>
                </c:pt>
                <c:pt idx="198">
                  <c:v>0.1573127574663957</c:v>
                </c:pt>
                <c:pt idx="199">
                  <c:v>0.1573127574663957</c:v>
                </c:pt>
              </c:numCache>
            </c:numRef>
          </c:yVal>
          <c:smooth val="1"/>
          <c:extLst>
            <c:ext xmlns:c16="http://schemas.microsoft.com/office/drawing/2014/chart" uri="{C3380CC4-5D6E-409C-BE32-E72D297353CC}">
              <c16:uniqueId val="{00000000-6AA8-4437-B850-EB8609D4A197}"/>
            </c:ext>
          </c:extLst>
        </c:ser>
        <c:ser>
          <c:idx val="1"/>
          <c:order val="1"/>
          <c:tx>
            <c:v>S(t) Kaplan-Meier</c:v>
          </c:tx>
          <c:spPr>
            <a:ln w="29880">
              <a:solidFill>
                <a:srgbClr val="C00000"/>
              </a:solidFill>
              <a:round/>
            </a:ln>
          </c:spPr>
          <c:marker>
            <c:symbol val="none"/>
          </c:marker>
          <c:dLbls>
            <c:spPr>
              <a:noFill/>
              <a:ln>
                <a:noFill/>
              </a:ln>
              <a:effectLst/>
            </c:sp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9880">
                      <a:solidFill>
                        <a:srgbClr val="000000"/>
                      </a:solidFill>
                    </a:ln>
                  </c:spPr>
                </c15:leaderLines>
              </c:ext>
            </c:extLst>
          </c:dLbls>
          <c:xVal>
            <c:numRef>
              <c:f>Kaplan_Meier!$B$8:$B$207</c:f>
              <c:numCache>
                <c:formatCode>#,##0.0</c:formatCode>
                <c:ptCount val="200"/>
                <c:pt idx="0">
                  <c:v>401.7</c:v>
                </c:pt>
                <c:pt idx="1">
                  <c:v>449.3</c:v>
                </c:pt>
                <c:pt idx="2">
                  <c:v>455.5</c:v>
                </c:pt>
                <c:pt idx="3">
                  <c:v>528.29999999999995</c:v>
                </c:pt>
                <c:pt idx="4">
                  <c:v>602</c:v>
                </c:pt>
                <c:pt idx="5">
                  <c:v>707.6</c:v>
                </c:pt>
                <c:pt idx="6">
                  <c:v>820.7</c:v>
                </c:pt>
                <c:pt idx="7">
                  <c:v>871.6</c:v>
                </c:pt>
                <c:pt idx="8">
                  <c:v>873.6</c:v>
                </c:pt>
                <c:pt idx="9">
                  <c:v>941.7</c:v>
                </c:pt>
                <c:pt idx="10">
                  <c:v>960.8</c:v>
                </c:pt>
                <c:pt idx="11">
                  <c:v>1024.2</c:v>
                </c:pt>
                <c:pt idx="12">
                  <c:v>1073.5</c:v>
                </c:pt>
                <c:pt idx="13">
                  <c:v>1077.0999999999999</c:v>
                </c:pt>
                <c:pt idx="14">
                  <c:v>1099.2</c:v>
                </c:pt>
                <c:pt idx="15">
                  <c:v>1133.3</c:v>
                </c:pt>
                <c:pt idx="16">
                  <c:v>1161.5999999999999</c:v>
                </c:pt>
                <c:pt idx="17">
                  <c:v>1196.5999999999999</c:v>
                </c:pt>
                <c:pt idx="18">
                  <c:v>1230.9000000000001</c:v>
                </c:pt>
                <c:pt idx="19">
                  <c:v>1240.7</c:v>
                </c:pt>
                <c:pt idx="20">
                  <c:v>1265.2</c:v>
                </c:pt>
                <c:pt idx="21">
                  <c:v>1308.3</c:v>
                </c:pt>
                <c:pt idx="22">
                  <c:v>1360.3</c:v>
                </c:pt>
                <c:pt idx="23">
                  <c:v>1392.9</c:v>
                </c:pt>
                <c:pt idx="24">
                  <c:v>1441.9</c:v>
                </c:pt>
                <c:pt idx="25">
                  <c:v>1442.2</c:v>
                </c:pt>
                <c:pt idx="26">
                  <c:v>1449.1</c:v>
                </c:pt>
                <c:pt idx="27">
                  <c:v>1472.7</c:v>
                </c:pt>
                <c:pt idx="28">
                  <c:v>1472.8</c:v>
                </c:pt>
                <c:pt idx="29">
                  <c:v>1474.1</c:v>
                </c:pt>
                <c:pt idx="30">
                  <c:v>1528.3</c:v>
                </c:pt>
                <c:pt idx="31">
                  <c:v>1535.6</c:v>
                </c:pt>
                <c:pt idx="32">
                  <c:v>1544.6</c:v>
                </c:pt>
                <c:pt idx="33">
                  <c:v>1575.6</c:v>
                </c:pt>
                <c:pt idx="34">
                  <c:v>1615.9</c:v>
                </c:pt>
                <c:pt idx="35">
                  <c:v>1642.5</c:v>
                </c:pt>
                <c:pt idx="36">
                  <c:v>1670.7</c:v>
                </c:pt>
                <c:pt idx="37">
                  <c:v>1712.9</c:v>
                </c:pt>
                <c:pt idx="38">
                  <c:v>1728</c:v>
                </c:pt>
                <c:pt idx="39">
                  <c:v>1758.9</c:v>
                </c:pt>
                <c:pt idx="40">
                  <c:v>1775.5</c:v>
                </c:pt>
                <c:pt idx="41">
                  <c:v>1821.5</c:v>
                </c:pt>
                <c:pt idx="42">
                  <c:v>1884.7</c:v>
                </c:pt>
                <c:pt idx="43">
                  <c:v>1888.1</c:v>
                </c:pt>
                <c:pt idx="44">
                  <c:v>1900.4</c:v>
                </c:pt>
                <c:pt idx="45">
                  <c:v>1922.1</c:v>
                </c:pt>
                <c:pt idx="46">
                  <c:v>1978.3</c:v>
                </c:pt>
                <c:pt idx="47">
                  <c:v>2009.2</c:v>
                </c:pt>
                <c:pt idx="48">
                  <c:v>2040</c:v>
                </c:pt>
                <c:pt idx="49">
                  <c:v>2063.6</c:v>
                </c:pt>
                <c:pt idx="50">
                  <c:v>2071.6999999999998</c:v>
                </c:pt>
                <c:pt idx="51">
                  <c:v>2085.5</c:v>
                </c:pt>
                <c:pt idx="52">
                  <c:v>2087.1</c:v>
                </c:pt>
                <c:pt idx="53">
                  <c:v>2110.6</c:v>
                </c:pt>
                <c:pt idx="54">
                  <c:v>2153.1999999999998</c:v>
                </c:pt>
                <c:pt idx="55">
                  <c:v>2167.1999999999998</c:v>
                </c:pt>
                <c:pt idx="56">
                  <c:v>2186.8000000000002</c:v>
                </c:pt>
                <c:pt idx="57">
                  <c:v>2189.6999999999998</c:v>
                </c:pt>
                <c:pt idx="58">
                  <c:v>2289.6999999999998</c:v>
                </c:pt>
                <c:pt idx="59">
                  <c:v>2298.1999999999998</c:v>
                </c:pt>
                <c:pt idx="60">
                  <c:v>2302.4</c:v>
                </c:pt>
                <c:pt idx="61">
                  <c:v>2338.6999999999998</c:v>
                </c:pt>
                <c:pt idx="62">
                  <c:v>2361.4</c:v>
                </c:pt>
                <c:pt idx="63">
                  <c:v>2372.5</c:v>
                </c:pt>
                <c:pt idx="64">
                  <c:v>2388.3000000000002</c:v>
                </c:pt>
                <c:pt idx="65">
                  <c:v>2396.1999999999998</c:v>
                </c:pt>
                <c:pt idx="66">
                  <c:v>2411.5</c:v>
                </c:pt>
                <c:pt idx="67">
                  <c:v>2435.6999999999998</c:v>
                </c:pt>
                <c:pt idx="68">
                  <c:v>2447.4</c:v>
                </c:pt>
                <c:pt idx="69">
                  <c:v>2448.5</c:v>
                </c:pt>
                <c:pt idx="70">
                  <c:v>2448.6</c:v>
                </c:pt>
                <c:pt idx="71">
                  <c:v>2450.8000000000002</c:v>
                </c:pt>
                <c:pt idx="72">
                  <c:v>2474.1</c:v>
                </c:pt>
                <c:pt idx="73">
                  <c:v>2480.6</c:v>
                </c:pt>
                <c:pt idx="74">
                  <c:v>2505.5</c:v>
                </c:pt>
                <c:pt idx="75">
                  <c:v>2577.6</c:v>
                </c:pt>
                <c:pt idx="76">
                  <c:v>2587.9</c:v>
                </c:pt>
                <c:pt idx="77">
                  <c:v>2624.6</c:v>
                </c:pt>
                <c:pt idx="78">
                  <c:v>2673.1</c:v>
                </c:pt>
                <c:pt idx="79">
                  <c:v>2686.6</c:v>
                </c:pt>
                <c:pt idx="80">
                  <c:v>2689.4</c:v>
                </c:pt>
                <c:pt idx="81">
                  <c:v>2690.6</c:v>
                </c:pt>
                <c:pt idx="82">
                  <c:v>2732.7</c:v>
                </c:pt>
                <c:pt idx="83">
                  <c:v>2790.3</c:v>
                </c:pt>
                <c:pt idx="84">
                  <c:v>2840.9</c:v>
                </c:pt>
                <c:pt idx="85">
                  <c:v>2871.5</c:v>
                </c:pt>
                <c:pt idx="86">
                  <c:v>2935.3</c:v>
                </c:pt>
                <c:pt idx="87">
                  <c:v>2953</c:v>
                </c:pt>
                <c:pt idx="88">
                  <c:v>2968.1</c:v>
                </c:pt>
                <c:pt idx="89">
                  <c:v>2986.6</c:v>
                </c:pt>
                <c:pt idx="90">
                  <c:v>3033.6</c:v>
                </c:pt>
                <c:pt idx="91">
                  <c:v>3046.4</c:v>
                </c:pt>
                <c:pt idx="92">
                  <c:v>3069.7</c:v>
                </c:pt>
                <c:pt idx="93">
                  <c:v>3079.7</c:v>
                </c:pt>
                <c:pt idx="94">
                  <c:v>3131</c:v>
                </c:pt>
                <c:pt idx="95">
                  <c:v>3224.7</c:v>
                </c:pt>
                <c:pt idx="96">
                  <c:v>3257.9</c:v>
                </c:pt>
                <c:pt idx="97">
                  <c:v>3262.9</c:v>
                </c:pt>
                <c:pt idx="98">
                  <c:v>3289</c:v>
                </c:pt>
                <c:pt idx="99">
                  <c:v>3290.7</c:v>
                </c:pt>
                <c:pt idx="100">
                  <c:v>3313.9</c:v>
                </c:pt>
                <c:pt idx="101">
                  <c:v>3314.9</c:v>
                </c:pt>
                <c:pt idx="102">
                  <c:v>3325.4</c:v>
                </c:pt>
                <c:pt idx="103">
                  <c:v>3349</c:v>
                </c:pt>
                <c:pt idx="104">
                  <c:v>3379.7</c:v>
                </c:pt>
                <c:pt idx="105">
                  <c:v>3387.5</c:v>
                </c:pt>
                <c:pt idx="106">
                  <c:v>3395</c:v>
                </c:pt>
                <c:pt idx="107">
                  <c:v>3433.4</c:v>
                </c:pt>
                <c:pt idx="108">
                  <c:v>3449.1</c:v>
                </c:pt>
                <c:pt idx="109">
                  <c:v>3453.9</c:v>
                </c:pt>
                <c:pt idx="110">
                  <c:v>3454.9</c:v>
                </c:pt>
                <c:pt idx="111">
                  <c:v>3468.4</c:v>
                </c:pt>
                <c:pt idx="112">
                  <c:v>3470.3</c:v>
                </c:pt>
                <c:pt idx="113">
                  <c:v>3509.4</c:v>
                </c:pt>
                <c:pt idx="114">
                  <c:v>3591.9</c:v>
                </c:pt>
                <c:pt idx="115">
                  <c:v>3629.9</c:v>
                </c:pt>
                <c:pt idx="116">
                  <c:v>3637.7</c:v>
                </c:pt>
                <c:pt idx="117">
                  <c:v>3640.6</c:v>
                </c:pt>
                <c:pt idx="118">
                  <c:v>3678.5</c:v>
                </c:pt>
                <c:pt idx="119">
                  <c:v>3692</c:v>
                </c:pt>
                <c:pt idx="120">
                  <c:v>3746</c:v>
                </c:pt>
                <c:pt idx="121">
                  <c:v>3759.1</c:v>
                </c:pt>
                <c:pt idx="122">
                  <c:v>3811.3</c:v>
                </c:pt>
                <c:pt idx="123">
                  <c:v>3856.7</c:v>
                </c:pt>
                <c:pt idx="124">
                  <c:v>3869.5</c:v>
                </c:pt>
                <c:pt idx="125">
                  <c:v>3871</c:v>
                </c:pt>
                <c:pt idx="126">
                  <c:v>3877.4</c:v>
                </c:pt>
                <c:pt idx="127">
                  <c:v>3890.5</c:v>
                </c:pt>
                <c:pt idx="128">
                  <c:v>3944</c:v>
                </c:pt>
                <c:pt idx="129">
                  <c:v>3955.9</c:v>
                </c:pt>
                <c:pt idx="130">
                  <c:v>4030.6</c:v>
                </c:pt>
                <c:pt idx="131">
                  <c:v>4042.5</c:v>
                </c:pt>
                <c:pt idx="132">
                  <c:v>4045.9</c:v>
                </c:pt>
                <c:pt idx="133">
                  <c:v>4112.6000000000004</c:v>
                </c:pt>
                <c:pt idx="134">
                  <c:v>4118.5</c:v>
                </c:pt>
                <c:pt idx="135">
                  <c:v>4211.8</c:v>
                </c:pt>
                <c:pt idx="136">
                  <c:v>4227.1000000000004</c:v>
                </c:pt>
                <c:pt idx="137">
                  <c:v>4231.7</c:v>
                </c:pt>
                <c:pt idx="138">
                  <c:v>4265.7</c:v>
                </c:pt>
                <c:pt idx="139">
                  <c:v>4301.7</c:v>
                </c:pt>
                <c:pt idx="140">
                  <c:v>4302.3999999999996</c:v>
                </c:pt>
                <c:pt idx="141">
                  <c:v>4387</c:v>
                </c:pt>
                <c:pt idx="142">
                  <c:v>4487.2</c:v>
                </c:pt>
                <c:pt idx="143">
                  <c:v>4531.3999999999996</c:v>
                </c:pt>
                <c:pt idx="144">
                  <c:v>4533.2</c:v>
                </c:pt>
                <c:pt idx="145">
                  <c:v>4583.6000000000004</c:v>
                </c:pt>
                <c:pt idx="146">
                  <c:v>4618</c:v>
                </c:pt>
                <c:pt idx="147">
                  <c:v>4625</c:v>
                </c:pt>
                <c:pt idx="148">
                  <c:v>4660.7</c:v>
                </c:pt>
                <c:pt idx="149">
                  <c:v>4669.2</c:v>
                </c:pt>
                <c:pt idx="150">
                  <c:v>4729.8</c:v>
                </c:pt>
                <c:pt idx="151">
                  <c:v>4776.7</c:v>
                </c:pt>
                <c:pt idx="152">
                  <c:v>4805.7</c:v>
                </c:pt>
                <c:pt idx="153">
                  <c:v>4825.8999999999996</c:v>
                </c:pt>
                <c:pt idx="154">
                  <c:v>4830</c:v>
                </c:pt>
                <c:pt idx="155">
                  <c:v>4848.8999999999996</c:v>
                </c:pt>
                <c:pt idx="156">
                  <c:v>4855.8</c:v>
                </c:pt>
                <c:pt idx="157">
                  <c:v>4920.8</c:v>
                </c:pt>
                <c:pt idx="158">
                  <c:v>5061.8</c:v>
                </c:pt>
                <c:pt idx="159">
                  <c:v>5102</c:v>
                </c:pt>
                <c:pt idx="160">
                  <c:v>5177</c:v>
                </c:pt>
                <c:pt idx="161">
                  <c:v>5202.6000000000004</c:v>
                </c:pt>
                <c:pt idx="162">
                  <c:v>5211.8999999999996</c:v>
                </c:pt>
                <c:pt idx="163">
                  <c:v>5277.4</c:v>
                </c:pt>
                <c:pt idx="164">
                  <c:v>5368.1</c:v>
                </c:pt>
                <c:pt idx="165">
                  <c:v>5388.6</c:v>
                </c:pt>
                <c:pt idx="166">
                  <c:v>5553.6</c:v>
                </c:pt>
                <c:pt idx="167">
                  <c:v>5578.7</c:v>
                </c:pt>
                <c:pt idx="168">
                  <c:v>5595.9</c:v>
                </c:pt>
                <c:pt idx="169">
                  <c:v>5633.6</c:v>
                </c:pt>
                <c:pt idx="170">
                  <c:v>5669.4</c:v>
                </c:pt>
                <c:pt idx="171">
                  <c:v>5693.9</c:v>
                </c:pt>
                <c:pt idx="172">
                  <c:v>5722.6</c:v>
                </c:pt>
                <c:pt idx="173">
                  <c:v>5728.9</c:v>
                </c:pt>
                <c:pt idx="174">
                  <c:v>5766.2</c:v>
                </c:pt>
                <c:pt idx="175">
                  <c:v>5793.4</c:v>
                </c:pt>
                <c:pt idx="176">
                  <c:v>5854</c:v>
                </c:pt>
                <c:pt idx="177">
                  <c:v>5855.8</c:v>
                </c:pt>
                <c:pt idx="178">
                  <c:v>5960.9</c:v>
                </c:pt>
                <c:pt idx="179">
                  <c:v>6036.1</c:v>
                </c:pt>
                <c:pt idx="180">
                  <c:v>6049.4</c:v>
                </c:pt>
                <c:pt idx="181">
                  <c:v>6133</c:v>
                </c:pt>
                <c:pt idx="182">
                  <c:v>6198.9</c:v>
                </c:pt>
                <c:pt idx="183">
                  <c:v>6264.4</c:v>
                </c:pt>
                <c:pt idx="184">
                  <c:v>6276.6</c:v>
                </c:pt>
                <c:pt idx="185">
                  <c:v>6280.4</c:v>
                </c:pt>
                <c:pt idx="186">
                  <c:v>6618.6</c:v>
                </c:pt>
                <c:pt idx="187">
                  <c:v>6816.2</c:v>
                </c:pt>
                <c:pt idx="188">
                  <c:v>7132.8</c:v>
                </c:pt>
                <c:pt idx="189">
                  <c:v>7267</c:v>
                </c:pt>
                <c:pt idx="190">
                  <c:v>7354.4</c:v>
                </c:pt>
                <c:pt idx="191">
                  <c:v>7492.8</c:v>
                </c:pt>
                <c:pt idx="192">
                  <c:v>7523.3</c:v>
                </c:pt>
                <c:pt idx="193">
                  <c:v>7613.7</c:v>
                </c:pt>
                <c:pt idx="194">
                  <c:v>7937.4</c:v>
                </c:pt>
                <c:pt idx="195">
                  <c:v>8053.9</c:v>
                </c:pt>
                <c:pt idx="196">
                  <c:v>8102.4</c:v>
                </c:pt>
                <c:pt idx="197">
                  <c:v>8605.7999999999993</c:v>
                </c:pt>
                <c:pt idx="198">
                  <c:v>8811.7000000000007</c:v>
                </c:pt>
                <c:pt idx="199">
                  <c:v>9165.7000000000007</c:v>
                </c:pt>
              </c:numCache>
            </c:numRef>
          </c:xVal>
          <c:yVal>
            <c:numRef>
              <c:f>Kaplan_Meier!$G$8:$G$207</c:f>
              <c:numCache>
                <c:formatCode>0.00</c:formatCode>
                <c:ptCount val="200"/>
                <c:pt idx="0">
                  <c:v>0.995</c:v>
                </c:pt>
                <c:pt idx="1">
                  <c:v>0.99</c:v>
                </c:pt>
                <c:pt idx="2">
                  <c:v>0.98499999999999999</c:v>
                </c:pt>
                <c:pt idx="3">
                  <c:v>0.98</c:v>
                </c:pt>
                <c:pt idx="4">
                  <c:v>0.97499999999999998</c:v>
                </c:pt>
                <c:pt idx="5">
                  <c:v>0.97</c:v>
                </c:pt>
                <c:pt idx="6">
                  <c:v>0.96499999999999997</c:v>
                </c:pt>
                <c:pt idx="7">
                  <c:v>0.96</c:v>
                </c:pt>
                <c:pt idx="8">
                  <c:v>0.95499999999999996</c:v>
                </c:pt>
                <c:pt idx="9">
                  <c:v>0.95</c:v>
                </c:pt>
                <c:pt idx="10">
                  <c:v>0.95</c:v>
                </c:pt>
                <c:pt idx="11">
                  <c:v>0.95</c:v>
                </c:pt>
                <c:pt idx="12">
                  <c:v>0.95</c:v>
                </c:pt>
                <c:pt idx="13">
                  <c:v>0.9449197860962566</c:v>
                </c:pt>
                <c:pt idx="14">
                  <c:v>0.93983957219251324</c:v>
                </c:pt>
                <c:pt idx="15">
                  <c:v>0.93983957219251324</c:v>
                </c:pt>
                <c:pt idx="16">
                  <c:v>0.93473174843059736</c:v>
                </c:pt>
                <c:pt idx="17">
                  <c:v>0.93473174843059736</c:v>
                </c:pt>
                <c:pt idx="18">
                  <c:v>0.92959585970295677</c:v>
                </c:pt>
                <c:pt idx="19">
                  <c:v>0.92959585970295677</c:v>
                </c:pt>
                <c:pt idx="20">
                  <c:v>0.92959585970295677</c:v>
                </c:pt>
                <c:pt idx="21">
                  <c:v>0.92959585970295677</c:v>
                </c:pt>
                <c:pt idx="22">
                  <c:v>0.92437341105294013</c:v>
                </c:pt>
                <c:pt idx="23">
                  <c:v>0.9191509624029236</c:v>
                </c:pt>
                <c:pt idx="24">
                  <c:v>0.91392851375290696</c:v>
                </c:pt>
                <c:pt idx="25">
                  <c:v>0.90870606510289043</c:v>
                </c:pt>
                <c:pt idx="26">
                  <c:v>0.90870606510289043</c:v>
                </c:pt>
                <c:pt idx="27">
                  <c:v>0.90345342888842284</c:v>
                </c:pt>
                <c:pt idx="28">
                  <c:v>0.90345342888842284</c:v>
                </c:pt>
                <c:pt idx="29">
                  <c:v>0.90345342888842284</c:v>
                </c:pt>
                <c:pt idx="30">
                  <c:v>0.90345342888842284</c:v>
                </c:pt>
                <c:pt idx="31">
                  <c:v>0.90345342888842284</c:v>
                </c:pt>
                <c:pt idx="32">
                  <c:v>0.90345342888842284</c:v>
                </c:pt>
                <c:pt idx="33">
                  <c:v>0.90345342888842284</c:v>
                </c:pt>
                <c:pt idx="34">
                  <c:v>0.90345342888842284</c:v>
                </c:pt>
                <c:pt idx="35">
                  <c:v>0.8979779535618263</c:v>
                </c:pt>
                <c:pt idx="36">
                  <c:v>0.8979779535618263</c:v>
                </c:pt>
                <c:pt idx="37">
                  <c:v>0.8979779535618263</c:v>
                </c:pt>
                <c:pt idx="38">
                  <c:v>0.89243487977440761</c:v>
                </c:pt>
                <c:pt idx="39">
                  <c:v>0.89243487977440761</c:v>
                </c:pt>
                <c:pt idx="40">
                  <c:v>0.89243487977440761</c:v>
                </c:pt>
                <c:pt idx="41">
                  <c:v>0.89243487977440761</c:v>
                </c:pt>
                <c:pt idx="42">
                  <c:v>0.88678655775051896</c:v>
                </c:pt>
                <c:pt idx="43">
                  <c:v>0.88678655775051896</c:v>
                </c:pt>
                <c:pt idx="44">
                  <c:v>0.88110202853416952</c:v>
                </c:pt>
                <c:pt idx="45">
                  <c:v>0.88110202853416952</c:v>
                </c:pt>
                <c:pt idx="46">
                  <c:v>0.87538058679044117</c:v>
                </c:pt>
                <c:pt idx="47">
                  <c:v>0.86965914504671282</c:v>
                </c:pt>
                <c:pt idx="48">
                  <c:v>0.86393770330298447</c:v>
                </c:pt>
                <c:pt idx="49">
                  <c:v>0.85821626155925612</c:v>
                </c:pt>
                <c:pt idx="50">
                  <c:v>0.85249481981552766</c:v>
                </c:pt>
                <c:pt idx="51">
                  <c:v>0.85249481981552766</c:v>
                </c:pt>
                <c:pt idx="52">
                  <c:v>0.84673471968163894</c:v>
                </c:pt>
                <c:pt idx="53">
                  <c:v>0.84097461954775021</c:v>
                </c:pt>
                <c:pt idx="54">
                  <c:v>0.83521451941386149</c:v>
                </c:pt>
                <c:pt idx="55">
                  <c:v>0.83521451941386149</c:v>
                </c:pt>
                <c:pt idx="56">
                  <c:v>0.82941441858459863</c:v>
                </c:pt>
                <c:pt idx="57">
                  <c:v>0.82941441858459863</c:v>
                </c:pt>
                <c:pt idx="58">
                  <c:v>0.82357347197484798</c:v>
                </c:pt>
                <c:pt idx="59">
                  <c:v>0.82357347197484798</c:v>
                </c:pt>
                <c:pt idx="60">
                  <c:v>0.81769080431788477</c:v>
                </c:pt>
                <c:pt idx="61">
                  <c:v>0.81180813666092155</c:v>
                </c:pt>
                <c:pt idx="62">
                  <c:v>0.80592546900395834</c:v>
                </c:pt>
                <c:pt idx="63">
                  <c:v>0.80592546900395834</c:v>
                </c:pt>
                <c:pt idx="64">
                  <c:v>0.79999954643775273</c:v>
                </c:pt>
                <c:pt idx="65">
                  <c:v>0.79407362387154712</c:v>
                </c:pt>
                <c:pt idx="66">
                  <c:v>0.78814770130534151</c:v>
                </c:pt>
                <c:pt idx="67">
                  <c:v>0.78814770130534151</c:v>
                </c:pt>
                <c:pt idx="68">
                  <c:v>0.78814770130534151</c:v>
                </c:pt>
                <c:pt idx="69">
                  <c:v>0.78213130663888852</c:v>
                </c:pt>
                <c:pt idx="70">
                  <c:v>0.78213130663888852</c:v>
                </c:pt>
                <c:pt idx="71">
                  <c:v>0.77606827325409089</c:v>
                </c:pt>
                <c:pt idx="72">
                  <c:v>0.77000523986929326</c:v>
                </c:pt>
                <c:pt idx="73">
                  <c:v>0.76394220648449573</c:v>
                </c:pt>
                <c:pt idx="74">
                  <c:v>0.75787917309969821</c:v>
                </c:pt>
                <c:pt idx="75">
                  <c:v>0.75181613971490058</c:v>
                </c:pt>
                <c:pt idx="76">
                  <c:v>0.75181613971490058</c:v>
                </c:pt>
                <c:pt idx="77">
                  <c:v>0.75181613971490058</c:v>
                </c:pt>
                <c:pt idx="78">
                  <c:v>0.75181613971490058</c:v>
                </c:pt>
                <c:pt idx="79">
                  <c:v>0.74560278318833118</c:v>
                </c:pt>
                <c:pt idx="80">
                  <c:v>0.74560278318833118</c:v>
                </c:pt>
                <c:pt idx="81">
                  <c:v>0.73933721358170656</c:v>
                </c:pt>
                <c:pt idx="82">
                  <c:v>0.73933721358170656</c:v>
                </c:pt>
                <c:pt idx="83">
                  <c:v>0.7330180920981022</c:v>
                </c:pt>
                <c:pt idx="84">
                  <c:v>0.7330180920981022</c:v>
                </c:pt>
                <c:pt idx="85">
                  <c:v>0.7266440217320318</c:v>
                </c:pt>
                <c:pt idx="86">
                  <c:v>0.7266440217320318</c:v>
                </c:pt>
                <c:pt idx="87">
                  <c:v>0.7266440217320318</c:v>
                </c:pt>
                <c:pt idx="88">
                  <c:v>0.72015612868085299</c:v>
                </c:pt>
                <c:pt idx="89">
                  <c:v>0.72015612868085299</c:v>
                </c:pt>
                <c:pt idx="90">
                  <c:v>0.72015612868085299</c:v>
                </c:pt>
                <c:pt idx="91">
                  <c:v>0.71354919172047826</c:v>
                </c:pt>
                <c:pt idx="92">
                  <c:v>0.70694225476010342</c:v>
                </c:pt>
                <c:pt idx="93">
                  <c:v>0.70694225476010342</c:v>
                </c:pt>
                <c:pt idx="94">
                  <c:v>0.70694225476010342</c:v>
                </c:pt>
                <c:pt idx="95">
                  <c:v>0.70694225476010342</c:v>
                </c:pt>
                <c:pt idx="96">
                  <c:v>0.70694225476010342</c:v>
                </c:pt>
                <c:pt idx="97">
                  <c:v>0.70007873772359752</c:v>
                </c:pt>
                <c:pt idx="98">
                  <c:v>0.70007873772359752</c:v>
                </c:pt>
                <c:pt idx="99">
                  <c:v>0.69314726507286883</c:v>
                </c:pt>
                <c:pt idx="100">
                  <c:v>0.68621579242214015</c:v>
                </c:pt>
                <c:pt idx="101">
                  <c:v>0.67928431977141146</c:v>
                </c:pt>
                <c:pt idx="102">
                  <c:v>0.67235284712068277</c:v>
                </c:pt>
                <c:pt idx="103">
                  <c:v>0.66542137446995409</c:v>
                </c:pt>
                <c:pt idx="104">
                  <c:v>0.6584899018192254</c:v>
                </c:pt>
                <c:pt idx="105">
                  <c:v>0.65155842916849671</c:v>
                </c:pt>
                <c:pt idx="106">
                  <c:v>0.64462695651776802</c:v>
                </c:pt>
                <c:pt idx="107">
                  <c:v>0.64462695651776802</c:v>
                </c:pt>
                <c:pt idx="108">
                  <c:v>0.63762014177300963</c:v>
                </c:pt>
                <c:pt idx="109">
                  <c:v>0.63061332702825135</c:v>
                </c:pt>
                <c:pt idx="110">
                  <c:v>0.62360651228349306</c:v>
                </c:pt>
                <c:pt idx="111">
                  <c:v>0.62360651228349306</c:v>
                </c:pt>
                <c:pt idx="112">
                  <c:v>0.6165200746439079</c:v>
                </c:pt>
                <c:pt idx="113">
                  <c:v>0.60943363700432274</c:v>
                </c:pt>
                <c:pt idx="114">
                  <c:v>0.60234719936473757</c:v>
                </c:pt>
                <c:pt idx="115">
                  <c:v>0.59526076172515241</c:v>
                </c:pt>
                <c:pt idx="116">
                  <c:v>0.58817432408556725</c:v>
                </c:pt>
                <c:pt idx="117">
                  <c:v>0.58817432408556725</c:v>
                </c:pt>
                <c:pt idx="118">
                  <c:v>0.58100146647476769</c:v>
                </c:pt>
                <c:pt idx="119">
                  <c:v>0.57382860886396803</c:v>
                </c:pt>
                <c:pt idx="120">
                  <c:v>0.56665575125316847</c:v>
                </c:pt>
                <c:pt idx="121">
                  <c:v>0.55948289364236892</c:v>
                </c:pt>
                <c:pt idx="122">
                  <c:v>0.55948289364236892</c:v>
                </c:pt>
                <c:pt idx="123">
                  <c:v>0.55221688203662389</c:v>
                </c:pt>
                <c:pt idx="124">
                  <c:v>0.54495087043087886</c:v>
                </c:pt>
                <c:pt idx="125">
                  <c:v>0.53768485882513384</c:v>
                </c:pt>
                <c:pt idx="126">
                  <c:v>0.53041884721938881</c:v>
                </c:pt>
                <c:pt idx="127">
                  <c:v>0.52315283561364379</c:v>
                </c:pt>
                <c:pt idx="128">
                  <c:v>0.51588682400789876</c:v>
                </c:pt>
                <c:pt idx="129">
                  <c:v>0.51588682400789876</c:v>
                </c:pt>
                <c:pt idx="130">
                  <c:v>0.51588682400789876</c:v>
                </c:pt>
                <c:pt idx="131">
                  <c:v>0.50841020337010312</c:v>
                </c:pt>
                <c:pt idx="132">
                  <c:v>0.50841020337010312</c:v>
                </c:pt>
                <c:pt idx="133">
                  <c:v>0.50082199137950456</c:v>
                </c:pt>
                <c:pt idx="134">
                  <c:v>0.493233779388906</c:v>
                </c:pt>
                <c:pt idx="135">
                  <c:v>0.493233779388906</c:v>
                </c:pt>
                <c:pt idx="136">
                  <c:v>0.48552700158595435</c:v>
                </c:pt>
                <c:pt idx="137">
                  <c:v>0.47782022378300265</c:v>
                </c:pt>
                <c:pt idx="138">
                  <c:v>0.47782022378300265</c:v>
                </c:pt>
                <c:pt idx="139">
                  <c:v>0.47782022378300265</c:v>
                </c:pt>
                <c:pt idx="140">
                  <c:v>0.46985655338661925</c:v>
                </c:pt>
                <c:pt idx="141">
                  <c:v>0.4618928829902359</c:v>
                </c:pt>
                <c:pt idx="142">
                  <c:v>0.4618928829902359</c:v>
                </c:pt>
                <c:pt idx="143">
                  <c:v>0.45378949907812649</c:v>
                </c:pt>
                <c:pt idx="144">
                  <c:v>0.44568611516601708</c:v>
                </c:pt>
                <c:pt idx="145">
                  <c:v>0.43758273125390768</c:v>
                </c:pt>
                <c:pt idx="146">
                  <c:v>0.42947934734179827</c:v>
                </c:pt>
                <c:pt idx="147">
                  <c:v>0.42947934734179827</c:v>
                </c:pt>
                <c:pt idx="148">
                  <c:v>0.42947934734179827</c:v>
                </c:pt>
                <c:pt idx="149">
                  <c:v>0.42105818366842968</c:v>
                </c:pt>
                <c:pt idx="150">
                  <c:v>0.41263701999506108</c:v>
                </c:pt>
                <c:pt idx="151">
                  <c:v>0.40421585632169249</c:v>
                </c:pt>
                <c:pt idx="152">
                  <c:v>0.40421585632169249</c:v>
                </c:pt>
                <c:pt idx="153">
                  <c:v>0.39561551895314584</c:v>
                </c:pt>
                <c:pt idx="154">
                  <c:v>0.39561551895314584</c:v>
                </c:pt>
                <c:pt idx="155">
                  <c:v>0.39561551895314584</c:v>
                </c:pt>
                <c:pt idx="156">
                  <c:v>0.38662425715875615</c:v>
                </c:pt>
                <c:pt idx="157">
                  <c:v>0.38662425715875615</c:v>
                </c:pt>
                <c:pt idx="158">
                  <c:v>0.37741891770259528</c:v>
                </c:pt>
                <c:pt idx="159">
                  <c:v>0.36821357824643441</c:v>
                </c:pt>
                <c:pt idx="160">
                  <c:v>0.35900823879027355</c:v>
                </c:pt>
                <c:pt idx="161">
                  <c:v>0.35900823879027355</c:v>
                </c:pt>
                <c:pt idx="162">
                  <c:v>0.35900823879027355</c:v>
                </c:pt>
                <c:pt idx="163">
                  <c:v>0.34930531341756349</c:v>
                </c:pt>
                <c:pt idx="164">
                  <c:v>0.33960238804485338</c:v>
                </c:pt>
                <c:pt idx="165">
                  <c:v>0.32989946267214326</c:v>
                </c:pt>
                <c:pt idx="166">
                  <c:v>0.32019653729943315</c:v>
                </c:pt>
                <c:pt idx="167">
                  <c:v>0.31049361192672303</c:v>
                </c:pt>
                <c:pt idx="168">
                  <c:v>0.30079068655401292</c:v>
                </c:pt>
                <c:pt idx="169">
                  <c:v>0.29108776118130286</c:v>
                </c:pt>
                <c:pt idx="170">
                  <c:v>0.28138483580859275</c:v>
                </c:pt>
                <c:pt idx="171">
                  <c:v>0.28138483580859275</c:v>
                </c:pt>
                <c:pt idx="172">
                  <c:v>0.27133537738685731</c:v>
                </c:pt>
                <c:pt idx="173">
                  <c:v>0.26128591896512182</c:v>
                </c:pt>
                <c:pt idx="174">
                  <c:v>0.25123646054338639</c:v>
                </c:pt>
                <c:pt idx="175">
                  <c:v>0.25123646054338639</c:v>
                </c:pt>
                <c:pt idx="176">
                  <c:v>0.24076827468741197</c:v>
                </c:pt>
                <c:pt idx="177">
                  <c:v>0.23030008883143754</c:v>
                </c:pt>
                <c:pt idx="178">
                  <c:v>0.21983190297546312</c:v>
                </c:pt>
                <c:pt idx="179">
                  <c:v>0.20936371711948867</c:v>
                </c:pt>
                <c:pt idx="180">
                  <c:v>0.19889553126351422</c:v>
                </c:pt>
                <c:pt idx="181">
                  <c:v>0.19889553126351422</c:v>
                </c:pt>
                <c:pt idx="182">
                  <c:v>0.19889553126351422</c:v>
                </c:pt>
                <c:pt idx="183">
                  <c:v>0.19889553126351422</c:v>
                </c:pt>
                <c:pt idx="184">
                  <c:v>0.18646456055954458</c:v>
                </c:pt>
                <c:pt idx="185">
                  <c:v>0.17403358985557493</c:v>
                </c:pt>
                <c:pt idx="186">
                  <c:v>0.17403358985557493</c:v>
                </c:pt>
                <c:pt idx="187">
                  <c:v>0.16064639063591532</c:v>
                </c:pt>
                <c:pt idx="188">
                  <c:v>0.14725919141625571</c:v>
                </c:pt>
                <c:pt idx="189">
                  <c:v>0.1338719921965961</c:v>
                </c:pt>
                <c:pt idx="190">
                  <c:v>0.12048479297693648</c:v>
                </c:pt>
                <c:pt idx="191">
                  <c:v>0.12048479297693648</c:v>
                </c:pt>
                <c:pt idx="192">
                  <c:v>0.12048479297693648</c:v>
                </c:pt>
                <c:pt idx="193">
                  <c:v>0.12048479297693648</c:v>
                </c:pt>
                <c:pt idx="194">
                  <c:v>0.10040399414744708</c:v>
                </c:pt>
                <c:pt idx="195">
                  <c:v>0.10040399414744708</c:v>
                </c:pt>
                <c:pt idx="196">
                  <c:v>7.5302995610585316E-2</c:v>
                </c:pt>
                <c:pt idx="197">
                  <c:v>7.5302995610585316E-2</c:v>
                </c:pt>
                <c:pt idx="198">
                  <c:v>7.5302995610585316E-2</c:v>
                </c:pt>
                <c:pt idx="199">
                  <c:v>7.5302995610585316E-2</c:v>
                </c:pt>
              </c:numCache>
            </c:numRef>
          </c:yVal>
          <c:smooth val="1"/>
          <c:extLst>
            <c:ext xmlns:c16="http://schemas.microsoft.com/office/drawing/2014/chart" uri="{C3380CC4-5D6E-409C-BE32-E72D297353CC}">
              <c16:uniqueId val="{00000001-6AA8-4437-B850-EB8609D4A197}"/>
            </c:ext>
          </c:extLst>
        </c:ser>
        <c:ser>
          <c:idx val="2"/>
          <c:order val="2"/>
          <c:tx>
            <c:v>Limite inferior 95%</c:v>
          </c:tx>
          <c:spPr>
            <a:ln w="15840">
              <a:solidFill>
                <a:srgbClr val="FF0000"/>
              </a:solidFill>
              <a:prstDash val="dash"/>
              <a:round/>
            </a:ln>
          </c:spPr>
          <c:marker>
            <c:symbol val="none"/>
          </c:marker>
          <c:dLbls>
            <c:spPr>
              <a:noFill/>
              <a:ln>
                <a:noFill/>
              </a:ln>
              <a:effectLst/>
            </c:sp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15840">
                      <a:solidFill>
                        <a:srgbClr val="000000"/>
                      </a:solidFill>
                      <a:prstDash val="dash"/>
                    </a:ln>
                  </c:spPr>
                </c15:leaderLines>
              </c:ext>
            </c:extLst>
          </c:dLbls>
          <c:xVal>
            <c:numRef>
              <c:f>Kaplan_Meier!$B$8:$B$207</c:f>
              <c:numCache>
                <c:formatCode>#,##0.0</c:formatCode>
                <c:ptCount val="200"/>
                <c:pt idx="0">
                  <c:v>401.7</c:v>
                </c:pt>
                <c:pt idx="1">
                  <c:v>449.3</c:v>
                </c:pt>
                <c:pt idx="2">
                  <c:v>455.5</c:v>
                </c:pt>
                <c:pt idx="3">
                  <c:v>528.29999999999995</c:v>
                </c:pt>
                <c:pt idx="4">
                  <c:v>602</c:v>
                </c:pt>
                <c:pt idx="5">
                  <c:v>707.6</c:v>
                </c:pt>
                <c:pt idx="6">
                  <c:v>820.7</c:v>
                </c:pt>
                <c:pt idx="7">
                  <c:v>871.6</c:v>
                </c:pt>
                <c:pt idx="8">
                  <c:v>873.6</c:v>
                </c:pt>
                <c:pt idx="9">
                  <c:v>941.7</c:v>
                </c:pt>
                <c:pt idx="10">
                  <c:v>960.8</c:v>
                </c:pt>
                <c:pt idx="11">
                  <c:v>1024.2</c:v>
                </c:pt>
                <c:pt idx="12">
                  <c:v>1073.5</c:v>
                </c:pt>
                <c:pt idx="13">
                  <c:v>1077.0999999999999</c:v>
                </c:pt>
                <c:pt idx="14">
                  <c:v>1099.2</c:v>
                </c:pt>
                <c:pt idx="15">
                  <c:v>1133.3</c:v>
                </c:pt>
                <c:pt idx="16">
                  <c:v>1161.5999999999999</c:v>
                </c:pt>
                <c:pt idx="17">
                  <c:v>1196.5999999999999</c:v>
                </c:pt>
                <c:pt idx="18">
                  <c:v>1230.9000000000001</c:v>
                </c:pt>
                <c:pt idx="19">
                  <c:v>1240.7</c:v>
                </c:pt>
                <c:pt idx="20">
                  <c:v>1265.2</c:v>
                </c:pt>
                <c:pt idx="21">
                  <c:v>1308.3</c:v>
                </c:pt>
                <c:pt idx="22">
                  <c:v>1360.3</c:v>
                </c:pt>
                <c:pt idx="23">
                  <c:v>1392.9</c:v>
                </c:pt>
                <c:pt idx="24">
                  <c:v>1441.9</c:v>
                </c:pt>
                <c:pt idx="25">
                  <c:v>1442.2</c:v>
                </c:pt>
                <c:pt idx="26">
                  <c:v>1449.1</c:v>
                </c:pt>
                <c:pt idx="27">
                  <c:v>1472.7</c:v>
                </c:pt>
                <c:pt idx="28">
                  <c:v>1472.8</c:v>
                </c:pt>
                <c:pt idx="29">
                  <c:v>1474.1</c:v>
                </c:pt>
                <c:pt idx="30">
                  <c:v>1528.3</c:v>
                </c:pt>
                <c:pt idx="31">
                  <c:v>1535.6</c:v>
                </c:pt>
                <c:pt idx="32">
                  <c:v>1544.6</c:v>
                </c:pt>
                <c:pt idx="33">
                  <c:v>1575.6</c:v>
                </c:pt>
                <c:pt idx="34">
                  <c:v>1615.9</c:v>
                </c:pt>
                <c:pt idx="35">
                  <c:v>1642.5</c:v>
                </c:pt>
                <c:pt idx="36">
                  <c:v>1670.7</c:v>
                </c:pt>
                <c:pt idx="37">
                  <c:v>1712.9</c:v>
                </c:pt>
                <c:pt idx="38">
                  <c:v>1728</c:v>
                </c:pt>
                <c:pt idx="39">
                  <c:v>1758.9</c:v>
                </c:pt>
                <c:pt idx="40">
                  <c:v>1775.5</c:v>
                </c:pt>
                <c:pt idx="41">
                  <c:v>1821.5</c:v>
                </c:pt>
                <c:pt idx="42">
                  <c:v>1884.7</c:v>
                </c:pt>
                <c:pt idx="43">
                  <c:v>1888.1</c:v>
                </c:pt>
                <c:pt idx="44">
                  <c:v>1900.4</c:v>
                </c:pt>
                <c:pt idx="45">
                  <c:v>1922.1</c:v>
                </c:pt>
                <c:pt idx="46">
                  <c:v>1978.3</c:v>
                </c:pt>
                <c:pt idx="47">
                  <c:v>2009.2</c:v>
                </c:pt>
                <c:pt idx="48">
                  <c:v>2040</c:v>
                </c:pt>
                <c:pt idx="49">
                  <c:v>2063.6</c:v>
                </c:pt>
                <c:pt idx="50">
                  <c:v>2071.6999999999998</c:v>
                </c:pt>
                <c:pt idx="51">
                  <c:v>2085.5</c:v>
                </c:pt>
                <c:pt idx="52">
                  <c:v>2087.1</c:v>
                </c:pt>
                <c:pt idx="53">
                  <c:v>2110.6</c:v>
                </c:pt>
                <c:pt idx="54">
                  <c:v>2153.1999999999998</c:v>
                </c:pt>
                <c:pt idx="55">
                  <c:v>2167.1999999999998</c:v>
                </c:pt>
                <c:pt idx="56">
                  <c:v>2186.8000000000002</c:v>
                </c:pt>
                <c:pt idx="57">
                  <c:v>2189.6999999999998</c:v>
                </c:pt>
                <c:pt idx="58">
                  <c:v>2289.6999999999998</c:v>
                </c:pt>
                <c:pt idx="59">
                  <c:v>2298.1999999999998</c:v>
                </c:pt>
                <c:pt idx="60">
                  <c:v>2302.4</c:v>
                </c:pt>
                <c:pt idx="61">
                  <c:v>2338.6999999999998</c:v>
                </c:pt>
                <c:pt idx="62">
                  <c:v>2361.4</c:v>
                </c:pt>
                <c:pt idx="63">
                  <c:v>2372.5</c:v>
                </c:pt>
                <c:pt idx="64">
                  <c:v>2388.3000000000002</c:v>
                </c:pt>
                <c:pt idx="65">
                  <c:v>2396.1999999999998</c:v>
                </c:pt>
                <c:pt idx="66">
                  <c:v>2411.5</c:v>
                </c:pt>
                <c:pt idx="67">
                  <c:v>2435.6999999999998</c:v>
                </c:pt>
                <c:pt idx="68">
                  <c:v>2447.4</c:v>
                </c:pt>
                <c:pt idx="69">
                  <c:v>2448.5</c:v>
                </c:pt>
                <c:pt idx="70">
                  <c:v>2448.6</c:v>
                </c:pt>
                <c:pt idx="71">
                  <c:v>2450.8000000000002</c:v>
                </c:pt>
                <c:pt idx="72">
                  <c:v>2474.1</c:v>
                </c:pt>
                <c:pt idx="73">
                  <c:v>2480.6</c:v>
                </c:pt>
                <c:pt idx="74">
                  <c:v>2505.5</c:v>
                </c:pt>
                <c:pt idx="75">
                  <c:v>2577.6</c:v>
                </c:pt>
                <c:pt idx="76">
                  <c:v>2587.9</c:v>
                </c:pt>
                <c:pt idx="77">
                  <c:v>2624.6</c:v>
                </c:pt>
                <c:pt idx="78">
                  <c:v>2673.1</c:v>
                </c:pt>
                <c:pt idx="79">
                  <c:v>2686.6</c:v>
                </c:pt>
                <c:pt idx="80">
                  <c:v>2689.4</c:v>
                </c:pt>
                <c:pt idx="81">
                  <c:v>2690.6</c:v>
                </c:pt>
                <c:pt idx="82">
                  <c:v>2732.7</c:v>
                </c:pt>
                <c:pt idx="83">
                  <c:v>2790.3</c:v>
                </c:pt>
                <c:pt idx="84">
                  <c:v>2840.9</c:v>
                </c:pt>
                <c:pt idx="85">
                  <c:v>2871.5</c:v>
                </c:pt>
                <c:pt idx="86">
                  <c:v>2935.3</c:v>
                </c:pt>
                <c:pt idx="87">
                  <c:v>2953</c:v>
                </c:pt>
                <c:pt idx="88">
                  <c:v>2968.1</c:v>
                </c:pt>
                <c:pt idx="89">
                  <c:v>2986.6</c:v>
                </c:pt>
                <c:pt idx="90">
                  <c:v>3033.6</c:v>
                </c:pt>
                <c:pt idx="91">
                  <c:v>3046.4</c:v>
                </c:pt>
                <c:pt idx="92">
                  <c:v>3069.7</c:v>
                </c:pt>
                <c:pt idx="93">
                  <c:v>3079.7</c:v>
                </c:pt>
                <c:pt idx="94">
                  <c:v>3131</c:v>
                </c:pt>
                <c:pt idx="95">
                  <c:v>3224.7</c:v>
                </c:pt>
                <c:pt idx="96">
                  <c:v>3257.9</c:v>
                </c:pt>
                <c:pt idx="97">
                  <c:v>3262.9</c:v>
                </c:pt>
                <c:pt idx="98">
                  <c:v>3289</c:v>
                </c:pt>
                <c:pt idx="99">
                  <c:v>3290.7</c:v>
                </c:pt>
                <c:pt idx="100">
                  <c:v>3313.9</c:v>
                </c:pt>
                <c:pt idx="101">
                  <c:v>3314.9</c:v>
                </c:pt>
                <c:pt idx="102">
                  <c:v>3325.4</c:v>
                </c:pt>
                <c:pt idx="103">
                  <c:v>3349</c:v>
                </c:pt>
                <c:pt idx="104">
                  <c:v>3379.7</c:v>
                </c:pt>
                <c:pt idx="105">
                  <c:v>3387.5</c:v>
                </c:pt>
                <c:pt idx="106">
                  <c:v>3395</c:v>
                </c:pt>
                <c:pt idx="107">
                  <c:v>3433.4</c:v>
                </c:pt>
                <c:pt idx="108">
                  <c:v>3449.1</c:v>
                </c:pt>
                <c:pt idx="109">
                  <c:v>3453.9</c:v>
                </c:pt>
                <c:pt idx="110">
                  <c:v>3454.9</c:v>
                </c:pt>
                <c:pt idx="111">
                  <c:v>3468.4</c:v>
                </c:pt>
                <c:pt idx="112">
                  <c:v>3470.3</c:v>
                </c:pt>
                <c:pt idx="113">
                  <c:v>3509.4</c:v>
                </c:pt>
                <c:pt idx="114">
                  <c:v>3591.9</c:v>
                </c:pt>
                <c:pt idx="115">
                  <c:v>3629.9</c:v>
                </c:pt>
                <c:pt idx="116">
                  <c:v>3637.7</c:v>
                </c:pt>
                <c:pt idx="117">
                  <c:v>3640.6</c:v>
                </c:pt>
                <c:pt idx="118">
                  <c:v>3678.5</c:v>
                </c:pt>
                <c:pt idx="119">
                  <c:v>3692</c:v>
                </c:pt>
                <c:pt idx="120">
                  <c:v>3746</c:v>
                </c:pt>
                <c:pt idx="121">
                  <c:v>3759.1</c:v>
                </c:pt>
                <c:pt idx="122">
                  <c:v>3811.3</c:v>
                </c:pt>
                <c:pt idx="123">
                  <c:v>3856.7</c:v>
                </c:pt>
                <c:pt idx="124">
                  <c:v>3869.5</c:v>
                </c:pt>
                <c:pt idx="125">
                  <c:v>3871</c:v>
                </c:pt>
                <c:pt idx="126">
                  <c:v>3877.4</c:v>
                </c:pt>
                <c:pt idx="127">
                  <c:v>3890.5</c:v>
                </c:pt>
                <c:pt idx="128">
                  <c:v>3944</c:v>
                </c:pt>
                <c:pt idx="129">
                  <c:v>3955.9</c:v>
                </c:pt>
                <c:pt idx="130">
                  <c:v>4030.6</c:v>
                </c:pt>
                <c:pt idx="131">
                  <c:v>4042.5</c:v>
                </c:pt>
                <c:pt idx="132">
                  <c:v>4045.9</c:v>
                </c:pt>
                <c:pt idx="133">
                  <c:v>4112.6000000000004</c:v>
                </c:pt>
                <c:pt idx="134">
                  <c:v>4118.5</c:v>
                </c:pt>
                <c:pt idx="135">
                  <c:v>4211.8</c:v>
                </c:pt>
                <c:pt idx="136">
                  <c:v>4227.1000000000004</c:v>
                </c:pt>
                <c:pt idx="137">
                  <c:v>4231.7</c:v>
                </c:pt>
                <c:pt idx="138">
                  <c:v>4265.7</c:v>
                </c:pt>
                <c:pt idx="139">
                  <c:v>4301.7</c:v>
                </c:pt>
                <c:pt idx="140">
                  <c:v>4302.3999999999996</c:v>
                </c:pt>
                <c:pt idx="141">
                  <c:v>4387</c:v>
                </c:pt>
                <c:pt idx="142">
                  <c:v>4487.2</c:v>
                </c:pt>
                <c:pt idx="143">
                  <c:v>4531.3999999999996</c:v>
                </c:pt>
                <c:pt idx="144">
                  <c:v>4533.2</c:v>
                </c:pt>
                <c:pt idx="145">
                  <c:v>4583.6000000000004</c:v>
                </c:pt>
                <c:pt idx="146">
                  <c:v>4618</c:v>
                </c:pt>
                <c:pt idx="147">
                  <c:v>4625</c:v>
                </c:pt>
                <c:pt idx="148">
                  <c:v>4660.7</c:v>
                </c:pt>
                <c:pt idx="149">
                  <c:v>4669.2</c:v>
                </c:pt>
                <c:pt idx="150">
                  <c:v>4729.8</c:v>
                </c:pt>
                <c:pt idx="151">
                  <c:v>4776.7</c:v>
                </c:pt>
                <c:pt idx="152">
                  <c:v>4805.7</c:v>
                </c:pt>
                <c:pt idx="153">
                  <c:v>4825.8999999999996</c:v>
                </c:pt>
                <c:pt idx="154">
                  <c:v>4830</c:v>
                </c:pt>
                <c:pt idx="155">
                  <c:v>4848.8999999999996</c:v>
                </c:pt>
                <c:pt idx="156">
                  <c:v>4855.8</c:v>
                </c:pt>
                <c:pt idx="157">
                  <c:v>4920.8</c:v>
                </c:pt>
                <c:pt idx="158">
                  <c:v>5061.8</c:v>
                </c:pt>
                <c:pt idx="159">
                  <c:v>5102</c:v>
                </c:pt>
                <c:pt idx="160">
                  <c:v>5177</c:v>
                </c:pt>
                <c:pt idx="161">
                  <c:v>5202.6000000000004</c:v>
                </c:pt>
                <c:pt idx="162">
                  <c:v>5211.8999999999996</c:v>
                </c:pt>
                <c:pt idx="163">
                  <c:v>5277.4</c:v>
                </c:pt>
                <c:pt idx="164">
                  <c:v>5368.1</c:v>
                </c:pt>
                <c:pt idx="165">
                  <c:v>5388.6</c:v>
                </c:pt>
                <c:pt idx="166">
                  <c:v>5553.6</c:v>
                </c:pt>
                <c:pt idx="167">
                  <c:v>5578.7</c:v>
                </c:pt>
                <c:pt idx="168">
                  <c:v>5595.9</c:v>
                </c:pt>
                <c:pt idx="169">
                  <c:v>5633.6</c:v>
                </c:pt>
                <c:pt idx="170">
                  <c:v>5669.4</c:v>
                </c:pt>
                <c:pt idx="171">
                  <c:v>5693.9</c:v>
                </c:pt>
                <c:pt idx="172">
                  <c:v>5722.6</c:v>
                </c:pt>
                <c:pt idx="173">
                  <c:v>5728.9</c:v>
                </c:pt>
                <c:pt idx="174">
                  <c:v>5766.2</c:v>
                </c:pt>
                <c:pt idx="175">
                  <c:v>5793.4</c:v>
                </c:pt>
                <c:pt idx="176">
                  <c:v>5854</c:v>
                </c:pt>
                <c:pt idx="177">
                  <c:v>5855.8</c:v>
                </c:pt>
                <c:pt idx="178">
                  <c:v>5960.9</c:v>
                </c:pt>
                <c:pt idx="179">
                  <c:v>6036.1</c:v>
                </c:pt>
                <c:pt idx="180">
                  <c:v>6049.4</c:v>
                </c:pt>
                <c:pt idx="181">
                  <c:v>6133</c:v>
                </c:pt>
                <c:pt idx="182">
                  <c:v>6198.9</c:v>
                </c:pt>
                <c:pt idx="183">
                  <c:v>6264.4</c:v>
                </c:pt>
                <c:pt idx="184">
                  <c:v>6276.6</c:v>
                </c:pt>
                <c:pt idx="185">
                  <c:v>6280.4</c:v>
                </c:pt>
                <c:pt idx="186">
                  <c:v>6618.6</c:v>
                </c:pt>
                <c:pt idx="187">
                  <c:v>6816.2</c:v>
                </c:pt>
                <c:pt idx="188">
                  <c:v>7132.8</c:v>
                </c:pt>
                <c:pt idx="189">
                  <c:v>7267</c:v>
                </c:pt>
                <c:pt idx="190">
                  <c:v>7354.4</c:v>
                </c:pt>
                <c:pt idx="191">
                  <c:v>7492.8</c:v>
                </c:pt>
                <c:pt idx="192">
                  <c:v>7523.3</c:v>
                </c:pt>
                <c:pt idx="193">
                  <c:v>7613.7</c:v>
                </c:pt>
                <c:pt idx="194">
                  <c:v>7937.4</c:v>
                </c:pt>
                <c:pt idx="195">
                  <c:v>8053.9</c:v>
                </c:pt>
                <c:pt idx="196">
                  <c:v>8102.4</c:v>
                </c:pt>
                <c:pt idx="197">
                  <c:v>8605.7999999999993</c:v>
                </c:pt>
                <c:pt idx="198">
                  <c:v>8811.7000000000007</c:v>
                </c:pt>
                <c:pt idx="199">
                  <c:v>9165.7000000000007</c:v>
                </c:pt>
              </c:numCache>
            </c:numRef>
          </c:xVal>
          <c:yVal>
            <c:numRef>
              <c:f>Kaplan_Meier!$K$8:$K$207</c:f>
              <c:numCache>
                <c:formatCode>0.00</c:formatCode>
                <c:ptCount val="200"/>
                <c:pt idx="0">
                  <c:v>0.9650412178213531</c:v>
                </c:pt>
                <c:pt idx="1">
                  <c:v>0.96061086304165144</c:v>
                </c:pt>
                <c:pt idx="2">
                  <c:v>0.9542196563888482</c:v>
                </c:pt>
                <c:pt idx="3">
                  <c:v>0.94759398171309528</c:v>
                </c:pt>
                <c:pt idx="4">
                  <c:v>0.94098485952676436</c:v>
                </c:pt>
                <c:pt idx="5">
                  <c:v>0.934446773015849</c:v>
                </c:pt>
                <c:pt idx="6">
                  <c:v>0.92798963585524386</c:v>
                </c:pt>
                <c:pt idx="7">
                  <c:v>0.92161107104376561</c:v>
                </c:pt>
                <c:pt idx="8">
                  <c:v>0.9153053286465449</c:v>
                </c:pt>
                <c:pt idx="9">
                  <c:v>0.90906609135229077</c:v>
                </c:pt>
                <c:pt idx="10">
                  <c:v>0.90906609135229077</c:v>
                </c:pt>
                <c:pt idx="11">
                  <c:v>0.90906609135229077</c:v>
                </c:pt>
                <c:pt idx="12">
                  <c:v>0.90906609135229077</c:v>
                </c:pt>
                <c:pt idx="13">
                  <c:v>0.902746267691383</c:v>
                </c:pt>
                <c:pt idx="14">
                  <c:v>0.89648936340835805</c:v>
                </c:pt>
                <c:pt idx="15">
                  <c:v>0.89648936340835805</c:v>
                </c:pt>
                <c:pt idx="16">
                  <c:v>0.89024261392026449</c:v>
                </c:pt>
                <c:pt idx="17">
                  <c:v>0.89024261392026449</c:v>
                </c:pt>
                <c:pt idx="18">
                  <c:v>0.8840029200331162</c:v>
                </c:pt>
                <c:pt idx="19">
                  <c:v>0.8840029200331162</c:v>
                </c:pt>
                <c:pt idx="20">
                  <c:v>0.8840029200331162</c:v>
                </c:pt>
                <c:pt idx="21">
                  <c:v>0.8840029200331162</c:v>
                </c:pt>
                <c:pt idx="22">
                  <c:v>0.87767279256994601</c:v>
                </c:pt>
                <c:pt idx="23">
                  <c:v>0.87139410387780647</c:v>
                </c:pt>
                <c:pt idx="24">
                  <c:v>0.86516222530536191</c:v>
                </c:pt>
                <c:pt idx="25">
                  <c:v>0.85897324750278237</c:v>
                </c:pt>
                <c:pt idx="26">
                  <c:v>0.85897324750278237</c:v>
                </c:pt>
                <c:pt idx="27">
                  <c:v>0.85277753556584801</c:v>
                </c:pt>
                <c:pt idx="28">
                  <c:v>0.85277753556584801</c:v>
                </c:pt>
                <c:pt idx="29">
                  <c:v>0.85277753556584801</c:v>
                </c:pt>
                <c:pt idx="30">
                  <c:v>0.85277753556584801</c:v>
                </c:pt>
                <c:pt idx="31">
                  <c:v>0.85277753556584801</c:v>
                </c:pt>
                <c:pt idx="32">
                  <c:v>0.85277753556584801</c:v>
                </c:pt>
                <c:pt idx="33">
                  <c:v>0.85277753556584801</c:v>
                </c:pt>
                <c:pt idx="34">
                  <c:v>0.85277753556584801</c:v>
                </c:pt>
                <c:pt idx="35">
                  <c:v>0.84627907490229659</c:v>
                </c:pt>
                <c:pt idx="36">
                  <c:v>0.84627907490229659</c:v>
                </c:pt>
                <c:pt idx="37">
                  <c:v>0.84627907490229659</c:v>
                </c:pt>
                <c:pt idx="38">
                  <c:v>0.83972247184258486</c:v>
                </c:pt>
                <c:pt idx="39">
                  <c:v>0.83972247184258486</c:v>
                </c:pt>
                <c:pt idx="40">
                  <c:v>0.83972247184258486</c:v>
                </c:pt>
                <c:pt idx="41">
                  <c:v>0.83972247184258486</c:v>
                </c:pt>
                <c:pt idx="42">
                  <c:v>0.83305070182394503</c:v>
                </c:pt>
                <c:pt idx="43">
                  <c:v>0.83305070182394503</c:v>
                </c:pt>
                <c:pt idx="44">
                  <c:v>0.82636982782028068</c:v>
                </c:pt>
                <c:pt idx="45">
                  <c:v>0.82636982782028068</c:v>
                </c:pt>
                <c:pt idx="46">
                  <c:v>0.81967729258983746</c:v>
                </c:pt>
                <c:pt idx="47">
                  <c:v>0.81302634690809805</c:v>
                </c:pt>
                <c:pt idx="48">
                  <c:v>0.80641408418980498</c:v>
                </c:pt>
                <c:pt idx="49">
                  <c:v>0.7998379628789658</c:v>
                </c:pt>
                <c:pt idx="50">
                  <c:v>0.79329574544933279</c:v>
                </c:pt>
                <c:pt idx="51">
                  <c:v>0.79329574544933279</c:v>
                </c:pt>
                <c:pt idx="52">
                  <c:v>0.78673052422211531</c:v>
                </c:pt>
                <c:pt idx="53">
                  <c:v>0.78019653281042711</c:v>
                </c:pt>
                <c:pt idx="54">
                  <c:v>0.77369209601937716</c:v>
                </c:pt>
                <c:pt idx="55">
                  <c:v>0.77369209601937716</c:v>
                </c:pt>
                <c:pt idx="56">
                  <c:v>0.76716010474902996</c:v>
                </c:pt>
                <c:pt idx="57">
                  <c:v>0.76716010474902996</c:v>
                </c:pt>
                <c:pt idx="58">
                  <c:v>0.76059927150583118</c:v>
                </c:pt>
                <c:pt idx="59">
                  <c:v>0.76059927150583118</c:v>
                </c:pt>
                <c:pt idx="60">
                  <c:v>0.75400830966104715</c:v>
                </c:pt>
                <c:pt idx="61">
                  <c:v>0.74744435687498323</c:v>
                </c:pt>
                <c:pt idx="62">
                  <c:v>0.74090620209944369</c:v>
                </c:pt>
                <c:pt idx="63">
                  <c:v>0.74090620209944369</c:v>
                </c:pt>
                <c:pt idx="64">
                  <c:v>0.73433423368896145</c:v>
                </c:pt>
                <c:pt idx="65">
                  <c:v>0.72778683618908291</c:v>
                </c:pt>
                <c:pt idx="66">
                  <c:v>0.72126302918865293</c:v>
                </c:pt>
                <c:pt idx="67">
                  <c:v>0.72126302918865293</c:v>
                </c:pt>
                <c:pt idx="68">
                  <c:v>0.72126302918865293</c:v>
                </c:pt>
                <c:pt idx="69">
                  <c:v>0.71464126965832764</c:v>
                </c:pt>
                <c:pt idx="70">
                  <c:v>0.71464126965832764</c:v>
                </c:pt>
                <c:pt idx="71">
                  <c:v>0.70798099435832273</c:v>
                </c:pt>
                <c:pt idx="72">
                  <c:v>0.70134427836202018</c:v>
                </c:pt>
                <c:pt idx="73">
                  <c:v>0.69473027208059346</c:v>
                </c:pt>
                <c:pt idx="74">
                  <c:v>0.68813819288873446</c:v>
                </c:pt>
                <c:pt idx="75">
                  <c:v>0.68156731828433081</c:v>
                </c:pt>
                <c:pt idx="76">
                  <c:v>0.68156731828433081</c:v>
                </c:pt>
                <c:pt idx="77">
                  <c:v>0.68156731828433081</c:v>
                </c:pt>
                <c:pt idx="78">
                  <c:v>0.68156731828433081</c:v>
                </c:pt>
                <c:pt idx="79">
                  <c:v>0.67482112737519762</c:v>
                </c:pt>
                <c:pt idx="80">
                  <c:v>0.67482112737519762</c:v>
                </c:pt>
                <c:pt idx="81">
                  <c:v>0.66802928552385143</c:v>
                </c:pt>
                <c:pt idx="82">
                  <c:v>0.66802928552385143</c:v>
                </c:pt>
                <c:pt idx="83">
                  <c:v>0.66119037823454074</c:v>
                </c:pt>
                <c:pt idx="84">
                  <c:v>0.66119037823454074</c:v>
                </c:pt>
                <c:pt idx="85">
                  <c:v>0.65430293988568666</c:v>
                </c:pt>
                <c:pt idx="86">
                  <c:v>0.65430293988568666</c:v>
                </c:pt>
                <c:pt idx="87">
                  <c:v>0.65430293988568666</c:v>
                </c:pt>
                <c:pt idx="88">
                  <c:v>0.64729091845525699</c:v>
                </c:pt>
                <c:pt idx="89">
                  <c:v>0.64729091845525699</c:v>
                </c:pt>
                <c:pt idx="90">
                  <c:v>0.64729091845525699</c:v>
                </c:pt>
                <c:pt idx="91">
                  <c:v>0.64014864223110557</c:v>
                </c:pt>
                <c:pt idx="92">
                  <c:v>0.63303183378499228</c:v>
                </c:pt>
                <c:pt idx="93">
                  <c:v>0.63303183378499228</c:v>
                </c:pt>
                <c:pt idx="94">
                  <c:v>0.63303183378499228</c:v>
                </c:pt>
                <c:pt idx="95">
                  <c:v>0.63303183378499228</c:v>
                </c:pt>
                <c:pt idx="96">
                  <c:v>0.63303183378499228</c:v>
                </c:pt>
                <c:pt idx="97">
                  <c:v>0.62560721572423095</c:v>
                </c:pt>
                <c:pt idx="98">
                  <c:v>0.62560721572423095</c:v>
                </c:pt>
                <c:pt idx="99">
                  <c:v>0.61812277449211372</c:v>
                </c:pt>
                <c:pt idx="100">
                  <c:v>0.61066710653721923</c:v>
                </c:pt>
                <c:pt idx="101">
                  <c:v>0.60323930937989001</c:v>
                </c:pt>
                <c:pt idx="102">
                  <c:v>0.5958385503722986</c:v>
                </c:pt>
                <c:pt idx="103">
                  <c:v>0.58846406026469078</c:v>
                </c:pt>
                <c:pt idx="104">
                  <c:v>0.58111512753603278</c:v>
                </c:pt>
                <c:pt idx="105">
                  <c:v>0.57379109338398671</c:v>
                </c:pt>
                <c:pt idx="106">
                  <c:v>0.56649134728572514</c:v>
                </c:pt>
                <c:pt idx="107">
                  <c:v>0.56649134728572514</c:v>
                </c:pt>
                <c:pt idx="108">
                  <c:v>0.55912090356759336</c:v>
                </c:pt>
                <c:pt idx="109">
                  <c:v>0.55177480665094247</c:v>
                </c:pt>
                <c:pt idx="110">
                  <c:v>0.54445252247130616</c:v>
                </c:pt>
                <c:pt idx="111">
                  <c:v>0.54445252247130616</c:v>
                </c:pt>
                <c:pt idx="112">
                  <c:v>0.53705471528154092</c:v>
                </c:pt>
                <c:pt idx="113">
                  <c:v>0.52968094738077098</c:v>
                </c:pt>
                <c:pt idx="114">
                  <c:v>0.52233074852243111</c:v>
                </c:pt>
                <c:pt idx="115">
                  <c:v>0.51500368303674193</c:v>
                </c:pt>
                <c:pt idx="116">
                  <c:v>0.50769934746535905</c:v>
                </c:pt>
                <c:pt idx="117">
                  <c:v>0.50769934746535905</c:v>
                </c:pt>
                <c:pt idx="118">
                  <c:v>0.50031186639898717</c:v>
                </c:pt>
                <c:pt idx="119">
                  <c:v>0.4929476145910851</c:v>
                </c:pt>
                <c:pt idx="120">
                  <c:v>0.48560623428656435</c:v>
                </c:pt>
                <c:pt idx="121">
                  <c:v>0.47828739576797558</c:v>
                </c:pt>
                <c:pt idx="122">
                  <c:v>0.47828739576797558</c:v>
                </c:pt>
                <c:pt idx="123">
                  <c:v>0.47087837380408776</c:v>
                </c:pt>
                <c:pt idx="124">
                  <c:v>0.46349260127435904</c:v>
                </c:pt>
                <c:pt idx="125">
                  <c:v>0.45612978676605337</c:v>
                </c:pt>
                <c:pt idx="126">
                  <c:v>0.44878966431833023</c:v>
                </c:pt>
                <c:pt idx="127">
                  <c:v>0.44147199217357447</c:v>
                </c:pt>
                <c:pt idx="128">
                  <c:v>0.4341765516642011</c:v>
                </c:pt>
                <c:pt idx="129">
                  <c:v>0.4341765516642011</c:v>
                </c:pt>
                <c:pt idx="130">
                  <c:v>0.4341765516642011</c:v>
                </c:pt>
                <c:pt idx="131">
                  <c:v>0.42665290181422311</c:v>
                </c:pt>
                <c:pt idx="132">
                  <c:v>0.42665290181422311</c:v>
                </c:pt>
                <c:pt idx="133">
                  <c:v>0.41902106884046547</c:v>
                </c:pt>
                <c:pt idx="134">
                  <c:v>0.41141542361543237</c:v>
                </c:pt>
                <c:pt idx="135">
                  <c:v>0.41141542361543237</c:v>
                </c:pt>
                <c:pt idx="136">
                  <c:v>0.40369490002884345</c:v>
                </c:pt>
                <c:pt idx="137">
                  <c:v>0.39600190331325597</c:v>
                </c:pt>
                <c:pt idx="138">
                  <c:v>0.39600190331325597</c:v>
                </c:pt>
                <c:pt idx="139">
                  <c:v>0.39600190331325597</c:v>
                </c:pt>
                <c:pt idx="140">
                  <c:v>0.38803123089187885</c:v>
                </c:pt>
                <c:pt idx="141">
                  <c:v>0.38009176951491064</c:v>
                </c:pt>
                <c:pt idx="142">
                  <c:v>0.38009176951491064</c:v>
                </c:pt>
                <c:pt idx="143">
                  <c:v>0.37201753328537257</c:v>
                </c:pt>
                <c:pt idx="144">
                  <c:v>0.36397639718366559</c:v>
                </c:pt>
                <c:pt idx="145">
                  <c:v>0.35596812427281044</c:v>
                </c:pt>
                <c:pt idx="146">
                  <c:v>0.34799251937357156</c:v>
                </c:pt>
                <c:pt idx="147">
                  <c:v>0.34799251937357156</c:v>
                </c:pt>
                <c:pt idx="148">
                  <c:v>0.34799251937357156</c:v>
                </c:pt>
                <c:pt idx="149">
                  <c:v>0.33967574681657275</c:v>
                </c:pt>
                <c:pt idx="150">
                  <c:v>0.33139711841024866</c:v>
                </c:pt>
                <c:pt idx="151">
                  <c:v>0.32315644638548113</c:v>
                </c:pt>
                <c:pt idx="152">
                  <c:v>0.32315644638548113</c:v>
                </c:pt>
                <c:pt idx="153">
                  <c:v>0.31474394197365257</c:v>
                </c:pt>
                <c:pt idx="154">
                  <c:v>0.31474394197365257</c:v>
                </c:pt>
                <c:pt idx="155">
                  <c:v>0.31474394197365257</c:v>
                </c:pt>
                <c:pt idx="156">
                  <c:v>0.30591270341485888</c:v>
                </c:pt>
                <c:pt idx="157">
                  <c:v>0.30591270341485888</c:v>
                </c:pt>
                <c:pt idx="158">
                  <c:v>0.29687780699258481</c:v>
                </c:pt>
                <c:pt idx="159">
                  <c:v>0.28789736225588625</c:v>
                </c:pt>
                <c:pt idx="160">
                  <c:v>0.27897115996614014</c:v>
                </c:pt>
                <c:pt idx="161">
                  <c:v>0.27897115996614014</c:v>
                </c:pt>
                <c:pt idx="162">
                  <c:v>0.27897115996614014</c:v>
                </c:pt>
                <c:pt idx="163">
                  <c:v>0.26951380822908583</c:v>
                </c:pt>
                <c:pt idx="164">
                  <c:v>0.26012376044373686</c:v>
                </c:pt>
                <c:pt idx="165">
                  <c:v>0.2508008774580906</c:v>
                </c:pt>
                <c:pt idx="166">
                  <c:v>0.24154517611453519</c:v>
                </c:pt>
                <c:pt idx="167">
                  <c:v>0.23235683076433752</c:v>
                </c:pt>
                <c:pt idx="168">
                  <c:v>0.22323617653744557</c:v>
                </c:pt>
                <c:pt idx="169">
                  <c:v>0.21418371447065929</c:v>
                </c:pt>
                <c:pt idx="170">
                  <c:v>0.20520011864917234</c:v>
                </c:pt>
                <c:pt idx="171">
                  <c:v>0.20520011864917234</c:v>
                </c:pt>
                <c:pt idx="172">
                  <c:v>0.19589539714586385</c:v>
                </c:pt>
                <c:pt idx="173">
                  <c:v>0.18667251684407932</c:v>
                </c:pt>
                <c:pt idx="174">
                  <c:v>0.17753272542140996</c:v>
                </c:pt>
                <c:pt idx="175">
                  <c:v>0.17753272542140996</c:v>
                </c:pt>
                <c:pt idx="176">
                  <c:v>0.16801073014603632</c:v>
                </c:pt>
                <c:pt idx="177">
                  <c:v>0.15859102739193698</c:v>
                </c:pt>
                <c:pt idx="178">
                  <c:v>0.14927588191067978</c:v>
                </c:pt>
                <c:pt idx="179">
                  <c:v>0.1400680437082274</c:v>
                </c:pt>
                <c:pt idx="180">
                  <c:v>0.13097080892735441</c:v>
                </c:pt>
                <c:pt idx="181">
                  <c:v>0.13097080892735441</c:v>
                </c:pt>
                <c:pt idx="182">
                  <c:v>0.13097080892735441</c:v>
                </c:pt>
                <c:pt idx="183">
                  <c:v>0.13097080892735441</c:v>
                </c:pt>
                <c:pt idx="184">
                  <c:v>0.11982709613377569</c:v>
                </c:pt>
                <c:pt idx="185">
                  <c:v>0.10892247500679746</c:v>
                </c:pt>
                <c:pt idx="186">
                  <c:v>0.10892247500679746</c:v>
                </c:pt>
                <c:pt idx="187">
                  <c:v>9.7208678131104329E-2</c:v>
                </c:pt>
                <c:pt idx="188">
                  <c:v>8.5839413909074888E-2</c:v>
                </c:pt>
                <c:pt idx="189">
                  <c:v>7.4829765246059027E-2</c:v>
                </c:pt>
                <c:pt idx="190">
                  <c:v>6.4200987091191042E-2</c:v>
                </c:pt>
                <c:pt idx="191">
                  <c:v>6.4200987091191042E-2</c:v>
                </c:pt>
                <c:pt idx="192">
                  <c:v>6.4200987091191042E-2</c:v>
                </c:pt>
                <c:pt idx="193">
                  <c:v>6.4200987091191042E-2</c:v>
                </c:pt>
                <c:pt idx="194">
                  <c:v>4.6926286918852901E-2</c:v>
                </c:pt>
                <c:pt idx="195">
                  <c:v>4.6926286918852901E-2</c:v>
                </c:pt>
                <c:pt idx="196">
                  <c:v>2.687910071052358E-2</c:v>
                </c:pt>
                <c:pt idx="197">
                  <c:v>2.687910071052358E-2</c:v>
                </c:pt>
                <c:pt idx="198">
                  <c:v>2.687910071052358E-2</c:v>
                </c:pt>
                <c:pt idx="199">
                  <c:v>2.687910071052358E-2</c:v>
                </c:pt>
              </c:numCache>
            </c:numRef>
          </c:yVal>
          <c:smooth val="1"/>
          <c:extLst>
            <c:ext xmlns:c16="http://schemas.microsoft.com/office/drawing/2014/chart" uri="{C3380CC4-5D6E-409C-BE32-E72D297353CC}">
              <c16:uniqueId val="{00000002-6AA8-4437-B850-EB8609D4A197}"/>
            </c:ext>
          </c:extLst>
        </c:ser>
        <c:dLbls>
          <c:showLegendKey val="0"/>
          <c:showVal val="0"/>
          <c:showCatName val="0"/>
          <c:showSerName val="0"/>
          <c:showPercent val="0"/>
          <c:showBubbleSize val="0"/>
        </c:dLbls>
        <c:axId val="67862362"/>
        <c:axId val="4337631"/>
      </c:scatterChart>
      <c:valAx>
        <c:axId val="67862362"/>
        <c:scaling>
          <c:orientation val="minMax"/>
        </c:scaling>
        <c:delete val="0"/>
        <c:axPos val="b"/>
        <c:majorGridlines>
          <c:spPr>
            <a:ln w="9360">
              <a:solidFill>
                <a:srgbClr val="878787"/>
              </a:solidFill>
              <a:round/>
            </a:ln>
          </c:spPr>
        </c:majorGridlines>
        <c:title>
          <c:tx>
            <c:rich>
              <a:bodyPr rot="0"/>
              <a:lstStyle/>
              <a:p>
                <a:pPr>
                  <a:defRPr/>
                </a:pPr>
                <a:r>
                  <a:rPr lang="en-US"/>
                  <a:t>Tiempo de operacion t (h)</a:t>
                </a:r>
              </a:p>
            </c:rich>
          </c:tx>
          <c:overlay val="0"/>
          <c:spPr>
            <a:noFill/>
            <a:ln w="0">
              <a:noFill/>
            </a:ln>
          </c:spPr>
        </c:title>
        <c:numFmt formatCode="#,##0" sourceLinked="0"/>
        <c:majorTickMark val="none"/>
        <c:minorTickMark val="none"/>
        <c:tickLblPos val="nextTo"/>
        <c:spPr>
          <a:ln w="9360">
            <a:solidFill>
              <a:srgbClr val="878787"/>
            </a:solidFill>
            <a:round/>
          </a:ln>
        </c:spPr>
        <c:crossAx val="4337631"/>
        <c:crosses val="autoZero"/>
        <c:crossBetween val="midCat"/>
      </c:valAx>
      <c:valAx>
        <c:axId val="4337631"/>
        <c:scaling>
          <c:orientation val="minMax"/>
          <c:max val="1"/>
        </c:scaling>
        <c:delete val="0"/>
        <c:axPos val="l"/>
        <c:majorGridlines>
          <c:spPr>
            <a:ln w="9360">
              <a:solidFill>
                <a:srgbClr val="878787"/>
              </a:solidFill>
              <a:round/>
            </a:ln>
          </c:spPr>
        </c:majorGridlines>
        <c:minorGridlines/>
        <c:title>
          <c:tx>
            <c:rich>
              <a:bodyPr rot="-5400000"/>
              <a:lstStyle/>
              <a:p>
                <a:pPr>
                  <a:defRPr/>
                </a:pPr>
                <a:r>
                  <a:rPr lang="en-US"/>
                  <a:t>Confiabilidad S(t)</a:t>
                </a:r>
              </a:p>
            </c:rich>
          </c:tx>
          <c:overlay val="0"/>
          <c:spPr>
            <a:noFill/>
            <a:ln w="0">
              <a:noFill/>
            </a:ln>
          </c:spPr>
        </c:title>
        <c:numFmt formatCode="0.00" sourceLinked="1"/>
        <c:majorTickMark val="none"/>
        <c:minorTickMark val="none"/>
        <c:tickLblPos val="nextTo"/>
        <c:spPr>
          <a:ln w="9360">
            <a:solidFill>
              <a:srgbClr val="878787"/>
            </a:solidFill>
            <a:round/>
          </a:ln>
        </c:spPr>
        <c:crossAx val="67862362"/>
        <c:crosses val="autoZero"/>
        <c:crossBetween val="midCat"/>
      </c:valAx>
      <c:spPr>
        <a:noFill/>
        <a:ln w="0">
          <a:noFill/>
        </a:ln>
      </c:spPr>
    </c:plotArea>
    <c:legend>
      <c:legendPos val="t"/>
      <c:overlay val="0"/>
      <c:spPr>
        <a:noFill/>
        <a:ln w="0">
          <a:noFill/>
        </a:ln>
      </c:spPr>
    </c:legend>
    <c:plotVisOnly val="1"/>
    <c:dispBlanksAs val="gap"/>
    <c:showDLblsOverMax val="1"/>
  </c:chart>
  <c:spPr>
    <a:solidFill>
      <a:srgbClr val="FFFFFF"/>
    </a:solidFill>
    <a:ln w="9360">
      <a:solidFill>
        <a:srgbClr val="D9D9D9"/>
      </a:solidFill>
      <a:round/>
    </a:ln>
  </c:spPr>
  <c:txPr>
    <a:bodyPr/>
    <a:lstStyle/>
    <a:p>
      <a:pPr>
        <a:defRPr sz="1200">
          <a:latin typeface="Avenir Next LT Pro" panose="020B0504020202020204"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300" b="0" u="none" strike="noStrike">
                <a:uFillTx/>
                <a:latin typeface="Arial"/>
              </a:defRPr>
            </a:pPr>
            <a:r>
              <a:rPr lang="en-US" sz="1800" b="1" u="none" strike="noStrike">
                <a:solidFill>
                  <a:srgbClr val="000000"/>
                </a:solidFill>
                <a:uFillTx/>
                <a:latin typeface="Calibri"/>
              </a:rPr>
              <a:t>Confiabilidad R(t)  —  comparacion de los tres metodos de estimacion</a:t>
            </a:r>
          </a:p>
        </c:rich>
      </c:tx>
      <c:overlay val="0"/>
      <c:spPr>
        <a:noFill/>
        <a:ln w="0">
          <a:noFill/>
        </a:ln>
      </c:spPr>
    </c:title>
    <c:autoTitleDeleted val="0"/>
    <c:plotArea>
      <c:layout/>
      <c:scatterChart>
        <c:scatterStyle val="lineMarker"/>
        <c:varyColors val="0"/>
        <c:ser>
          <c:idx val="0"/>
          <c:order val="0"/>
          <c:tx>
            <c:v>Kaplan-Meier (empirica)</c:v>
          </c:tx>
          <c:spPr>
            <a:ln w="21960">
              <a:solidFill>
                <a:srgbClr val="00B0F0"/>
              </a:solidFill>
              <a:round/>
            </a:ln>
          </c:spPr>
          <c:marker>
            <c:spPr>
              <a:solidFill>
                <a:srgbClr val="00B0F0"/>
              </a:solidFill>
              <a:ln>
                <a:solidFill>
                  <a:srgbClr val="00B0F0"/>
                </a:solidFill>
              </a:ln>
            </c:spPr>
          </c:marker>
          <c:xVal>
            <c:numRef>
              <c:f>Comparacion!$A$29:$A$79</c:f>
              <c:numCache>
                <c:formatCode>#,##0</c:formatCode>
                <c:ptCount val="51"/>
                <c:pt idx="0">
                  <c:v>0</c:v>
                </c:pt>
                <c:pt idx="1">
                  <c:v>200</c:v>
                </c:pt>
                <c:pt idx="2">
                  <c:v>400</c:v>
                </c:pt>
                <c:pt idx="3">
                  <c:v>600</c:v>
                </c:pt>
                <c:pt idx="4">
                  <c:v>800</c:v>
                </c:pt>
                <c:pt idx="5">
                  <c:v>1000</c:v>
                </c:pt>
                <c:pt idx="6">
                  <c:v>1200</c:v>
                </c:pt>
                <c:pt idx="7">
                  <c:v>1400</c:v>
                </c:pt>
                <c:pt idx="8">
                  <c:v>1600</c:v>
                </c:pt>
                <c:pt idx="9">
                  <c:v>1800</c:v>
                </c:pt>
                <c:pt idx="10">
                  <c:v>2000</c:v>
                </c:pt>
                <c:pt idx="11">
                  <c:v>2200</c:v>
                </c:pt>
                <c:pt idx="12">
                  <c:v>2400</c:v>
                </c:pt>
                <c:pt idx="13">
                  <c:v>2600</c:v>
                </c:pt>
                <c:pt idx="14">
                  <c:v>2800</c:v>
                </c:pt>
                <c:pt idx="15">
                  <c:v>3000</c:v>
                </c:pt>
                <c:pt idx="16">
                  <c:v>3200</c:v>
                </c:pt>
                <c:pt idx="17">
                  <c:v>3400</c:v>
                </c:pt>
                <c:pt idx="18">
                  <c:v>3600</c:v>
                </c:pt>
                <c:pt idx="19">
                  <c:v>3800</c:v>
                </c:pt>
                <c:pt idx="20">
                  <c:v>4000</c:v>
                </c:pt>
                <c:pt idx="21">
                  <c:v>4200</c:v>
                </c:pt>
                <c:pt idx="22">
                  <c:v>4400</c:v>
                </c:pt>
                <c:pt idx="23">
                  <c:v>4600</c:v>
                </c:pt>
                <c:pt idx="24">
                  <c:v>4800</c:v>
                </c:pt>
                <c:pt idx="25">
                  <c:v>5000</c:v>
                </c:pt>
                <c:pt idx="26">
                  <c:v>5200</c:v>
                </c:pt>
                <c:pt idx="27">
                  <c:v>5400</c:v>
                </c:pt>
                <c:pt idx="28">
                  <c:v>5600</c:v>
                </c:pt>
                <c:pt idx="29">
                  <c:v>5800</c:v>
                </c:pt>
                <c:pt idx="30">
                  <c:v>6000</c:v>
                </c:pt>
                <c:pt idx="31">
                  <c:v>6200</c:v>
                </c:pt>
                <c:pt idx="32">
                  <c:v>6400</c:v>
                </c:pt>
                <c:pt idx="33">
                  <c:v>6600</c:v>
                </c:pt>
                <c:pt idx="34">
                  <c:v>6800</c:v>
                </c:pt>
                <c:pt idx="35">
                  <c:v>7000</c:v>
                </c:pt>
                <c:pt idx="36">
                  <c:v>7200</c:v>
                </c:pt>
                <c:pt idx="37">
                  <c:v>7400</c:v>
                </c:pt>
                <c:pt idx="38">
                  <c:v>7600</c:v>
                </c:pt>
                <c:pt idx="39">
                  <c:v>7800</c:v>
                </c:pt>
                <c:pt idx="40">
                  <c:v>8000</c:v>
                </c:pt>
                <c:pt idx="41">
                  <c:v>8200</c:v>
                </c:pt>
                <c:pt idx="42">
                  <c:v>8400</c:v>
                </c:pt>
                <c:pt idx="43">
                  <c:v>8600</c:v>
                </c:pt>
                <c:pt idx="44">
                  <c:v>8800</c:v>
                </c:pt>
                <c:pt idx="45">
                  <c:v>9000</c:v>
                </c:pt>
                <c:pt idx="46">
                  <c:v>9200</c:v>
                </c:pt>
                <c:pt idx="47">
                  <c:v>9400</c:v>
                </c:pt>
                <c:pt idx="48">
                  <c:v>9600</c:v>
                </c:pt>
                <c:pt idx="49">
                  <c:v>9800</c:v>
                </c:pt>
                <c:pt idx="50">
                  <c:v>10000</c:v>
                </c:pt>
              </c:numCache>
            </c:numRef>
          </c:xVal>
          <c:yVal>
            <c:numRef>
              <c:f>Comparacion!$D$29:$D$79</c:f>
              <c:numCache>
                <c:formatCode>0.0000</c:formatCode>
                <c:ptCount val="51"/>
                <c:pt idx="0">
                  <c:v>1</c:v>
                </c:pt>
                <c:pt idx="1">
                  <c:v>1</c:v>
                </c:pt>
                <c:pt idx="2">
                  <c:v>1</c:v>
                </c:pt>
                <c:pt idx="3">
                  <c:v>0.98</c:v>
                </c:pt>
                <c:pt idx="4">
                  <c:v>0.97</c:v>
                </c:pt>
                <c:pt idx="5">
                  <c:v>0.95</c:v>
                </c:pt>
                <c:pt idx="6">
                  <c:v>0.93473174843059736</c:v>
                </c:pt>
                <c:pt idx="7">
                  <c:v>0.9191509624029236</c:v>
                </c:pt>
                <c:pt idx="8">
                  <c:v>0.90345342888842284</c:v>
                </c:pt>
                <c:pt idx="9">
                  <c:v>0.89243487977440761</c:v>
                </c:pt>
                <c:pt idx="10">
                  <c:v>0.87538058679044117</c:v>
                </c:pt>
                <c:pt idx="11">
                  <c:v>0.82941441858459863</c:v>
                </c:pt>
                <c:pt idx="12">
                  <c:v>0.79407362387154712</c:v>
                </c:pt>
                <c:pt idx="13">
                  <c:v>0.75181613971490058</c:v>
                </c:pt>
                <c:pt idx="14">
                  <c:v>0.7330180920981022</c:v>
                </c:pt>
                <c:pt idx="15">
                  <c:v>0.72015612868085299</c:v>
                </c:pt>
                <c:pt idx="16">
                  <c:v>0.70694225476010342</c:v>
                </c:pt>
                <c:pt idx="17">
                  <c:v>0.64462695651776802</c:v>
                </c:pt>
                <c:pt idx="18">
                  <c:v>0.60234719936473757</c:v>
                </c:pt>
                <c:pt idx="19">
                  <c:v>0.55948289364236892</c:v>
                </c:pt>
                <c:pt idx="20">
                  <c:v>0.51588682400789876</c:v>
                </c:pt>
                <c:pt idx="21">
                  <c:v>0.493233779388906</c:v>
                </c:pt>
                <c:pt idx="22">
                  <c:v>0.4618928829902359</c:v>
                </c:pt>
                <c:pt idx="23">
                  <c:v>0.43758273125390768</c:v>
                </c:pt>
                <c:pt idx="24">
                  <c:v>0.40421585632169249</c:v>
                </c:pt>
                <c:pt idx="25">
                  <c:v>0.38662425715875615</c:v>
                </c:pt>
                <c:pt idx="26">
                  <c:v>0.35900823879027355</c:v>
                </c:pt>
                <c:pt idx="27">
                  <c:v>0.32989946267214326</c:v>
                </c:pt>
                <c:pt idx="28">
                  <c:v>0.30079068655401292</c:v>
                </c:pt>
                <c:pt idx="29">
                  <c:v>0.25123646054338639</c:v>
                </c:pt>
                <c:pt idx="30">
                  <c:v>0.21983190297546312</c:v>
                </c:pt>
                <c:pt idx="31">
                  <c:v>0.19889553126351422</c:v>
                </c:pt>
                <c:pt idx="32">
                  <c:v>0.17403358985557493</c:v>
                </c:pt>
                <c:pt idx="33">
                  <c:v>0.17403358985557493</c:v>
                </c:pt>
                <c:pt idx="34">
                  <c:v>0.17403358985557493</c:v>
                </c:pt>
                <c:pt idx="35">
                  <c:v>0.16064639063591532</c:v>
                </c:pt>
                <c:pt idx="36">
                  <c:v>0.14725919141625571</c:v>
                </c:pt>
                <c:pt idx="37">
                  <c:v>0.12048479297693648</c:v>
                </c:pt>
                <c:pt idx="38">
                  <c:v>0.12048479297693648</c:v>
                </c:pt>
                <c:pt idx="39">
                  <c:v>0.12048479297693648</c:v>
                </c:pt>
                <c:pt idx="40">
                  <c:v>0.10040399414744708</c:v>
                </c:pt>
                <c:pt idx="41">
                  <c:v>7.5302995610585316E-2</c:v>
                </c:pt>
                <c:pt idx="42">
                  <c:v>7.5302995610585316E-2</c:v>
                </c:pt>
                <c:pt idx="43">
                  <c:v>7.5302995610585316E-2</c:v>
                </c:pt>
                <c:pt idx="44">
                  <c:v>7.5302995610585316E-2</c:v>
                </c:pt>
                <c:pt idx="45">
                  <c:v>7.5302995610585316E-2</c:v>
                </c:pt>
                <c:pt idx="46">
                  <c:v>7.5302995610585316E-2</c:v>
                </c:pt>
                <c:pt idx="47">
                  <c:v>7.5302995610585316E-2</c:v>
                </c:pt>
                <c:pt idx="48">
                  <c:v>7.5302995610585316E-2</c:v>
                </c:pt>
                <c:pt idx="49">
                  <c:v>7.5302995610585316E-2</c:v>
                </c:pt>
                <c:pt idx="50">
                  <c:v>7.5302995610585316E-2</c:v>
                </c:pt>
              </c:numCache>
            </c:numRef>
          </c:yVal>
          <c:smooth val="0"/>
          <c:extLst>
            <c:ext xmlns:c16="http://schemas.microsoft.com/office/drawing/2014/chart" uri="{C3380CC4-5D6E-409C-BE32-E72D297353CC}">
              <c16:uniqueId val="{00000000-C481-4DB0-B7A9-A8C93215513E}"/>
            </c:ext>
          </c:extLst>
        </c:ser>
        <c:ser>
          <c:idx val="1"/>
          <c:order val="1"/>
          <c:tx>
            <c:v>Weibull — metodo grafico</c:v>
          </c:tx>
          <c:spPr>
            <a:ln w="25400">
              <a:solidFill>
                <a:srgbClr val="FF0000"/>
              </a:solidFill>
              <a:prstDash val="dash"/>
              <a:round/>
            </a:ln>
          </c:spPr>
          <c:marker>
            <c:symbol val="square"/>
            <c:size val="5"/>
            <c:spPr>
              <a:solidFill>
                <a:srgbClr val="FF0000"/>
              </a:solidFill>
              <a:ln>
                <a:solidFill>
                  <a:srgbClr val="FF0000"/>
                </a:solidFill>
              </a:ln>
            </c:spPr>
          </c:marker>
          <c:xVal>
            <c:numRef>
              <c:f>Comparacion!$A$29:$A$79</c:f>
              <c:numCache>
                <c:formatCode>#,##0</c:formatCode>
                <c:ptCount val="51"/>
                <c:pt idx="0">
                  <c:v>0</c:v>
                </c:pt>
                <c:pt idx="1">
                  <c:v>200</c:v>
                </c:pt>
                <c:pt idx="2">
                  <c:v>400</c:v>
                </c:pt>
                <c:pt idx="3">
                  <c:v>600</c:v>
                </c:pt>
                <c:pt idx="4">
                  <c:v>800</c:v>
                </c:pt>
                <c:pt idx="5">
                  <c:v>1000</c:v>
                </c:pt>
                <c:pt idx="6">
                  <c:v>1200</c:v>
                </c:pt>
                <c:pt idx="7">
                  <c:v>1400</c:v>
                </c:pt>
                <c:pt idx="8">
                  <c:v>1600</c:v>
                </c:pt>
                <c:pt idx="9">
                  <c:v>1800</c:v>
                </c:pt>
                <c:pt idx="10">
                  <c:v>2000</c:v>
                </c:pt>
                <c:pt idx="11">
                  <c:v>2200</c:v>
                </c:pt>
                <c:pt idx="12">
                  <c:v>2400</c:v>
                </c:pt>
                <c:pt idx="13">
                  <c:v>2600</c:v>
                </c:pt>
                <c:pt idx="14">
                  <c:v>2800</c:v>
                </c:pt>
                <c:pt idx="15">
                  <c:v>3000</c:v>
                </c:pt>
                <c:pt idx="16">
                  <c:v>3200</c:v>
                </c:pt>
                <c:pt idx="17">
                  <c:v>3400</c:v>
                </c:pt>
                <c:pt idx="18">
                  <c:v>3600</c:v>
                </c:pt>
                <c:pt idx="19">
                  <c:v>3800</c:v>
                </c:pt>
                <c:pt idx="20">
                  <c:v>4000</c:v>
                </c:pt>
                <c:pt idx="21">
                  <c:v>4200</c:v>
                </c:pt>
                <c:pt idx="22">
                  <c:v>4400</c:v>
                </c:pt>
                <c:pt idx="23">
                  <c:v>4600</c:v>
                </c:pt>
                <c:pt idx="24">
                  <c:v>4800</c:v>
                </c:pt>
                <c:pt idx="25">
                  <c:v>5000</c:v>
                </c:pt>
                <c:pt idx="26">
                  <c:v>5200</c:v>
                </c:pt>
                <c:pt idx="27">
                  <c:v>5400</c:v>
                </c:pt>
                <c:pt idx="28">
                  <c:v>5600</c:v>
                </c:pt>
                <c:pt idx="29">
                  <c:v>5800</c:v>
                </c:pt>
                <c:pt idx="30">
                  <c:v>6000</c:v>
                </c:pt>
                <c:pt idx="31">
                  <c:v>6200</c:v>
                </c:pt>
                <c:pt idx="32">
                  <c:v>6400</c:v>
                </c:pt>
                <c:pt idx="33">
                  <c:v>6600</c:v>
                </c:pt>
                <c:pt idx="34">
                  <c:v>6800</c:v>
                </c:pt>
                <c:pt idx="35">
                  <c:v>7000</c:v>
                </c:pt>
                <c:pt idx="36">
                  <c:v>7200</c:v>
                </c:pt>
                <c:pt idx="37">
                  <c:v>7400</c:v>
                </c:pt>
                <c:pt idx="38">
                  <c:v>7600</c:v>
                </c:pt>
                <c:pt idx="39">
                  <c:v>7800</c:v>
                </c:pt>
                <c:pt idx="40">
                  <c:v>8000</c:v>
                </c:pt>
                <c:pt idx="41">
                  <c:v>8200</c:v>
                </c:pt>
                <c:pt idx="42">
                  <c:v>8400</c:v>
                </c:pt>
                <c:pt idx="43">
                  <c:v>8600</c:v>
                </c:pt>
                <c:pt idx="44">
                  <c:v>8800</c:v>
                </c:pt>
                <c:pt idx="45">
                  <c:v>9000</c:v>
                </c:pt>
                <c:pt idx="46">
                  <c:v>9200</c:v>
                </c:pt>
                <c:pt idx="47">
                  <c:v>9400</c:v>
                </c:pt>
                <c:pt idx="48">
                  <c:v>9600</c:v>
                </c:pt>
                <c:pt idx="49">
                  <c:v>9800</c:v>
                </c:pt>
                <c:pt idx="50">
                  <c:v>10000</c:v>
                </c:pt>
              </c:numCache>
            </c:numRef>
          </c:xVal>
          <c:yVal>
            <c:numRef>
              <c:f>Comparacion!$B$29:$B$79</c:f>
              <c:numCache>
                <c:formatCode>0.0000</c:formatCode>
                <c:ptCount val="51"/>
                <c:pt idx="0">
                  <c:v>1</c:v>
                </c:pt>
                <c:pt idx="1">
                  <c:v>0.9979560885665808</c:v>
                </c:pt>
                <c:pt idx="2">
                  <c:v>0.99234475339684824</c:v>
                </c:pt>
                <c:pt idx="3">
                  <c:v>0.98347265977244425</c:v>
                </c:pt>
                <c:pt idx="4">
                  <c:v>0.97154917634755356</c:v>
                </c:pt>
                <c:pt idx="5">
                  <c:v>0.95676805829203881</c:v>
                </c:pt>
                <c:pt idx="6">
                  <c:v>0.93932413433866735</c:v>
                </c:pt>
                <c:pt idx="7">
                  <c:v>0.91941853101927762</c:v>
                </c:pt>
                <c:pt idx="8">
                  <c:v>0.89725996332353852</c:v>
                </c:pt>
                <c:pt idx="9">
                  <c:v>0.87306428907232447</c:v>
                </c:pt>
                <c:pt idx="10">
                  <c:v>0.8470531872984689</c:v>
                </c:pt>
                <c:pt idx="11">
                  <c:v>0.8194523690664417</c:v>
                </c:pt>
                <c:pt idx="12">
                  <c:v>0.79048954550808237</c:v>
                </c:pt>
                <c:pt idx="13">
                  <c:v>0.76039229234537276</c:v>
                </c:pt>
                <c:pt idx="14">
                  <c:v>0.72938590550339111</c:v>
                </c:pt>
                <c:pt idx="15">
                  <c:v>0.69769131639633586</c:v>
                </c:pt>
                <c:pt idx="16">
                  <c:v>0.6655231185896231</c:v>
                </c:pt>
                <c:pt idx="17">
                  <c:v>0.63308774541391533</c:v>
                </c:pt>
                <c:pt idx="18">
                  <c:v>0.60058182859896059</c:v>
                </c:pt>
                <c:pt idx="19">
                  <c:v>0.56819076003601399</c:v>
                </c:pt>
                <c:pt idx="20">
                  <c:v>0.53608747182616345</c:v>
                </c:pt>
                <c:pt idx="21">
                  <c:v>0.50443144356059066</c:v>
                </c:pt>
                <c:pt idx="22">
                  <c:v>0.47336794018458855</c:v>
                </c:pt>
                <c:pt idx="23">
                  <c:v>0.44302747877277843</c:v>
                </c:pt>
                <c:pt idx="24">
                  <c:v>0.41352551807911792</c:v>
                </c:pt>
                <c:pt idx="25">
                  <c:v>0.38496236082889335</c:v>
                </c:pt>
                <c:pt idx="26">
                  <c:v>0.35742325540159497</c:v>
                </c:pt>
                <c:pt idx="27">
                  <c:v>0.33097868082046805</c:v>
                </c:pt>
                <c:pt idx="28">
                  <c:v>0.30568479681609662</c:v>
                </c:pt>
                <c:pt idx="29">
                  <c:v>0.2815840391575658</c:v>
                </c:pt>
                <c:pt idx="30">
                  <c:v>0.25870583942538733</c:v>
                </c:pt>
                <c:pt idx="31">
                  <c:v>0.23706744790545073</c:v>
                </c:pt>
                <c:pt idx="32">
                  <c:v>0.21667483827398321</c:v>
                </c:pt>
                <c:pt idx="33">
                  <c:v>0.19752367317351693</c:v>
                </c:pt>
                <c:pt idx="34">
                  <c:v>0.17960031059699899</c:v>
                </c:pt>
                <c:pt idx="35">
                  <c:v>0.1628828321451285</c:v>
                </c:pt>
                <c:pt idx="36">
                  <c:v>0.14734207564203836</c:v>
                </c:pt>
                <c:pt idx="37">
                  <c:v>0.13294265622724027</c:v>
                </c:pt>
                <c:pt idx="38">
                  <c:v>0.11964396182884501</c:v>
                </c:pt>
                <c:pt idx="39">
                  <c:v>0.10740111080838763</c:v>
                </c:pt>
                <c:pt idx="40">
                  <c:v>9.6165861498602928E-2</c:v>
                </c:pt>
                <c:pt idx="41">
                  <c:v>8.5887465284245471E-2</c:v>
                </c:pt>
                <c:pt idx="42">
                  <c:v>7.6513456759930626E-2</c:v>
                </c:pt>
                <c:pt idx="43">
                  <c:v>6.799037630122752E-2</c:v>
                </c:pt>
                <c:pt idx="44">
                  <c:v>6.0264422075304032E-2</c:v>
                </c:pt>
                <c:pt idx="45">
                  <c:v>5.328203007100716E-2</c:v>
                </c:pt>
                <c:pt idx="46">
                  <c:v>4.6990382127253684E-2</c:v>
                </c:pt>
                <c:pt idx="47">
                  <c:v>4.1337843170812363E-2</c:v>
                </c:pt>
                <c:pt idx="48">
                  <c:v>3.6274329933316786E-2</c:v>
                </c:pt>
                <c:pt idx="49">
                  <c:v>3.1751614301009166E-2</c:v>
                </c:pt>
                <c:pt idx="50">
                  <c:v>2.7723565162066158E-2</c:v>
                </c:pt>
              </c:numCache>
            </c:numRef>
          </c:yVal>
          <c:smooth val="0"/>
          <c:extLst>
            <c:ext xmlns:c16="http://schemas.microsoft.com/office/drawing/2014/chart" uri="{C3380CC4-5D6E-409C-BE32-E72D297353CC}">
              <c16:uniqueId val="{00000001-C481-4DB0-B7A9-A8C93215513E}"/>
            </c:ext>
          </c:extLst>
        </c:ser>
        <c:ser>
          <c:idx val="2"/>
          <c:order val="2"/>
          <c:tx>
            <c:v>Weibull — maxima verosimilitud</c:v>
          </c:tx>
          <c:spPr>
            <a:ln w="19050">
              <a:solidFill>
                <a:srgbClr val="00B050"/>
              </a:solidFill>
              <a:round/>
            </a:ln>
          </c:spPr>
          <c:marker>
            <c:symbol val="triangle"/>
            <c:size val="4"/>
            <c:spPr>
              <a:solidFill>
                <a:srgbClr val="00B050"/>
              </a:solidFill>
              <a:ln>
                <a:solidFill>
                  <a:srgbClr val="00B050"/>
                </a:solidFill>
              </a:ln>
            </c:spPr>
          </c:marker>
          <c:xVal>
            <c:numRef>
              <c:f>Comparacion!$A$29:$A$79</c:f>
              <c:numCache>
                <c:formatCode>#,##0</c:formatCode>
                <c:ptCount val="51"/>
                <c:pt idx="0">
                  <c:v>0</c:v>
                </c:pt>
                <c:pt idx="1">
                  <c:v>200</c:v>
                </c:pt>
                <c:pt idx="2">
                  <c:v>400</c:v>
                </c:pt>
                <c:pt idx="3">
                  <c:v>600</c:v>
                </c:pt>
                <c:pt idx="4">
                  <c:v>800</c:v>
                </c:pt>
                <c:pt idx="5">
                  <c:v>1000</c:v>
                </c:pt>
                <c:pt idx="6">
                  <c:v>1200</c:v>
                </c:pt>
                <c:pt idx="7">
                  <c:v>1400</c:v>
                </c:pt>
                <c:pt idx="8">
                  <c:v>1600</c:v>
                </c:pt>
                <c:pt idx="9">
                  <c:v>1800</c:v>
                </c:pt>
                <c:pt idx="10">
                  <c:v>2000</c:v>
                </c:pt>
                <c:pt idx="11">
                  <c:v>2200</c:v>
                </c:pt>
                <c:pt idx="12">
                  <c:v>2400</c:v>
                </c:pt>
                <c:pt idx="13">
                  <c:v>2600</c:v>
                </c:pt>
                <c:pt idx="14">
                  <c:v>2800</c:v>
                </c:pt>
                <c:pt idx="15">
                  <c:v>3000</c:v>
                </c:pt>
                <c:pt idx="16">
                  <c:v>3200</c:v>
                </c:pt>
                <c:pt idx="17">
                  <c:v>3400</c:v>
                </c:pt>
                <c:pt idx="18">
                  <c:v>3600</c:v>
                </c:pt>
                <c:pt idx="19">
                  <c:v>3800</c:v>
                </c:pt>
                <c:pt idx="20">
                  <c:v>4000</c:v>
                </c:pt>
                <c:pt idx="21">
                  <c:v>4200</c:v>
                </c:pt>
                <c:pt idx="22">
                  <c:v>4400</c:v>
                </c:pt>
                <c:pt idx="23">
                  <c:v>4600</c:v>
                </c:pt>
                <c:pt idx="24">
                  <c:v>4800</c:v>
                </c:pt>
                <c:pt idx="25">
                  <c:v>5000</c:v>
                </c:pt>
                <c:pt idx="26">
                  <c:v>5200</c:v>
                </c:pt>
                <c:pt idx="27">
                  <c:v>5400</c:v>
                </c:pt>
                <c:pt idx="28">
                  <c:v>5600</c:v>
                </c:pt>
                <c:pt idx="29">
                  <c:v>5800</c:v>
                </c:pt>
                <c:pt idx="30">
                  <c:v>6000</c:v>
                </c:pt>
                <c:pt idx="31">
                  <c:v>6200</c:v>
                </c:pt>
                <c:pt idx="32">
                  <c:v>6400</c:v>
                </c:pt>
                <c:pt idx="33">
                  <c:v>6600</c:v>
                </c:pt>
                <c:pt idx="34">
                  <c:v>6800</c:v>
                </c:pt>
                <c:pt idx="35">
                  <c:v>7000</c:v>
                </c:pt>
                <c:pt idx="36">
                  <c:v>7200</c:v>
                </c:pt>
                <c:pt idx="37">
                  <c:v>7400</c:v>
                </c:pt>
                <c:pt idx="38">
                  <c:v>7600</c:v>
                </c:pt>
                <c:pt idx="39">
                  <c:v>7800</c:v>
                </c:pt>
                <c:pt idx="40">
                  <c:v>8000</c:v>
                </c:pt>
                <c:pt idx="41">
                  <c:v>8200</c:v>
                </c:pt>
                <c:pt idx="42">
                  <c:v>8400</c:v>
                </c:pt>
                <c:pt idx="43">
                  <c:v>8600</c:v>
                </c:pt>
                <c:pt idx="44">
                  <c:v>8800</c:v>
                </c:pt>
                <c:pt idx="45">
                  <c:v>9000</c:v>
                </c:pt>
                <c:pt idx="46">
                  <c:v>9200</c:v>
                </c:pt>
                <c:pt idx="47">
                  <c:v>9400</c:v>
                </c:pt>
                <c:pt idx="48">
                  <c:v>9600</c:v>
                </c:pt>
                <c:pt idx="49">
                  <c:v>9800</c:v>
                </c:pt>
                <c:pt idx="50">
                  <c:v>10000</c:v>
                </c:pt>
              </c:numCache>
            </c:numRef>
          </c:xVal>
          <c:yVal>
            <c:numRef>
              <c:f>Comparacion!$C$29:$C$79</c:f>
              <c:numCache>
                <c:formatCode>0.0000</c:formatCode>
                <c:ptCount val="51"/>
                <c:pt idx="0">
                  <c:v>1</c:v>
                </c:pt>
                <c:pt idx="1">
                  <c:v>0.99817963999569692</c:v>
                </c:pt>
                <c:pt idx="2">
                  <c:v>0.99299615720618561</c:v>
                </c:pt>
                <c:pt idx="3">
                  <c:v>0.98463711303459045</c:v>
                </c:pt>
                <c:pt idx="4">
                  <c:v>0.97325168457138311</c:v>
                </c:pt>
                <c:pt idx="5">
                  <c:v>0.95899288113542713</c:v>
                </c:pt>
                <c:pt idx="6">
                  <c:v>0.94202574648149418</c:v>
                </c:pt>
                <c:pt idx="7">
                  <c:v>0.92252927619449432</c:v>
                </c:pt>
                <c:pt idx="8">
                  <c:v>0.90069606754226372</c:v>
                </c:pt>
                <c:pt idx="9">
                  <c:v>0.87673090378279395</c:v>
                </c:pt>
                <c:pt idx="10">
                  <c:v>0.85084876288250688</c:v>
                </c:pt>
                <c:pt idx="11">
                  <c:v>0.82327249883187315</c:v>
                </c:pt>
                <c:pt idx="12">
                  <c:v>0.79423034503544976</c:v>
                </c:pt>
                <c:pt idx="13">
                  <c:v>0.76395334277654459</c:v>
                </c:pt>
                <c:pt idx="14">
                  <c:v>0.73267277275302156</c:v>
                </c:pt>
                <c:pt idx="15">
                  <c:v>0.70061765221700267</c:v>
                </c:pt>
                <c:pt idx="16">
                  <c:v>0.66801234923401431</c:v>
                </c:pt>
                <c:pt idx="17">
                  <c:v>0.6350743566917989</c:v>
                </c:pt>
                <c:pt idx="18">
                  <c:v>0.60201226085317272</c:v>
                </c:pt>
                <c:pt idx="19">
                  <c:v>0.56902393196395151</c:v>
                </c:pt>
                <c:pt idx="20">
                  <c:v>0.53629495749177825</c:v>
                </c:pt>
                <c:pt idx="21">
                  <c:v>0.50399733193087193</c:v>
                </c:pt>
                <c:pt idx="22">
                  <c:v>0.47228841078457651</c:v>
                </c:pt>
                <c:pt idx="23">
                  <c:v>0.44131013039225286</c:v>
                </c:pt>
                <c:pt idx="24">
                  <c:v>0.41118848977325406</c:v>
                </c:pt>
                <c:pt idx="25">
                  <c:v>0.38203328569190104</c:v>
                </c:pt>
                <c:pt idx="26">
                  <c:v>0.35393808776819846</c:v>
                </c:pt>
                <c:pt idx="27">
                  <c:v>0.32698043672028454</c:v>
                </c:pt>
                <c:pt idx="28">
                  <c:v>0.30122224576037587</c:v>
                </c:pt>
                <c:pt idx="29">
                  <c:v>0.2767103827924034</c:v>
                </c:pt>
                <c:pt idx="30">
                  <c:v>0.25347740937485125</c:v>
                </c:pt>
                <c:pt idx="31">
                  <c:v>0.2315424513976323</c:v>
                </c:pt>
                <c:pt idx="32">
                  <c:v>0.21091217604279935</c:v>
                </c:pt>
                <c:pt idx="33">
                  <c:v>0.19158184980767295</c:v>
                </c:pt>
                <c:pt idx="34">
                  <c:v>0.17353645310669299</c:v>
                </c:pt>
                <c:pt idx="35">
                  <c:v>0.15675182816764166</c:v>
                </c:pt>
                <c:pt idx="36">
                  <c:v>0.14119583852572318</c:v>
                </c:pt>
                <c:pt idx="37">
                  <c:v>0.12682952031902392</c:v>
                </c:pt>
                <c:pt idx="38">
                  <c:v>0.11360820772416751</c:v>
                </c:pt>
                <c:pt idx="39">
                  <c:v>0.10148261716614874</c:v>
                </c:pt>
                <c:pt idx="40">
                  <c:v>9.0399877319640123E-2</c:v>
                </c:pt>
                <c:pt idx="41">
                  <c:v>8.0304494324053205E-2</c:v>
                </c:pt>
                <c:pt idx="42">
                  <c:v>7.1139244001496363E-2</c:v>
                </c:pt>
                <c:pt idx="43">
                  <c:v>6.2845985143335018E-2</c:v>
                </c:pt>
                <c:pt idx="44">
                  <c:v>5.5366390073431887E-2</c:v>
                </c:pt>
                <c:pt idx="45">
                  <c:v>4.8642590669047088E-2</c:v>
                </c:pt>
                <c:pt idx="46">
                  <c:v>4.2617739797116638E-2</c:v>
                </c:pt>
                <c:pt idx="47">
                  <c:v>3.7236489685876333E-2</c:v>
                </c:pt>
                <c:pt idx="48">
                  <c:v>3.2445390089069506E-2</c:v>
                </c:pt>
                <c:pt idx="49">
                  <c:v>2.8193210208982997E-2</c:v>
                </c:pt>
                <c:pt idx="50">
                  <c:v>2.4431189228362481E-2</c:v>
                </c:pt>
              </c:numCache>
            </c:numRef>
          </c:yVal>
          <c:smooth val="0"/>
          <c:extLst>
            <c:ext xmlns:c16="http://schemas.microsoft.com/office/drawing/2014/chart" uri="{C3380CC4-5D6E-409C-BE32-E72D297353CC}">
              <c16:uniqueId val="{00000002-C481-4DB0-B7A9-A8C93215513E}"/>
            </c:ext>
          </c:extLst>
        </c:ser>
        <c:dLbls>
          <c:showLegendKey val="0"/>
          <c:showVal val="0"/>
          <c:showCatName val="0"/>
          <c:showSerName val="0"/>
          <c:showPercent val="0"/>
          <c:showBubbleSize val="0"/>
        </c:dLbls>
        <c:axId val="90700966"/>
        <c:axId val="60089425"/>
      </c:scatterChart>
      <c:valAx>
        <c:axId val="90700966"/>
        <c:scaling>
          <c:orientation val="minMax"/>
        </c:scaling>
        <c:delete val="0"/>
        <c:axPos val="b"/>
        <c:majorGridlines>
          <c:spPr>
            <a:ln w="9360">
              <a:solidFill>
                <a:srgbClr val="878787"/>
              </a:solidFill>
              <a:round/>
            </a:ln>
          </c:spPr>
        </c:majorGridlines>
        <c:minorGridlines>
          <c:spPr>
            <a:ln>
              <a:solidFill>
                <a:schemeClr val="bg1">
                  <a:lumMod val="85000"/>
                </a:schemeClr>
              </a:solidFill>
            </a:ln>
          </c:spPr>
        </c:minorGridlines>
        <c:title>
          <c:tx>
            <c:rich>
              <a:bodyPr rot="0"/>
              <a:lstStyle/>
              <a:p>
                <a:pPr>
                  <a:defRPr sz="1300" b="0" u="none" strike="noStrike">
                    <a:uFillTx/>
                    <a:latin typeface="Arial"/>
                  </a:defRPr>
                </a:pPr>
                <a:r>
                  <a:rPr lang="en-US" sz="1000" b="1" u="none" strike="noStrike">
                    <a:solidFill>
                      <a:srgbClr val="000000"/>
                    </a:solidFill>
                    <a:uFillTx/>
                    <a:latin typeface="Calibri"/>
                  </a:rPr>
                  <a:t>Tiempo de operacion t (h)</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60089425"/>
        <c:crosses val="autoZero"/>
        <c:crossBetween val="midCat"/>
        <c:majorUnit val="1000"/>
      </c:valAx>
      <c:valAx>
        <c:axId val="60089425"/>
        <c:scaling>
          <c:orientation val="minMax"/>
          <c:max val="1"/>
        </c:scaling>
        <c:delete val="0"/>
        <c:axPos val="l"/>
        <c:majorGridlines>
          <c:spPr>
            <a:ln w="9360">
              <a:solidFill>
                <a:srgbClr val="878787"/>
              </a:solidFill>
              <a:round/>
            </a:ln>
          </c:spPr>
        </c:majorGridlines>
        <c:minorGridlines>
          <c:spPr>
            <a:ln>
              <a:solidFill>
                <a:schemeClr val="bg1">
                  <a:lumMod val="85000"/>
                </a:schemeClr>
              </a:solidFill>
            </a:ln>
          </c:spPr>
        </c:minorGridlines>
        <c:title>
          <c:tx>
            <c:rich>
              <a:bodyPr rot="-5400000"/>
              <a:lstStyle/>
              <a:p>
                <a:pPr>
                  <a:defRPr sz="1300" b="0" u="none" strike="noStrike">
                    <a:uFillTx/>
                    <a:latin typeface="Arial"/>
                  </a:defRPr>
                </a:pPr>
                <a:r>
                  <a:rPr lang="en-US" sz="1000" b="1" u="none" strike="noStrike">
                    <a:solidFill>
                      <a:srgbClr val="000000"/>
                    </a:solidFill>
                    <a:uFillTx/>
                    <a:latin typeface="Calibri"/>
                  </a:rPr>
                  <a:t>Confiabilidad R(t)</a:t>
                </a:r>
              </a:p>
            </c:rich>
          </c:tx>
          <c:overlay val="0"/>
          <c:spPr>
            <a:noFill/>
            <a:ln w="0">
              <a:noFill/>
            </a:ln>
          </c:spPr>
        </c:title>
        <c:numFmt formatCode="0.0" sourceLinked="0"/>
        <c:majorTickMark val="none"/>
        <c:minorTickMark val="none"/>
        <c:tickLblPos val="nextTo"/>
        <c:spPr>
          <a:ln w="9360">
            <a:solidFill>
              <a:schemeClr val="bg1">
                <a:lumMod val="85000"/>
              </a:schemeClr>
            </a:solidFill>
            <a:round/>
          </a:ln>
        </c:spPr>
        <c:txPr>
          <a:bodyPr/>
          <a:lstStyle/>
          <a:p>
            <a:pPr>
              <a:defRPr sz="1000" b="0" u="none" strike="noStrike">
                <a:solidFill>
                  <a:srgbClr val="000000"/>
                </a:solidFill>
                <a:uFillTx/>
                <a:latin typeface="Calibri"/>
              </a:defRPr>
            </a:pPr>
            <a:endParaRPr lang="en-US"/>
          </a:p>
        </c:txPr>
        <c:crossAx val="90700966"/>
        <c:crosses val="autoZero"/>
        <c:crossBetween val="midCat"/>
      </c:valAx>
      <c:spPr>
        <a:noFill/>
        <a:ln w="0">
          <a:noFill/>
        </a:ln>
      </c:spPr>
    </c:plotArea>
    <c:legend>
      <c:legendPos val="t"/>
      <c:layout>
        <c:manualLayout>
          <c:xMode val="edge"/>
          <c:yMode val="edge"/>
          <c:x val="0.18980976676707204"/>
          <c:y val="9.5614181129494227E-2"/>
          <c:w val="0.62018711370756074"/>
          <c:h val="4.3547052103134913E-2"/>
        </c:manualLayout>
      </c:layout>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chemeClr val="tx1">
                    <a:lumMod val="65000"/>
                    <a:lumOff val="35000"/>
                  </a:schemeClr>
                </a:solidFill>
                <a:latin typeface="+mn-lt"/>
                <a:ea typeface="+mn-ea"/>
                <a:cs typeface="+mn-cs"/>
              </a:defRPr>
            </a:pPr>
            <a:r>
              <a:rPr lang="en-US"/>
              <a:t>Confiabilidad: Bayes vs. MLE</a:t>
            </a:r>
          </a:p>
        </c:rich>
      </c:tx>
      <c:overlay val="0"/>
      <c:spPr>
        <a:noFill/>
        <a:ln>
          <a:noFill/>
        </a:ln>
        <a:effectLst/>
      </c:spPr>
      <c:txPr>
        <a:bodyPr rot="0" spcFirstLastPara="1" vertOverflow="ellipsis" vert="horz" wrap="square" anchor="ctr" anchorCtr="1"/>
        <a:lstStyle/>
        <a:p>
          <a:pPr>
            <a:defRPr sz="15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1"/>
          <c:order val="0"/>
          <c:spPr>
            <a:ln w="31750" cap="rnd">
              <a:solidFill>
                <a:srgbClr val="1F4E78"/>
              </a:solidFill>
              <a:prstDash val="solid"/>
              <a:round/>
            </a:ln>
            <a:effectLst/>
          </c:spPr>
          <c:marker>
            <c:symbol val="none"/>
          </c:marker>
          <c:xVal>
            <c:numRef>
              <c:f>Bayes_Simple!$A$29:$A$45</c:f>
              <c:numCache>
                <c:formatCode>#,##0</c:formatCode>
                <c:ptCount val="17"/>
                <c:pt idx="0">
                  <c:v>1000</c:v>
                </c:pt>
                <c:pt idx="1">
                  <c:v>2000</c:v>
                </c:pt>
                <c:pt idx="2">
                  <c:v>3000</c:v>
                </c:pt>
                <c:pt idx="3">
                  <c:v>4000</c:v>
                </c:pt>
                <c:pt idx="4">
                  <c:v>5000</c:v>
                </c:pt>
                <c:pt idx="5">
                  <c:v>6000</c:v>
                </c:pt>
                <c:pt idx="6">
                  <c:v>7000</c:v>
                </c:pt>
                <c:pt idx="7">
                  <c:v>8000</c:v>
                </c:pt>
                <c:pt idx="8">
                  <c:v>9000</c:v>
                </c:pt>
                <c:pt idx="9">
                  <c:v>10000</c:v>
                </c:pt>
                <c:pt idx="10">
                  <c:v>11000</c:v>
                </c:pt>
                <c:pt idx="11">
                  <c:v>12000</c:v>
                </c:pt>
                <c:pt idx="12">
                  <c:v>13000</c:v>
                </c:pt>
                <c:pt idx="13">
                  <c:v>14000</c:v>
                </c:pt>
                <c:pt idx="14">
                  <c:v>15000</c:v>
                </c:pt>
                <c:pt idx="15">
                  <c:v>16000</c:v>
                </c:pt>
                <c:pt idx="16">
                  <c:v>17000</c:v>
                </c:pt>
              </c:numCache>
            </c:numRef>
          </c:xVal>
          <c:yVal>
            <c:numRef>
              <c:f>Bayes_Simple!$B$29:$B$45</c:f>
              <c:numCache>
                <c:formatCode>0.0%</c:formatCode>
                <c:ptCount val="17"/>
                <c:pt idx="0">
                  <c:v>0.9598660468792346</c:v>
                </c:pt>
                <c:pt idx="1">
                  <c:v>0.85390522723139062</c:v>
                </c:pt>
                <c:pt idx="2">
                  <c:v>0.70636300538933372</c:v>
                </c:pt>
                <c:pt idx="3">
                  <c:v>0.54437109319109578</c:v>
                </c:pt>
                <c:pt idx="4">
                  <c:v>0.39144718955216218</c:v>
                </c:pt>
                <c:pt idx="5">
                  <c:v>0.26300153412076482</c:v>
                </c:pt>
                <c:pt idx="6">
                  <c:v>0.16531831047894954</c:v>
                </c:pt>
                <c:pt idx="7">
                  <c:v>9.7347852719173858E-2</c:v>
                </c:pt>
                <c:pt idx="8">
                  <c:v>5.3770605059231952E-2</c:v>
                </c:pt>
                <c:pt idx="9">
                  <c:v>2.7897035322143895E-2</c:v>
                </c:pt>
                <c:pt idx="10">
                  <c:v>1.3613236283866631E-2</c:v>
                </c:pt>
                <c:pt idx="11">
                  <c:v>6.2569994014822815E-3</c:v>
                </c:pt>
                <c:pt idx="12">
                  <c:v>2.712684848780064E-3</c:v>
                </c:pt>
                <c:pt idx="13">
                  <c:v>1.1109733570555996E-3</c:v>
                </c:pt>
                <c:pt idx="14">
                  <c:v>4.3046332057262532E-4</c:v>
                </c:pt>
                <c:pt idx="15">
                  <c:v>1.5804009189837161E-4</c:v>
                </c:pt>
                <c:pt idx="16">
                  <c:v>5.5065448150951254E-5</c:v>
                </c:pt>
              </c:numCache>
            </c:numRef>
          </c:yVal>
          <c:smooth val="1"/>
          <c:extLst>
            <c:ext xmlns:c16="http://schemas.microsoft.com/office/drawing/2014/chart" uri="{C3380CC4-5D6E-409C-BE32-E72D297353CC}">
              <c16:uniqueId val="{794F9E05-0EE0-4051-ABB9-E3B731C2EF18}"/>
            </c:ext>
          </c:extLst>
        </c:ser>
        <c:ser>
          <c:idx val="2"/>
          <c:order val="1"/>
          <c:spPr>
            <a:ln w="15875" cap="rnd">
              <a:solidFill>
                <a:srgbClr val="ED7D31"/>
              </a:solidFill>
              <a:prstDash val="solid"/>
              <a:round/>
            </a:ln>
            <a:effectLst/>
          </c:spPr>
          <c:marker>
            <c:symbol val="none"/>
          </c:marker>
          <c:xVal>
            <c:numRef>
              <c:f>Bayes_Simple!$A$29:$A$45</c:f>
              <c:numCache>
                <c:formatCode>#,##0</c:formatCode>
                <c:ptCount val="17"/>
                <c:pt idx="0">
                  <c:v>1000</c:v>
                </c:pt>
                <c:pt idx="1">
                  <c:v>2000</c:v>
                </c:pt>
                <c:pt idx="2">
                  <c:v>3000</c:v>
                </c:pt>
                <c:pt idx="3">
                  <c:v>4000</c:v>
                </c:pt>
                <c:pt idx="4">
                  <c:v>5000</c:v>
                </c:pt>
                <c:pt idx="5">
                  <c:v>6000</c:v>
                </c:pt>
                <c:pt idx="6">
                  <c:v>7000</c:v>
                </c:pt>
                <c:pt idx="7">
                  <c:v>8000</c:v>
                </c:pt>
                <c:pt idx="8">
                  <c:v>9000</c:v>
                </c:pt>
                <c:pt idx="9">
                  <c:v>10000</c:v>
                </c:pt>
                <c:pt idx="10">
                  <c:v>11000</c:v>
                </c:pt>
                <c:pt idx="11">
                  <c:v>12000</c:v>
                </c:pt>
                <c:pt idx="12">
                  <c:v>13000</c:v>
                </c:pt>
                <c:pt idx="13">
                  <c:v>14000</c:v>
                </c:pt>
                <c:pt idx="14">
                  <c:v>15000</c:v>
                </c:pt>
                <c:pt idx="15">
                  <c:v>16000</c:v>
                </c:pt>
                <c:pt idx="16">
                  <c:v>17000</c:v>
                </c:pt>
              </c:numCache>
            </c:numRef>
          </c:xVal>
          <c:yVal>
            <c:numRef>
              <c:f>Bayes_Simple!$C$29:$C$45</c:f>
              <c:numCache>
                <c:formatCode>0.0%</c:formatCode>
                <c:ptCount val="17"/>
                <c:pt idx="0">
                  <c:v>0.95899288113542713</c:v>
                </c:pt>
                <c:pt idx="1">
                  <c:v>0.85084876288250688</c:v>
                </c:pt>
                <c:pt idx="2">
                  <c:v>0.70061765221700267</c:v>
                </c:pt>
                <c:pt idx="3">
                  <c:v>0.53629495749177825</c:v>
                </c:pt>
                <c:pt idx="4">
                  <c:v>0.38203328569190104</c:v>
                </c:pt>
                <c:pt idx="5">
                  <c:v>0.25347740937485125</c:v>
                </c:pt>
                <c:pt idx="6">
                  <c:v>0.15675182816764166</c:v>
                </c:pt>
                <c:pt idx="7">
                  <c:v>9.0399877319640123E-2</c:v>
                </c:pt>
                <c:pt idx="8">
                  <c:v>4.8642590669047088E-2</c:v>
                </c:pt>
                <c:pt idx="9">
                  <c:v>2.4431189228362481E-2</c:v>
                </c:pt>
                <c:pt idx="10">
                  <c:v>1.1458199815787811E-2</c:v>
                </c:pt>
                <c:pt idx="11">
                  <c:v>5.0197294565201677E-3</c:v>
                </c:pt>
                <c:pt idx="12">
                  <c:v>2.0548070042794458E-3</c:v>
                </c:pt>
                <c:pt idx="13">
                  <c:v>7.8616171432629707E-4</c:v>
                </c:pt>
                <c:pt idx="14">
                  <c:v>2.8120080938785199E-4</c:v>
                </c:pt>
                <c:pt idx="15">
                  <c:v>9.4056866610779945E-5</c:v>
                </c:pt>
                <c:pt idx="16">
                  <c:v>2.9426051393181871E-5</c:v>
                </c:pt>
              </c:numCache>
            </c:numRef>
          </c:yVal>
          <c:smooth val="1"/>
          <c:extLst>
            <c:ext xmlns:c16="http://schemas.microsoft.com/office/drawing/2014/chart" uri="{C3380CC4-5D6E-409C-BE32-E72D297353CC}">
              <c16:uniqueId val="{4D079887-C865-47CB-A467-8F043213F4CC}"/>
            </c:ext>
          </c:extLst>
        </c:ser>
        <c:dLbls>
          <c:showLegendKey val="0"/>
          <c:showVal val="0"/>
          <c:showCatName val="0"/>
          <c:showSerName val="0"/>
          <c:showPercent val="0"/>
          <c:showBubbleSize val="0"/>
        </c:dLbls>
        <c:axId val="5636616"/>
        <c:axId val="5638664"/>
      </c:scatterChart>
      <c:valAx>
        <c:axId val="5636616"/>
        <c:scaling>
          <c:orientation val="minMax"/>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Tiempo de operación (h)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8664"/>
        <c:crosses val="autoZero"/>
        <c:crossBetween val="midCat"/>
        <c:majorUnit val="1000"/>
      </c:valAx>
      <c:valAx>
        <c:axId val="5638664"/>
        <c:scaling>
          <c:orientation val="minMax"/>
          <c:max val="1"/>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Confiabilidad 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6616"/>
        <c:crosses val="autoZero"/>
        <c:crossBetween val="midCat"/>
        <c:majorUnit val="0.1"/>
      </c:valAx>
      <c:spPr>
        <a:solidFill>
          <a:srgbClr val="FFFFFF"/>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Confiabilidad Weibull — P10 / P50 / P90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1"/>
          <c:order val="0"/>
          <c:tx>
            <c:v>P10</c:v>
          </c:tx>
          <c:spPr>
            <a:ln w="19050" cap="rnd">
              <a:solidFill>
                <a:schemeClr val="accent2"/>
              </a:solidFill>
              <a:round/>
            </a:ln>
            <a:effectLst/>
          </c:spPr>
          <c:marker>
            <c:symbol val="none"/>
          </c:marker>
          <c:xVal>
            <c:numRef>
              <c:f>MonteCarlo_Weibull!$Y$4:$Y$44</c:f>
              <c:numCache>
                <c:formatCode>General</c:formatCode>
                <c:ptCount val="41"/>
                <c:pt idx="0">
                  <c:v>0</c:v>
                </c:pt>
                <c:pt idx="1">
                  <c:v>250</c:v>
                </c:pt>
                <c:pt idx="2">
                  <c:v>500</c:v>
                </c:pt>
                <c:pt idx="3">
                  <c:v>750</c:v>
                </c:pt>
                <c:pt idx="4">
                  <c:v>1000</c:v>
                </c:pt>
                <c:pt idx="5">
                  <c:v>1250</c:v>
                </c:pt>
                <c:pt idx="6">
                  <c:v>1500</c:v>
                </c:pt>
                <c:pt idx="7">
                  <c:v>1750</c:v>
                </c:pt>
                <c:pt idx="8">
                  <c:v>2000</c:v>
                </c:pt>
                <c:pt idx="9">
                  <c:v>2250</c:v>
                </c:pt>
                <c:pt idx="10">
                  <c:v>2500</c:v>
                </c:pt>
                <c:pt idx="11">
                  <c:v>2750</c:v>
                </c:pt>
                <c:pt idx="12">
                  <c:v>3000</c:v>
                </c:pt>
                <c:pt idx="13">
                  <c:v>3250</c:v>
                </c:pt>
                <c:pt idx="14">
                  <c:v>3500</c:v>
                </c:pt>
                <c:pt idx="15">
                  <c:v>3750</c:v>
                </c:pt>
                <c:pt idx="16">
                  <c:v>4000</c:v>
                </c:pt>
                <c:pt idx="17">
                  <c:v>4250</c:v>
                </c:pt>
                <c:pt idx="18">
                  <c:v>4500</c:v>
                </c:pt>
                <c:pt idx="19">
                  <c:v>4750</c:v>
                </c:pt>
                <c:pt idx="20">
                  <c:v>5000</c:v>
                </c:pt>
                <c:pt idx="21">
                  <c:v>5250</c:v>
                </c:pt>
                <c:pt idx="22">
                  <c:v>5500</c:v>
                </c:pt>
                <c:pt idx="23">
                  <c:v>5750</c:v>
                </c:pt>
                <c:pt idx="24">
                  <c:v>6000</c:v>
                </c:pt>
                <c:pt idx="25">
                  <c:v>6250</c:v>
                </c:pt>
                <c:pt idx="26">
                  <c:v>6500</c:v>
                </c:pt>
                <c:pt idx="27">
                  <c:v>6750</c:v>
                </c:pt>
                <c:pt idx="28">
                  <c:v>7000</c:v>
                </c:pt>
                <c:pt idx="29">
                  <c:v>7250</c:v>
                </c:pt>
                <c:pt idx="30">
                  <c:v>7500</c:v>
                </c:pt>
                <c:pt idx="31">
                  <c:v>7750</c:v>
                </c:pt>
                <c:pt idx="32">
                  <c:v>8000</c:v>
                </c:pt>
                <c:pt idx="33">
                  <c:v>8250</c:v>
                </c:pt>
                <c:pt idx="34">
                  <c:v>8500</c:v>
                </c:pt>
                <c:pt idx="35">
                  <c:v>8750</c:v>
                </c:pt>
                <c:pt idx="36">
                  <c:v>9000</c:v>
                </c:pt>
                <c:pt idx="37">
                  <c:v>9250</c:v>
                </c:pt>
                <c:pt idx="38">
                  <c:v>9500</c:v>
                </c:pt>
                <c:pt idx="39">
                  <c:v>9750</c:v>
                </c:pt>
                <c:pt idx="40">
                  <c:v>10000</c:v>
                </c:pt>
              </c:numCache>
            </c:numRef>
          </c:xVal>
          <c:yVal>
            <c:numRef>
              <c:f>MonteCarlo_Weibull!$Z$4:$Z$44</c:f>
              <c:numCache>
                <c:formatCode>0.0%</c:formatCode>
                <c:ptCount val="41"/>
                <c:pt idx="0">
                  <c:v>1</c:v>
                </c:pt>
                <c:pt idx="1">
                  <c:v>0.9953097883659453</c:v>
                </c:pt>
                <c:pt idx="2">
                  <c:v>0.98372313463027738</c:v>
                </c:pt>
                <c:pt idx="3">
                  <c:v>0.9667760855659332</c:v>
                </c:pt>
                <c:pt idx="4">
                  <c:v>0.9447686125597049</c:v>
                </c:pt>
                <c:pt idx="5">
                  <c:v>0.91904203305966847</c:v>
                </c:pt>
                <c:pt idx="6">
                  <c:v>0.8892048258057117</c:v>
                </c:pt>
                <c:pt idx="7">
                  <c:v>0.85656305196496973</c:v>
                </c:pt>
                <c:pt idx="8">
                  <c:v>0.82162983939365375</c:v>
                </c:pt>
                <c:pt idx="9">
                  <c:v>0.78435098410508941</c:v>
                </c:pt>
                <c:pt idx="10">
                  <c:v>0.74482494691195711</c:v>
                </c:pt>
                <c:pt idx="11">
                  <c:v>0.70385200650055901</c:v>
                </c:pt>
                <c:pt idx="12">
                  <c:v>0.66265868214903845</c:v>
                </c:pt>
                <c:pt idx="13">
                  <c:v>0.62100569351962975</c:v>
                </c:pt>
                <c:pt idx="14">
                  <c:v>0.5784211833349856</c:v>
                </c:pt>
                <c:pt idx="15">
                  <c:v>0.53649583818726354</c:v>
                </c:pt>
                <c:pt idx="16">
                  <c:v>0.49514860357479212</c:v>
                </c:pt>
                <c:pt idx="17">
                  <c:v>0.45433342674802274</c:v>
                </c:pt>
                <c:pt idx="18">
                  <c:v>0.41511500445284827</c:v>
                </c:pt>
                <c:pt idx="19">
                  <c:v>0.37679757853182405</c:v>
                </c:pt>
                <c:pt idx="20">
                  <c:v>0.33980255853083763</c:v>
                </c:pt>
                <c:pt idx="21">
                  <c:v>0.30464009725793395</c:v>
                </c:pt>
                <c:pt idx="22">
                  <c:v>0.27159604029876022</c:v>
                </c:pt>
                <c:pt idx="23">
                  <c:v>0.24128713937079665</c:v>
                </c:pt>
                <c:pt idx="24">
                  <c:v>0.21203259863359999</c:v>
                </c:pt>
                <c:pt idx="25">
                  <c:v>0.18620511233864825</c:v>
                </c:pt>
                <c:pt idx="26">
                  <c:v>0.16178437697699188</c:v>
                </c:pt>
                <c:pt idx="27">
                  <c:v>0.13976960654197843</c:v>
                </c:pt>
                <c:pt idx="28">
                  <c:v>0.11996368631071168</c:v>
                </c:pt>
                <c:pt idx="29">
                  <c:v>0.10306105660056508</c:v>
                </c:pt>
                <c:pt idx="30">
                  <c:v>8.7691465790899342E-2</c:v>
                </c:pt>
                <c:pt idx="31">
                  <c:v>7.4388020731500706E-2</c:v>
                </c:pt>
                <c:pt idx="32">
                  <c:v>6.2636083304694321E-2</c:v>
                </c:pt>
                <c:pt idx="33">
                  <c:v>5.2096803689620538E-2</c:v>
                </c:pt>
                <c:pt idx="34">
                  <c:v>4.3301580842111415E-2</c:v>
                </c:pt>
                <c:pt idx="35">
                  <c:v>3.5697217678560454E-2</c:v>
                </c:pt>
                <c:pt idx="36">
                  <c:v>2.941898107034353E-2</c:v>
                </c:pt>
                <c:pt idx="37">
                  <c:v>2.3996170309322849E-2</c:v>
                </c:pt>
                <c:pt idx="38">
                  <c:v>1.9555442595720157E-2</c:v>
                </c:pt>
                <c:pt idx="39">
                  <c:v>1.5738991469470606E-2</c:v>
                </c:pt>
                <c:pt idx="40">
                  <c:v>1.2652120449122431E-2</c:v>
                </c:pt>
              </c:numCache>
            </c:numRef>
          </c:yVal>
          <c:smooth val="1"/>
          <c:extLst>
            <c:ext xmlns:c16="http://schemas.microsoft.com/office/drawing/2014/chart" uri="{C3380CC4-5D6E-409C-BE32-E72D297353CC}">
              <c16:uniqueId val="{CE597369-6A08-434C-9D84-C686B7FD5170}"/>
            </c:ext>
          </c:extLst>
        </c:ser>
        <c:ser>
          <c:idx val="2"/>
          <c:order val="1"/>
          <c:tx>
            <c:v>P50</c:v>
          </c:tx>
          <c:spPr>
            <a:ln w="31750" cap="rnd">
              <a:solidFill>
                <a:srgbClr val="2F5597"/>
              </a:solidFill>
              <a:prstDash val="solid"/>
              <a:round/>
            </a:ln>
            <a:effectLst/>
          </c:spPr>
          <c:marker>
            <c:symbol val="none"/>
          </c:marker>
          <c:xVal>
            <c:numRef>
              <c:f>MonteCarlo_Weibull!$Y$4:$Y$44</c:f>
              <c:numCache>
                <c:formatCode>General</c:formatCode>
                <c:ptCount val="41"/>
                <c:pt idx="0">
                  <c:v>0</c:v>
                </c:pt>
                <c:pt idx="1">
                  <c:v>250</c:v>
                </c:pt>
                <c:pt idx="2">
                  <c:v>500</c:v>
                </c:pt>
                <c:pt idx="3">
                  <c:v>750</c:v>
                </c:pt>
                <c:pt idx="4">
                  <c:v>1000</c:v>
                </c:pt>
                <c:pt idx="5">
                  <c:v>1250</c:v>
                </c:pt>
                <c:pt idx="6">
                  <c:v>1500</c:v>
                </c:pt>
                <c:pt idx="7">
                  <c:v>1750</c:v>
                </c:pt>
                <c:pt idx="8">
                  <c:v>2000</c:v>
                </c:pt>
                <c:pt idx="9">
                  <c:v>2250</c:v>
                </c:pt>
                <c:pt idx="10">
                  <c:v>2500</c:v>
                </c:pt>
                <c:pt idx="11">
                  <c:v>2750</c:v>
                </c:pt>
                <c:pt idx="12">
                  <c:v>3000</c:v>
                </c:pt>
                <c:pt idx="13">
                  <c:v>3250</c:v>
                </c:pt>
                <c:pt idx="14">
                  <c:v>3500</c:v>
                </c:pt>
                <c:pt idx="15">
                  <c:v>3750</c:v>
                </c:pt>
                <c:pt idx="16">
                  <c:v>4000</c:v>
                </c:pt>
                <c:pt idx="17">
                  <c:v>4250</c:v>
                </c:pt>
                <c:pt idx="18">
                  <c:v>4500</c:v>
                </c:pt>
                <c:pt idx="19">
                  <c:v>4750</c:v>
                </c:pt>
                <c:pt idx="20">
                  <c:v>5000</c:v>
                </c:pt>
                <c:pt idx="21">
                  <c:v>5250</c:v>
                </c:pt>
                <c:pt idx="22">
                  <c:v>5500</c:v>
                </c:pt>
                <c:pt idx="23">
                  <c:v>5750</c:v>
                </c:pt>
                <c:pt idx="24">
                  <c:v>6000</c:v>
                </c:pt>
                <c:pt idx="25">
                  <c:v>6250</c:v>
                </c:pt>
                <c:pt idx="26">
                  <c:v>6500</c:v>
                </c:pt>
                <c:pt idx="27">
                  <c:v>6750</c:v>
                </c:pt>
                <c:pt idx="28">
                  <c:v>7000</c:v>
                </c:pt>
                <c:pt idx="29">
                  <c:v>7250</c:v>
                </c:pt>
                <c:pt idx="30">
                  <c:v>7500</c:v>
                </c:pt>
                <c:pt idx="31">
                  <c:v>7750</c:v>
                </c:pt>
                <c:pt idx="32">
                  <c:v>8000</c:v>
                </c:pt>
                <c:pt idx="33">
                  <c:v>8250</c:v>
                </c:pt>
                <c:pt idx="34">
                  <c:v>8500</c:v>
                </c:pt>
                <c:pt idx="35">
                  <c:v>8750</c:v>
                </c:pt>
                <c:pt idx="36">
                  <c:v>9000</c:v>
                </c:pt>
                <c:pt idx="37">
                  <c:v>9250</c:v>
                </c:pt>
                <c:pt idx="38">
                  <c:v>9500</c:v>
                </c:pt>
                <c:pt idx="39">
                  <c:v>9750</c:v>
                </c:pt>
                <c:pt idx="40">
                  <c:v>10000</c:v>
                </c:pt>
              </c:numCache>
            </c:numRef>
          </c:xVal>
          <c:yVal>
            <c:numRef>
              <c:f>MonteCarlo_Weibull!$AA$4:$AA$44</c:f>
              <c:numCache>
                <c:formatCode>0.0%</c:formatCode>
                <c:ptCount val="41"/>
                <c:pt idx="0">
                  <c:v>1</c:v>
                </c:pt>
                <c:pt idx="1">
                  <c:v>0.99718475467456535</c:v>
                </c:pt>
                <c:pt idx="2">
                  <c:v>0.98918508436228225</c:v>
                </c:pt>
                <c:pt idx="3">
                  <c:v>0.9762196861216158</c:v>
                </c:pt>
                <c:pt idx="4">
                  <c:v>0.95870501322715396</c:v>
                </c:pt>
                <c:pt idx="5">
                  <c:v>0.93705393404169879</c:v>
                </c:pt>
                <c:pt idx="6">
                  <c:v>0.9115441899202823</c:v>
                </c:pt>
                <c:pt idx="7">
                  <c:v>0.8825909411452334</c:v>
                </c:pt>
                <c:pt idx="8">
                  <c:v>0.85074294300830544</c:v>
                </c:pt>
                <c:pt idx="9">
                  <c:v>0.81598971202352633</c:v>
                </c:pt>
                <c:pt idx="10">
                  <c:v>0.77873514801552612</c:v>
                </c:pt>
                <c:pt idx="11">
                  <c:v>0.73975782369909759</c:v>
                </c:pt>
                <c:pt idx="12">
                  <c:v>0.69979150260606193</c:v>
                </c:pt>
                <c:pt idx="13">
                  <c:v>0.65962811089645723</c:v>
                </c:pt>
                <c:pt idx="14">
                  <c:v>0.61839387680032498</c:v>
                </c:pt>
                <c:pt idx="15">
                  <c:v>0.57741878417737591</c:v>
                </c:pt>
                <c:pt idx="16">
                  <c:v>0.53622193686211317</c:v>
                </c:pt>
                <c:pt idx="17">
                  <c:v>0.49537204576019023</c:v>
                </c:pt>
                <c:pt idx="18">
                  <c:v>0.45576606802132291</c:v>
                </c:pt>
                <c:pt idx="19">
                  <c:v>0.41780652341689528</c:v>
                </c:pt>
                <c:pt idx="20">
                  <c:v>0.38096810598322284</c:v>
                </c:pt>
                <c:pt idx="21">
                  <c:v>0.3468136857121813</c:v>
                </c:pt>
                <c:pt idx="22">
                  <c:v>0.31428438649873119</c:v>
                </c:pt>
                <c:pt idx="23">
                  <c:v>0.28365179338079927</c:v>
                </c:pt>
                <c:pt idx="24">
                  <c:v>0.25471283729069194</c:v>
                </c:pt>
                <c:pt idx="25">
                  <c:v>0.22819915983961858</c:v>
                </c:pt>
                <c:pt idx="26">
                  <c:v>0.20322801437868976</c:v>
                </c:pt>
                <c:pt idx="27">
                  <c:v>0.17999852873388897</c:v>
                </c:pt>
                <c:pt idx="28">
                  <c:v>0.15915748533698015</c:v>
                </c:pt>
                <c:pt idx="29">
                  <c:v>0.13955790059514048</c:v>
                </c:pt>
                <c:pt idx="30">
                  <c:v>0.12183696638721891</c:v>
                </c:pt>
                <c:pt idx="31">
                  <c:v>0.10588716255994469</c:v>
                </c:pt>
                <c:pt idx="32">
                  <c:v>9.1677207655948362E-2</c:v>
                </c:pt>
                <c:pt idx="33">
                  <c:v>7.8918649273053976E-2</c:v>
                </c:pt>
                <c:pt idx="34">
                  <c:v>6.7492703909025731E-2</c:v>
                </c:pt>
                <c:pt idx="35">
                  <c:v>5.7753066801753725E-2</c:v>
                </c:pt>
                <c:pt idx="36">
                  <c:v>4.9196375916351204E-2</c:v>
                </c:pt>
                <c:pt idx="37">
                  <c:v>4.1868561534824322E-2</c:v>
                </c:pt>
                <c:pt idx="38">
                  <c:v>3.5447625650697479E-2</c:v>
                </c:pt>
                <c:pt idx="39">
                  <c:v>2.9791102233657336E-2</c:v>
                </c:pt>
                <c:pt idx="40">
                  <c:v>2.4946920345870132E-2</c:v>
                </c:pt>
              </c:numCache>
            </c:numRef>
          </c:yVal>
          <c:smooth val="1"/>
          <c:extLst>
            <c:ext xmlns:c16="http://schemas.microsoft.com/office/drawing/2014/chart" uri="{C3380CC4-5D6E-409C-BE32-E72D297353CC}">
              <c16:uniqueId val="{BFAB9637-D3CD-4494-85C6-C760113F1278}"/>
            </c:ext>
          </c:extLst>
        </c:ser>
        <c:ser>
          <c:idx val="3"/>
          <c:order val="2"/>
          <c:tx>
            <c:v>P90</c:v>
          </c:tx>
          <c:spPr>
            <a:ln w="19050" cap="rnd">
              <a:solidFill>
                <a:srgbClr val="70AD47"/>
              </a:solidFill>
              <a:prstDash val="solid"/>
              <a:round/>
            </a:ln>
            <a:effectLst/>
          </c:spPr>
          <c:marker>
            <c:symbol val="none"/>
          </c:marker>
          <c:xVal>
            <c:numRef>
              <c:f>MonteCarlo_Weibull!$Y$4:$Y$44</c:f>
              <c:numCache>
                <c:formatCode>General</c:formatCode>
                <c:ptCount val="41"/>
                <c:pt idx="0">
                  <c:v>0</c:v>
                </c:pt>
                <c:pt idx="1">
                  <c:v>250</c:v>
                </c:pt>
                <c:pt idx="2">
                  <c:v>500</c:v>
                </c:pt>
                <c:pt idx="3">
                  <c:v>750</c:v>
                </c:pt>
                <c:pt idx="4">
                  <c:v>1000</c:v>
                </c:pt>
                <c:pt idx="5">
                  <c:v>1250</c:v>
                </c:pt>
                <c:pt idx="6">
                  <c:v>1500</c:v>
                </c:pt>
                <c:pt idx="7">
                  <c:v>1750</c:v>
                </c:pt>
                <c:pt idx="8">
                  <c:v>2000</c:v>
                </c:pt>
                <c:pt idx="9">
                  <c:v>2250</c:v>
                </c:pt>
                <c:pt idx="10">
                  <c:v>2500</c:v>
                </c:pt>
                <c:pt idx="11">
                  <c:v>2750</c:v>
                </c:pt>
                <c:pt idx="12">
                  <c:v>3000</c:v>
                </c:pt>
                <c:pt idx="13">
                  <c:v>3250</c:v>
                </c:pt>
                <c:pt idx="14">
                  <c:v>3500</c:v>
                </c:pt>
                <c:pt idx="15">
                  <c:v>3750</c:v>
                </c:pt>
                <c:pt idx="16">
                  <c:v>4000</c:v>
                </c:pt>
                <c:pt idx="17">
                  <c:v>4250</c:v>
                </c:pt>
                <c:pt idx="18">
                  <c:v>4500</c:v>
                </c:pt>
                <c:pt idx="19">
                  <c:v>4750</c:v>
                </c:pt>
                <c:pt idx="20">
                  <c:v>5000</c:v>
                </c:pt>
                <c:pt idx="21">
                  <c:v>5250</c:v>
                </c:pt>
                <c:pt idx="22">
                  <c:v>5500</c:v>
                </c:pt>
                <c:pt idx="23">
                  <c:v>5750</c:v>
                </c:pt>
                <c:pt idx="24">
                  <c:v>6000</c:v>
                </c:pt>
                <c:pt idx="25">
                  <c:v>6250</c:v>
                </c:pt>
                <c:pt idx="26">
                  <c:v>6500</c:v>
                </c:pt>
                <c:pt idx="27">
                  <c:v>6750</c:v>
                </c:pt>
                <c:pt idx="28">
                  <c:v>7000</c:v>
                </c:pt>
                <c:pt idx="29">
                  <c:v>7250</c:v>
                </c:pt>
                <c:pt idx="30">
                  <c:v>7500</c:v>
                </c:pt>
                <c:pt idx="31">
                  <c:v>7750</c:v>
                </c:pt>
                <c:pt idx="32">
                  <c:v>8000</c:v>
                </c:pt>
                <c:pt idx="33">
                  <c:v>8250</c:v>
                </c:pt>
                <c:pt idx="34">
                  <c:v>8500</c:v>
                </c:pt>
                <c:pt idx="35">
                  <c:v>8750</c:v>
                </c:pt>
                <c:pt idx="36">
                  <c:v>9000</c:v>
                </c:pt>
                <c:pt idx="37">
                  <c:v>9250</c:v>
                </c:pt>
                <c:pt idx="38">
                  <c:v>9500</c:v>
                </c:pt>
                <c:pt idx="39">
                  <c:v>9750</c:v>
                </c:pt>
                <c:pt idx="40">
                  <c:v>10000</c:v>
                </c:pt>
              </c:numCache>
            </c:numRef>
          </c:xVal>
          <c:yVal>
            <c:numRef>
              <c:f>MonteCarlo_Weibull!$AB$4:$AB$44</c:f>
              <c:numCache>
                <c:formatCode>0.0%</c:formatCode>
                <c:ptCount val="41"/>
                <c:pt idx="0">
                  <c:v>1</c:v>
                </c:pt>
                <c:pt idx="1">
                  <c:v>0.99839866058698057</c:v>
                </c:pt>
                <c:pt idx="2">
                  <c:v>0.99299526593163168</c:v>
                </c:pt>
                <c:pt idx="3">
                  <c:v>0.98346702831762767</c:v>
                </c:pt>
                <c:pt idx="4">
                  <c:v>0.96970568320570549</c:v>
                </c:pt>
                <c:pt idx="5">
                  <c:v>0.95192394459095075</c:v>
                </c:pt>
                <c:pt idx="6">
                  <c:v>0.93030132503399299</c:v>
                </c:pt>
                <c:pt idx="7">
                  <c:v>0.90517759894963024</c:v>
                </c:pt>
                <c:pt idx="8">
                  <c:v>0.87679887232524112</c:v>
                </c:pt>
                <c:pt idx="9">
                  <c:v>0.84545957871772903</c:v>
                </c:pt>
                <c:pt idx="10">
                  <c:v>0.81181174391918209</c:v>
                </c:pt>
                <c:pt idx="11">
                  <c:v>0.77609643332547129</c:v>
                </c:pt>
                <c:pt idx="12">
                  <c:v>0.73787231633698369</c:v>
                </c:pt>
                <c:pt idx="13">
                  <c:v>0.69922159705146614</c:v>
                </c:pt>
                <c:pt idx="14">
                  <c:v>0.65967556532828464</c:v>
                </c:pt>
                <c:pt idx="15">
                  <c:v>0.61930319382845256</c:v>
                </c:pt>
                <c:pt idx="16">
                  <c:v>0.58046166850791825</c:v>
                </c:pt>
                <c:pt idx="17">
                  <c:v>0.54145601282168199</c:v>
                </c:pt>
                <c:pt idx="18">
                  <c:v>0.50251558020606646</c:v>
                </c:pt>
                <c:pt idx="19">
                  <c:v>0.46582158823694414</c:v>
                </c:pt>
                <c:pt idx="20">
                  <c:v>0.42870615702829162</c:v>
                </c:pt>
                <c:pt idx="21">
                  <c:v>0.39351445757486769</c:v>
                </c:pt>
                <c:pt idx="22">
                  <c:v>0.36007928090579255</c:v>
                </c:pt>
                <c:pt idx="23">
                  <c:v>0.32876623734868626</c:v>
                </c:pt>
                <c:pt idx="24">
                  <c:v>0.29980213596553801</c:v>
                </c:pt>
                <c:pt idx="25">
                  <c:v>0.27104627439894657</c:v>
                </c:pt>
                <c:pt idx="26">
                  <c:v>0.24545740835778135</c:v>
                </c:pt>
                <c:pt idx="27">
                  <c:v>0.22138112245699473</c:v>
                </c:pt>
                <c:pt idx="28">
                  <c:v>0.19920853582475295</c:v>
                </c:pt>
                <c:pt idx="29">
                  <c:v>0.17799125833212007</c:v>
                </c:pt>
                <c:pt idx="30">
                  <c:v>0.15888533923550971</c:v>
                </c:pt>
                <c:pt idx="31">
                  <c:v>0.141345082174584</c:v>
                </c:pt>
                <c:pt idx="32">
                  <c:v>0.12504982100418263</c:v>
                </c:pt>
                <c:pt idx="33">
                  <c:v>0.11038130320052061</c:v>
                </c:pt>
                <c:pt idx="34">
                  <c:v>9.7176580790271069E-2</c:v>
                </c:pt>
                <c:pt idx="35">
                  <c:v>8.4945945949024229E-2</c:v>
                </c:pt>
                <c:pt idx="36">
                  <c:v>7.4788056113601481E-2</c:v>
                </c:pt>
                <c:pt idx="37">
                  <c:v>6.5716922189288735E-2</c:v>
                </c:pt>
                <c:pt idx="38">
                  <c:v>5.7861581498953277E-2</c:v>
                </c:pt>
                <c:pt idx="39">
                  <c:v>5.0515982378640016E-2</c:v>
                </c:pt>
                <c:pt idx="40">
                  <c:v>4.38792907677375E-2</c:v>
                </c:pt>
              </c:numCache>
            </c:numRef>
          </c:yVal>
          <c:smooth val="1"/>
          <c:extLst>
            <c:ext xmlns:c16="http://schemas.microsoft.com/office/drawing/2014/chart" uri="{C3380CC4-5D6E-409C-BE32-E72D297353CC}">
              <c16:uniqueId val="{E5FEA785-E6F3-47C1-ACC4-9A8112C7816B}"/>
            </c:ext>
          </c:extLst>
        </c:ser>
        <c:dLbls>
          <c:showLegendKey val="0"/>
          <c:showVal val="0"/>
          <c:showCatName val="0"/>
          <c:showSerName val="0"/>
          <c:showPercent val="0"/>
          <c:showBubbleSize val="0"/>
        </c:dLbls>
        <c:axId val="944532999"/>
        <c:axId val="944719879"/>
      </c:scatterChart>
      <c:valAx>
        <c:axId val="9445329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Tiempo (h)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719879"/>
        <c:crosses val="autoZero"/>
        <c:crossBetween val="midCat"/>
      </c:valAx>
      <c:valAx>
        <c:axId val="944719879"/>
        <c:scaling>
          <c:orientation val="minMax"/>
          <c:max val="1"/>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Confiabilidad 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53299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Función de densidad Weibull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1"/>
          <c:order val="0"/>
          <c:tx>
            <c:v>P10</c:v>
          </c:tx>
          <c:spPr>
            <a:ln w="19050" cap="rnd">
              <a:solidFill>
                <a:schemeClr val="accent2"/>
              </a:solidFill>
              <a:round/>
            </a:ln>
            <a:effectLst/>
          </c:spPr>
          <c:marker>
            <c:symbol val="none"/>
          </c:marker>
          <c:xVal>
            <c:numRef>
              <c:f>MonteCarlo_Weibull!$AD$4:$AD$44</c:f>
              <c:numCache>
                <c:formatCode>General</c:formatCode>
                <c:ptCount val="41"/>
                <c:pt idx="0">
                  <c:v>0</c:v>
                </c:pt>
                <c:pt idx="1">
                  <c:v>250</c:v>
                </c:pt>
                <c:pt idx="2">
                  <c:v>500</c:v>
                </c:pt>
                <c:pt idx="3">
                  <c:v>750</c:v>
                </c:pt>
                <c:pt idx="4">
                  <c:v>1000</c:v>
                </c:pt>
                <c:pt idx="5">
                  <c:v>1250</c:v>
                </c:pt>
                <c:pt idx="6">
                  <c:v>1500</c:v>
                </c:pt>
                <c:pt idx="7">
                  <c:v>1750</c:v>
                </c:pt>
                <c:pt idx="8">
                  <c:v>2000</c:v>
                </c:pt>
                <c:pt idx="9">
                  <c:v>2250</c:v>
                </c:pt>
                <c:pt idx="10">
                  <c:v>2500</c:v>
                </c:pt>
                <c:pt idx="11">
                  <c:v>2750</c:v>
                </c:pt>
                <c:pt idx="12">
                  <c:v>3000</c:v>
                </c:pt>
                <c:pt idx="13">
                  <c:v>3250</c:v>
                </c:pt>
                <c:pt idx="14">
                  <c:v>3500</c:v>
                </c:pt>
                <c:pt idx="15">
                  <c:v>3750</c:v>
                </c:pt>
                <c:pt idx="16">
                  <c:v>4000</c:v>
                </c:pt>
                <c:pt idx="17">
                  <c:v>4250</c:v>
                </c:pt>
                <c:pt idx="18">
                  <c:v>4500</c:v>
                </c:pt>
                <c:pt idx="19">
                  <c:v>4750</c:v>
                </c:pt>
                <c:pt idx="20">
                  <c:v>5000</c:v>
                </c:pt>
                <c:pt idx="21">
                  <c:v>5250</c:v>
                </c:pt>
                <c:pt idx="22">
                  <c:v>5500</c:v>
                </c:pt>
                <c:pt idx="23">
                  <c:v>5750</c:v>
                </c:pt>
                <c:pt idx="24">
                  <c:v>6000</c:v>
                </c:pt>
                <c:pt idx="25">
                  <c:v>6250</c:v>
                </c:pt>
                <c:pt idx="26">
                  <c:v>6500</c:v>
                </c:pt>
                <c:pt idx="27">
                  <c:v>6750</c:v>
                </c:pt>
                <c:pt idx="28">
                  <c:v>7000</c:v>
                </c:pt>
                <c:pt idx="29">
                  <c:v>7250</c:v>
                </c:pt>
                <c:pt idx="30">
                  <c:v>7500</c:v>
                </c:pt>
                <c:pt idx="31">
                  <c:v>7750</c:v>
                </c:pt>
                <c:pt idx="32">
                  <c:v>8000</c:v>
                </c:pt>
                <c:pt idx="33">
                  <c:v>8250</c:v>
                </c:pt>
                <c:pt idx="34">
                  <c:v>8500</c:v>
                </c:pt>
                <c:pt idx="35">
                  <c:v>8750</c:v>
                </c:pt>
                <c:pt idx="36">
                  <c:v>9000</c:v>
                </c:pt>
                <c:pt idx="37">
                  <c:v>9250</c:v>
                </c:pt>
                <c:pt idx="38">
                  <c:v>9500</c:v>
                </c:pt>
                <c:pt idx="39">
                  <c:v>9750</c:v>
                </c:pt>
                <c:pt idx="40">
                  <c:v>10000</c:v>
                </c:pt>
              </c:numCache>
            </c:numRef>
          </c:xVal>
          <c:yVal>
            <c:numRef>
              <c:f>MonteCarlo_Weibull!$AE$4:$AE$44</c:f>
              <c:numCache>
                <c:formatCode>0.000000</c:formatCode>
                <c:ptCount val="41"/>
                <c:pt idx="0">
                  <c:v>0</c:v>
                </c:pt>
                <c:pt idx="1">
                  <c:v>1.3741913200782676E-5</c:v>
                </c:pt>
                <c:pt idx="2">
                  <c:v>2.9665881267618614E-5</c:v>
                </c:pt>
                <c:pt idx="3">
                  <c:v>4.6348156338593022E-5</c:v>
                </c:pt>
                <c:pt idx="4">
                  <c:v>6.2716698556097232E-5</c:v>
                </c:pt>
                <c:pt idx="5">
                  <c:v>7.826231434561672E-5</c:v>
                </c:pt>
                <c:pt idx="6">
                  <c:v>9.2830847828959454E-5</c:v>
                </c:pt>
                <c:pt idx="7">
                  <c:v>1.0640376721692331E-4</c:v>
                </c:pt>
                <c:pt idx="8">
                  <c:v>1.1855590716286228E-4</c:v>
                </c:pt>
                <c:pt idx="9">
                  <c:v>1.2830042171636016E-4</c:v>
                </c:pt>
                <c:pt idx="10">
                  <c:v>1.3688493239418455E-4</c:v>
                </c:pt>
                <c:pt idx="11">
                  <c:v>1.4333944446568458E-4</c:v>
                </c:pt>
                <c:pt idx="12">
                  <c:v>1.4775944714728376E-4</c:v>
                </c:pt>
                <c:pt idx="13">
                  <c:v>1.5049738705583566E-4</c:v>
                </c:pt>
                <c:pt idx="14">
                  <c:v>1.5116585412134668E-4</c:v>
                </c:pt>
                <c:pt idx="15">
                  <c:v>1.5032301653628902E-4</c:v>
                </c:pt>
                <c:pt idx="16">
                  <c:v>1.4827130576701038E-4</c:v>
                </c:pt>
                <c:pt idx="17">
                  <c:v>1.4517746453909992E-4</c:v>
                </c:pt>
                <c:pt idx="18">
                  <c:v>1.4119991629470678E-4</c:v>
                </c:pt>
                <c:pt idx="19">
                  <c:v>1.3603438648656537E-4</c:v>
                </c:pt>
                <c:pt idx="20">
                  <c:v>1.3067976239923172E-4</c:v>
                </c:pt>
                <c:pt idx="21">
                  <c:v>1.2431118144634273E-4</c:v>
                </c:pt>
                <c:pt idx="22">
                  <c:v>1.1706757505857069E-4</c:v>
                </c:pt>
                <c:pt idx="23">
                  <c:v>1.0971629936292301E-4</c:v>
                </c:pt>
                <c:pt idx="24">
                  <c:v>1.0220363918125345E-4</c:v>
                </c:pt>
                <c:pt idx="25">
                  <c:v>9.4691852790838819E-5</c:v>
                </c:pt>
                <c:pt idx="26">
                  <c:v>8.7065572617946949E-5</c:v>
                </c:pt>
                <c:pt idx="27">
                  <c:v>7.9221108068998174E-5</c:v>
                </c:pt>
                <c:pt idx="28">
                  <c:v>7.1723390849515992E-5</c:v>
                </c:pt>
                <c:pt idx="29">
                  <c:v>6.4075734741425361E-5</c:v>
                </c:pt>
                <c:pt idx="30">
                  <c:v>5.6853269027297211E-5</c:v>
                </c:pt>
                <c:pt idx="31">
                  <c:v>4.998955671539618E-5</c:v>
                </c:pt>
                <c:pt idx="32">
                  <c:v>4.3644221676731514E-5</c:v>
                </c:pt>
                <c:pt idx="33">
                  <c:v>3.7747327198247354E-5</c:v>
                </c:pt>
                <c:pt idx="34">
                  <c:v>3.2292215949255536E-5</c:v>
                </c:pt>
                <c:pt idx="35">
                  <c:v>2.7563763079230514E-5</c:v>
                </c:pt>
                <c:pt idx="36">
                  <c:v>2.3392886393500258E-5</c:v>
                </c:pt>
                <c:pt idx="37">
                  <c:v>1.9744062597595557E-5</c:v>
                </c:pt>
                <c:pt idx="38">
                  <c:v>1.6405082234103272E-5</c:v>
                </c:pt>
                <c:pt idx="39">
                  <c:v>1.3620023512803905E-5</c:v>
                </c:pt>
                <c:pt idx="40">
                  <c:v>1.1218953249408315E-5</c:v>
                </c:pt>
              </c:numCache>
            </c:numRef>
          </c:yVal>
          <c:smooth val="1"/>
          <c:extLst>
            <c:ext xmlns:c16="http://schemas.microsoft.com/office/drawing/2014/chart" uri="{C3380CC4-5D6E-409C-BE32-E72D297353CC}">
              <c16:uniqueId val="{428C40C9-8702-4BDB-8198-D832D3D39028}"/>
            </c:ext>
          </c:extLst>
        </c:ser>
        <c:ser>
          <c:idx val="2"/>
          <c:order val="1"/>
          <c:tx>
            <c:v>P50</c:v>
          </c:tx>
          <c:spPr>
            <a:ln w="31750" cap="rnd">
              <a:solidFill>
                <a:srgbClr val="2F5597"/>
              </a:solidFill>
              <a:prstDash val="solid"/>
              <a:round/>
            </a:ln>
            <a:effectLst/>
          </c:spPr>
          <c:marker>
            <c:symbol val="none"/>
          </c:marker>
          <c:xVal>
            <c:numRef>
              <c:f>MonteCarlo_Weibull!$AD$4:$AD$44</c:f>
              <c:numCache>
                <c:formatCode>General</c:formatCode>
                <c:ptCount val="41"/>
                <c:pt idx="0">
                  <c:v>0</c:v>
                </c:pt>
                <c:pt idx="1">
                  <c:v>250</c:v>
                </c:pt>
                <c:pt idx="2">
                  <c:v>500</c:v>
                </c:pt>
                <c:pt idx="3">
                  <c:v>750</c:v>
                </c:pt>
                <c:pt idx="4">
                  <c:v>1000</c:v>
                </c:pt>
                <c:pt idx="5">
                  <c:v>1250</c:v>
                </c:pt>
                <c:pt idx="6">
                  <c:v>1500</c:v>
                </c:pt>
                <c:pt idx="7">
                  <c:v>1750</c:v>
                </c:pt>
                <c:pt idx="8">
                  <c:v>2000</c:v>
                </c:pt>
                <c:pt idx="9">
                  <c:v>2250</c:v>
                </c:pt>
                <c:pt idx="10">
                  <c:v>2500</c:v>
                </c:pt>
                <c:pt idx="11">
                  <c:v>2750</c:v>
                </c:pt>
                <c:pt idx="12">
                  <c:v>3000</c:v>
                </c:pt>
                <c:pt idx="13">
                  <c:v>3250</c:v>
                </c:pt>
                <c:pt idx="14">
                  <c:v>3500</c:v>
                </c:pt>
                <c:pt idx="15">
                  <c:v>3750</c:v>
                </c:pt>
                <c:pt idx="16">
                  <c:v>4000</c:v>
                </c:pt>
                <c:pt idx="17">
                  <c:v>4250</c:v>
                </c:pt>
                <c:pt idx="18">
                  <c:v>4500</c:v>
                </c:pt>
                <c:pt idx="19">
                  <c:v>4750</c:v>
                </c:pt>
                <c:pt idx="20">
                  <c:v>5000</c:v>
                </c:pt>
                <c:pt idx="21">
                  <c:v>5250</c:v>
                </c:pt>
                <c:pt idx="22">
                  <c:v>5500</c:v>
                </c:pt>
                <c:pt idx="23">
                  <c:v>5750</c:v>
                </c:pt>
                <c:pt idx="24">
                  <c:v>6000</c:v>
                </c:pt>
                <c:pt idx="25">
                  <c:v>6250</c:v>
                </c:pt>
                <c:pt idx="26">
                  <c:v>6500</c:v>
                </c:pt>
                <c:pt idx="27">
                  <c:v>6750</c:v>
                </c:pt>
                <c:pt idx="28">
                  <c:v>7000</c:v>
                </c:pt>
                <c:pt idx="29">
                  <c:v>7250</c:v>
                </c:pt>
                <c:pt idx="30">
                  <c:v>7500</c:v>
                </c:pt>
                <c:pt idx="31">
                  <c:v>7750</c:v>
                </c:pt>
                <c:pt idx="32">
                  <c:v>8000</c:v>
                </c:pt>
                <c:pt idx="33">
                  <c:v>8250</c:v>
                </c:pt>
                <c:pt idx="34">
                  <c:v>8500</c:v>
                </c:pt>
                <c:pt idx="35">
                  <c:v>8750</c:v>
                </c:pt>
                <c:pt idx="36">
                  <c:v>9000</c:v>
                </c:pt>
                <c:pt idx="37">
                  <c:v>9250</c:v>
                </c:pt>
                <c:pt idx="38">
                  <c:v>9500</c:v>
                </c:pt>
                <c:pt idx="39">
                  <c:v>9750</c:v>
                </c:pt>
                <c:pt idx="40">
                  <c:v>10000</c:v>
                </c:pt>
              </c:numCache>
            </c:numRef>
          </c:xVal>
          <c:yVal>
            <c:numRef>
              <c:f>MonteCarlo_Weibull!$AF$4:$AF$44</c:f>
              <c:numCache>
                <c:formatCode>0.000000</c:formatCode>
                <c:ptCount val="41"/>
                <c:pt idx="0">
                  <c:v>0</c:v>
                </c:pt>
                <c:pt idx="1">
                  <c:v>2.1947709707344222E-5</c:v>
                </c:pt>
                <c:pt idx="2">
                  <c:v>4.1988244612251033E-5</c:v>
                </c:pt>
                <c:pt idx="3">
                  <c:v>6.0903743628275151E-5</c:v>
                </c:pt>
                <c:pt idx="4">
                  <c:v>7.8260115336521122E-5</c:v>
                </c:pt>
                <c:pt idx="5">
                  <c:v>9.4469985579827921E-5</c:v>
                </c:pt>
                <c:pt idx="6">
                  <c:v>1.0928407216736463E-4</c:v>
                </c:pt>
                <c:pt idx="7">
                  <c:v>1.2241461854189725E-4</c:v>
                </c:pt>
                <c:pt idx="8">
                  <c:v>1.3358084433488432E-4</c:v>
                </c:pt>
                <c:pt idx="9">
                  <c:v>1.4338934888789162E-4</c:v>
                </c:pt>
                <c:pt idx="10">
                  <c:v>1.5108124820397453E-4</c:v>
                </c:pt>
                <c:pt idx="11">
                  <c:v>1.5689152463322211E-4</c:v>
                </c:pt>
                <c:pt idx="12">
                  <c:v>1.6055131948016697E-4</c:v>
                </c:pt>
                <c:pt idx="13">
                  <c:v>1.6325183529952421E-4</c:v>
                </c:pt>
                <c:pt idx="14">
                  <c:v>1.6426813462491909E-4</c:v>
                </c:pt>
                <c:pt idx="15">
                  <c:v>1.6348685551938723E-4</c:v>
                </c:pt>
                <c:pt idx="16">
                  <c:v>1.6144551337773135E-4</c:v>
                </c:pt>
                <c:pt idx="17">
                  <c:v>1.5815849918921214E-4</c:v>
                </c:pt>
                <c:pt idx="18">
                  <c:v>1.5397022607294998E-4</c:v>
                </c:pt>
                <c:pt idx="19">
                  <c:v>1.4861930120878809E-4</c:v>
                </c:pt>
                <c:pt idx="20">
                  <c:v>1.4223110540615921E-4</c:v>
                </c:pt>
                <c:pt idx="21">
                  <c:v>1.3555525599624995E-4</c:v>
                </c:pt>
                <c:pt idx="22">
                  <c:v>1.2816999996120263E-4</c:v>
                </c:pt>
                <c:pt idx="23">
                  <c:v>1.2018079151663487E-4</c:v>
                </c:pt>
                <c:pt idx="24">
                  <c:v>1.1211928750416776E-4</c:v>
                </c:pt>
                <c:pt idx="25">
                  <c:v>1.0391408588880966E-4</c:v>
                </c:pt>
                <c:pt idx="26">
                  <c:v>9.5880476317756244E-5</c:v>
                </c:pt>
                <c:pt idx="27">
                  <c:v>8.7875200134093076E-5</c:v>
                </c:pt>
                <c:pt idx="28">
                  <c:v>8.03071606395007E-5</c:v>
                </c:pt>
                <c:pt idx="29">
                  <c:v>7.2525549816477219E-5</c:v>
                </c:pt>
                <c:pt idx="30">
                  <c:v>6.5510547598787903E-5</c:v>
                </c:pt>
                <c:pt idx="31">
                  <c:v>5.8808106004546121E-5</c:v>
                </c:pt>
                <c:pt idx="32">
                  <c:v>5.2634467821255934E-5</c:v>
                </c:pt>
                <c:pt idx="33">
                  <c:v>4.6919439036478467E-5</c:v>
                </c:pt>
                <c:pt idx="34">
                  <c:v>4.1651490542653343E-5</c:v>
                </c:pt>
                <c:pt idx="35">
                  <c:v>3.6766144067064952E-5</c:v>
                </c:pt>
                <c:pt idx="36">
                  <c:v>3.2239461407979377E-5</c:v>
                </c:pt>
                <c:pt idx="37">
                  <c:v>2.8013157448663368E-5</c:v>
                </c:pt>
                <c:pt idx="38">
                  <c:v>2.4249993448626109E-5</c:v>
                </c:pt>
                <c:pt idx="39">
                  <c:v>2.0862443382710085E-5</c:v>
                </c:pt>
                <c:pt idx="40">
                  <c:v>1.7861434898235873E-5</c:v>
                </c:pt>
              </c:numCache>
            </c:numRef>
          </c:yVal>
          <c:smooth val="1"/>
          <c:extLst>
            <c:ext xmlns:c16="http://schemas.microsoft.com/office/drawing/2014/chart" uri="{C3380CC4-5D6E-409C-BE32-E72D297353CC}">
              <c16:uniqueId val="{DA62D154-77E7-4BD9-AD94-8C47A6F27C5C}"/>
            </c:ext>
          </c:extLst>
        </c:ser>
        <c:ser>
          <c:idx val="3"/>
          <c:order val="2"/>
          <c:tx>
            <c:v>P90</c:v>
          </c:tx>
          <c:spPr>
            <a:ln w="19050" cap="rnd">
              <a:solidFill>
                <a:srgbClr val="70AD47"/>
              </a:solidFill>
              <a:prstDash val="solid"/>
              <a:round/>
            </a:ln>
            <a:effectLst/>
          </c:spPr>
          <c:marker>
            <c:symbol val="none"/>
          </c:marker>
          <c:xVal>
            <c:numRef>
              <c:f>MonteCarlo_Weibull!$AD$4:$AD$44</c:f>
              <c:numCache>
                <c:formatCode>General</c:formatCode>
                <c:ptCount val="41"/>
                <c:pt idx="0">
                  <c:v>0</c:v>
                </c:pt>
                <c:pt idx="1">
                  <c:v>250</c:v>
                </c:pt>
                <c:pt idx="2">
                  <c:v>500</c:v>
                </c:pt>
                <c:pt idx="3">
                  <c:v>750</c:v>
                </c:pt>
                <c:pt idx="4">
                  <c:v>1000</c:v>
                </c:pt>
                <c:pt idx="5">
                  <c:v>1250</c:v>
                </c:pt>
                <c:pt idx="6">
                  <c:v>1500</c:v>
                </c:pt>
                <c:pt idx="7">
                  <c:v>1750</c:v>
                </c:pt>
                <c:pt idx="8">
                  <c:v>2000</c:v>
                </c:pt>
                <c:pt idx="9">
                  <c:v>2250</c:v>
                </c:pt>
                <c:pt idx="10">
                  <c:v>2500</c:v>
                </c:pt>
                <c:pt idx="11">
                  <c:v>2750</c:v>
                </c:pt>
                <c:pt idx="12">
                  <c:v>3000</c:v>
                </c:pt>
                <c:pt idx="13">
                  <c:v>3250</c:v>
                </c:pt>
                <c:pt idx="14">
                  <c:v>3500</c:v>
                </c:pt>
                <c:pt idx="15">
                  <c:v>3750</c:v>
                </c:pt>
                <c:pt idx="16">
                  <c:v>4000</c:v>
                </c:pt>
                <c:pt idx="17">
                  <c:v>4250</c:v>
                </c:pt>
                <c:pt idx="18">
                  <c:v>4500</c:v>
                </c:pt>
                <c:pt idx="19">
                  <c:v>4750</c:v>
                </c:pt>
                <c:pt idx="20">
                  <c:v>5000</c:v>
                </c:pt>
                <c:pt idx="21">
                  <c:v>5250</c:v>
                </c:pt>
                <c:pt idx="22">
                  <c:v>5500</c:v>
                </c:pt>
                <c:pt idx="23">
                  <c:v>5750</c:v>
                </c:pt>
                <c:pt idx="24">
                  <c:v>6000</c:v>
                </c:pt>
                <c:pt idx="25">
                  <c:v>6250</c:v>
                </c:pt>
                <c:pt idx="26">
                  <c:v>6500</c:v>
                </c:pt>
                <c:pt idx="27">
                  <c:v>6750</c:v>
                </c:pt>
                <c:pt idx="28">
                  <c:v>7000</c:v>
                </c:pt>
                <c:pt idx="29">
                  <c:v>7250</c:v>
                </c:pt>
                <c:pt idx="30">
                  <c:v>7500</c:v>
                </c:pt>
                <c:pt idx="31">
                  <c:v>7750</c:v>
                </c:pt>
                <c:pt idx="32">
                  <c:v>8000</c:v>
                </c:pt>
                <c:pt idx="33">
                  <c:v>8250</c:v>
                </c:pt>
                <c:pt idx="34">
                  <c:v>8500</c:v>
                </c:pt>
                <c:pt idx="35">
                  <c:v>8750</c:v>
                </c:pt>
                <c:pt idx="36">
                  <c:v>9000</c:v>
                </c:pt>
                <c:pt idx="37">
                  <c:v>9250</c:v>
                </c:pt>
                <c:pt idx="38">
                  <c:v>9500</c:v>
                </c:pt>
                <c:pt idx="39">
                  <c:v>9750</c:v>
                </c:pt>
                <c:pt idx="40">
                  <c:v>10000</c:v>
                </c:pt>
              </c:numCache>
            </c:numRef>
          </c:xVal>
          <c:yVal>
            <c:numRef>
              <c:f>MonteCarlo_Weibull!$AG$4:$AG$44</c:f>
              <c:numCache>
                <c:formatCode>0.000000</c:formatCode>
                <c:ptCount val="41"/>
                <c:pt idx="0">
                  <c:v>0</c:v>
                </c:pt>
                <c:pt idx="1">
                  <c:v>3.3675212351871356E-5</c:v>
                </c:pt>
                <c:pt idx="2">
                  <c:v>5.7849501333045303E-5</c:v>
                </c:pt>
                <c:pt idx="3">
                  <c:v>7.8120239143053807E-5</c:v>
                </c:pt>
                <c:pt idx="4">
                  <c:v>9.6191988702391701E-5</c:v>
                </c:pt>
                <c:pt idx="5">
                  <c:v>1.1155425715702118E-4</c:v>
                </c:pt>
                <c:pt idx="6">
                  <c:v>1.257185214249077E-4</c:v>
                </c:pt>
                <c:pt idx="7">
                  <c:v>1.3743932294339517E-4</c:v>
                </c:pt>
                <c:pt idx="8">
                  <c:v>1.4793637027570719E-4</c:v>
                </c:pt>
                <c:pt idx="9">
                  <c:v>1.5675809034243121E-4</c:v>
                </c:pt>
                <c:pt idx="10">
                  <c:v>1.6427098474530957E-4</c:v>
                </c:pt>
                <c:pt idx="11">
                  <c:v>1.7038191705965374E-4</c:v>
                </c:pt>
                <c:pt idx="12">
                  <c:v>1.750115721124654E-4</c:v>
                </c:pt>
                <c:pt idx="13">
                  <c:v>1.7762544581813474E-4</c:v>
                </c:pt>
                <c:pt idx="14">
                  <c:v>1.7861722488914138E-4</c:v>
                </c:pt>
                <c:pt idx="15">
                  <c:v>1.7788646051869814E-4</c:v>
                </c:pt>
                <c:pt idx="16">
                  <c:v>1.7561326685352344E-4</c:v>
                </c:pt>
                <c:pt idx="17">
                  <c:v>1.7242871458503562E-4</c:v>
                </c:pt>
                <c:pt idx="18">
                  <c:v>1.6801193130908866E-4</c:v>
                </c:pt>
                <c:pt idx="19">
                  <c:v>1.6240070572797383E-4</c:v>
                </c:pt>
                <c:pt idx="20">
                  <c:v>1.5586807910426554E-4</c:v>
                </c:pt>
                <c:pt idx="21">
                  <c:v>1.4820905266251926E-4</c:v>
                </c:pt>
                <c:pt idx="22">
                  <c:v>1.3976315648122825E-4</c:v>
                </c:pt>
                <c:pt idx="23">
                  <c:v>1.3122060199500352E-4</c:v>
                </c:pt>
                <c:pt idx="24">
                  <c:v>1.2254645128293053E-4</c:v>
                </c:pt>
                <c:pt idx="25">
                  <c:v>1.1403010603840908E-4</c:v>
                </c:pt>
                <c:pt idx="26">
                  <c:v>1.0567373284791562E-4</c:v>
                </c:pt>
                <c:pt idx="27">
                  <c:v>9.7386892641319428E-5</c:v>
                </c:pt>
                <c:pt idx="28">
                  <c:v>8.9490772509843148E-5</c:v>
                </c:pt>
                <c:pt idx="29">
                  <c:v>8.1942395713330805E-5</c:v>
                </c:pt>
                <c:pt idx="30">
                  <c:v>7.4637122748235103E-5</c:v>
                </c:pt>
                <c:pt idx="31">
                  <c:v>6.8188525278684906E-5</c:v>
                </c:pt>
                <c:pt idx="32">
                  <c:v>6.1751609758405767E-5</c:v>
                </c:pt>
                <c:pt idx="33">
                  <c:v>5.5571534516469308E-5</c:v>
                </c:pt>
                <c:pt idx="34">
                  <c:v>5.0183747141311449E-5</c:v>
                </c:pt>
                <c:pt idx="35">
                  <c:v>4.5175418258319608E-5</c:v>
                </c:pt>
                <c:pt idx="36">
                  <c:v>4.0490862370334973E-5</c:v>
                </c:pt>
                <c:pt idx="37">
                  <c:v>3.6157953488674693E-5</c:v>
                </c:pt>
                <c:pt idx="38">
                  <c:v>3.2164308378259098E-5</c:v>
                </c:pt>
                <c:pt idx="39">
                  <c:v>2.853762333197709E-5</c:v>
                </c:pt>
                <c:pt idx="40">
                  <c:v>2.5138771441972686E-5</c:v>
                </c:pt>
              </c:numCache>
            </c:numRef>
          </c:yVal>
          <c:smooth val="1"/>
          <c:extLst>
            <c:ext xmlns:c16="http://schemas.microsoft.com/office/drawing/2014/chart" uri="{C3380CC4-5D6E-409C-BE32-E72D297353CC}">
              <c16:uniqueId val="{FFBD1F92-BCA2-42D7-BA75-8797168F2D0E}"/>
            </c:ext>
          </c:extLst>
        </c:ser>
        <c:dLbls>
          <c:showLegendKey val="0"/>
          <c:showVal val="0"/>
          <c:showCatName val="0"/>
          <c:showSerName val="0"/>
          <c:showPercent val="0"/>
          <c:showBubbleSize val="0"/>
        </c:dLbls>
        <c:axId val="985408519"/>
        <c:axId val="985410567"/>
      </c:scatterChart>
      <c:valAx>
        <c:axId val="98540851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Tiempo (h)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410567"/>
        <c:crosses val="autoZero"/>
        <c:crossBetween val="midCat"/>
      </c:valAx>
      <c:valAx>
        <c:axId val="98541056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Densidad f(t)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4085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Distribución simulada de β — percentiles arriba</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Distribución simulada de β — percentiles arriba</a:t>
          </a:r>
        </a:p>
      </cx:txPr>
    </cx:title>
    <cx:plotArea>
      <cx:plotAreaRegion>
        <cx:series layoutId="clusteredColumn" uniqueId="{00000000-DB46-4E0B-B61C-C72B2D21E200}">
          <cx:tx>
            <cx:txData>
              <cx:f>_xlchart.v1.0</cx:f>
              <cx:v>β simulado</cx:v>
            </cx:txData>
          </cx:tx>
          <cx:dataId val="0"/>
          <cx:layoutPr>
            <cx:binning intervalClosed="r"/>
          </cx:layoutPr>
        </cx:series>
      </cx:plotAreaRegion>
      <cx:axis id="0">
        <cx:catScaling gapWidth="0"/>
        <cx:title>
          <cx:tx>
            <cx:txData>
              <cx:v>β</cx:v>
            </cx:txData>
          </cx:tx>
          <cx:txPr>
            <a:bodyPr vertOverflow="overflow" horzOverflow="overflow" wrap="square" lIns="0" tIns="0" rIns="0" bIns="0"/>
            <a:lstStyle/>
            <a:p>
              <a:pPr algn="ctr" rtl="0">
                <a:defRPr sz="9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β</a:t>
              </a:r>
            </a:p>
          </cx:txPr>
        </cx:title>
        <cx:tickLabels/>
        <cx:numFmt formatCode="0.00" sourceLinked="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title>
          <cx:tx>
            <cx:txData>
              <cx:v>Frecuencia</cx:v>
            </cx:txData>
          </cx:tx>
          <cx:txPr>
            <a:bodyPr vertOverflow="overflow" horzOverflow="overflow" wrap="square" lIns="0" tIns="0" rIns="0" bIns="0"/>
            <a:lstStyle/>
            <a:p>
              <a:pPr algn="ctr" rtl="0">
                <a:defRPr sz="9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Frecuencia</a:t>
              </a:r>
            </a:p>
          </cx:txPr>
        </cx:title>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Distribución simulada de η — percentiles arriba</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Distribución simulada de η — percentiles arriba</a:t>
          </a:r>
        </a:p>
      </cx:txPr>
    </cx:title>
    <cx:plotArea>
      <cx:plotAreaRegion>
        <cx:series layoutId="clusteredColumn" uniqueId="{00000000-5B7F-4C3E-ABF0-31E849BD29AC}">
          <cx:tx>
            <cx:txData>
              <cx:f>_xlchart.v1.2</cx:f>
              <cx:v>η simulado (h)</cx:v>
            </cx:txData>
          </cx:tx>
          <cx:dataId val="0"/>
          <cx:layoutPr>
            <cx:binning intervalClosed="r"/>
          </cx:layoutPr>
        </cx:series>
      </cx:plotAreaRegion>
      <cx:axis id="0">
        <cx:catScaling gapWidth="0"/>
        <cx:title>
          <cx:tx>
            <cx:txData>
              <cx:v>η (h)</cx:v>
            </cx:txData>
          </cx:tx>
          <cx:txPr>
            <a:bodyPr vertOverflow="overflow" horzOverflow="overflow" wrap="square" lIns="0" tIns="0" rIns="0" bIns="0"/>
            <a:lstStyle/>
            <a:p>
              <a:pPr algn="ctr" rtl="0">
                <a:defRPr sz="9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η (h)</a:t>
              </a:r>
            </a:p>
          </cx:txPr>
        </cx:titl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title>
          <cx:tx>
            <cx:txData>
              <cx:v>Frecuencia</cx:v>
            </cx:txData>
          </cx:tx>
          <cx:txPr>
            <a:bodyPr vertOverflow="overflow" horzOverflow="overflow" wrap="square" lIns="0" tIns="0" rIns="0" bIns="0"/>
            <a:lstStyle/>
            <a:p>
              <a:pPr algn="ctr" rtl="0">
                <a:defRPr sz="9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Frecuencia</a:t>
              </a:r>
            </a:p>
          </cx:txPr>
        </cx:title>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7.xml"/><Relationship Id="rId1" Type="http://schemas.openxmlformats.org/officeDocument/2006/relationships/chart" Target="../charts/chart6.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editAs="oneCell">
    <xdr:from>
      <xdr:col>14</xdr:col>
      <xdr:colOff>63500</xdr:colOff>
      <xdr:row>32</xdr:row>
      <xdr:rowOff>34925</xdr:rowOff>
    </xdr:from>
    <xdr:to>
      <xdr:col>23</xdr:col>
      <xdr:colOff>154360</xdr:colOff>
      <xdr:row>56</xdr:row>
      <xdr:rowOff>7870</xdr:rowOff>
    </xdr:to>
    <xdr:graphicFrame macro="">
      <xdr:nvGraphicFramePr>
        <xdr:cNvPr id="4" name="Chart 3">
          <a:extLst>
            <a:ext uri="{FF2B5EF4-FFF2-40B4-BE49-F238E27FC236}">
              <a16:creationId xmlns:a16="http://schemas.microsoft.com/office/drawing/2014/main" id="{6B4323C8-3CC2-4989-9479-A70B57A813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83296</xdr:colOff>
      <xdr:row>33</xdr:row>
      <xdr:rowOff>145675</xdr:rowOff>
    </xdr:from>
    <xdr:to>
      <xdr:col>15</xdr:col>
      <xdr:colOff>372968</xdr:colOff>
      <xdr:row>64</xdr:row>
      <xdr:rowOff>78440</xdr:rowOff>
    </xdr:to>
    <xdr:graphicFrame macro="">
      <xdr:nvGraphicFramePr>
        <xdr:cNvPr id="3" name="Chart 2">
          <a:extLst>
            <a:ext uri="{FF2B5EF4-FFF2-40B4-BE49-F238E27FC236}">
              <a16:creationId xmlns:a16="http://schemas.microsoft.com/office/drawing/2014/main" id="{0246A813-5D54-402D-8011-A33C51B0ED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97679</xdr:colOff>
      <xdr:row>24</xdr:row>
      <xdr:rowOff>56029</xdr:rowOff>
    </xdr:from>
    <xdr:to>
      <xdr:col>24</xdr:col>
      <xdr:colOff>179294</xdr:colOff>
      <xdr:row>58</xdr:row>
      <xdr:rowOff>112058</xdr:rowOff>
    </xdr:to>
    <xdr:graphicFrame macro="">
      <xdr:nvGraphicFramePr>
        <xdr:cNvPr id="3" name="Chart 2">
          <a:extLst>
            <a:ext uri="{FF2B5EF4-FFF2-40B4-BE49-F238E27FC236}">
              <a16:creationId xmlns:a16="http://schemas.microsoft.com/office/drawing/2014/main" id="{5784736B-C2C3-47CD-B148-9AD8EF52E2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647700</xdr:colOff>
      <xdr:row>30</xdr:row>
      <xdr:rowOff>47625</xdr:rowOff>
    </xdr:from>
    <xdr:to>
      <xdr:col>13</xdr:col>
      <xdr:colOff>266700</xdr:colOff>
      <xdr:row>59</xdr:row>
      <xdr:rowOff>76200</xdr:rowOff>
    </xdr:to>
    <xdr:graphicFrame macro="">
      <xdr:nvGraphicFramePr>
        <xdr:cNvPr id="2" name="Chart 2">
          <a:extLst>
            <a:ext uri="{FF2B5EF4-FFF2-40B4-BE49-F238E27FC236}">
              <a16:creationId xmlns:a16="http://schemas.microsoft.com/office/drawing/2014/main" id="{00D4E514-08A1-4E93-A6E1-E50DA6004E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857250</xdr:colOff>
      <xdr:row>21</xdr:row>
      <xdr:rowOff>25400</xdr:rowOff>
    </xdr:from>
    <xdr:to>
      <xdr:col>7</xdr:col>
      <xdr:colOff>5086350</xdr:colOff>
      <xdr:row>43</xdr:row>
      <xdr:rowOff>44450</xdr:rowOff>
    </xdr:to>
    <xdr:graphicFrame macro="">
      <xdr:nvGraphicFramePr>
        <xdr:cNvPr id="8" name="Confiabilidad_Bayes_MLE">
          <a:extLst>
            <a:ext uri="{FF2B5EF4-FFF2-40B4-BE49-F238E27FC236}">
              <a16:creationId xmlns:a16="http://schemas.microsoft.com/office/drawing/2014/main" id="{C46BADDB-9B39-52C8-EBC8-5F0429AEB7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8</xdr:col>
      <xdr:colOff>6350</xdr:colOff>
      <xdr:row>10</xdr:row>
      <xdr:rowOff>76200</xdr:rowOff>
    </xdr:from>
    <xdr:to>
      <xdr:col>14</xdr:col>
      <xdr:colOff>609600</xdr:colOff>
      <xdr:row>32</xdr:row>
      <xdr:rowOff>95250</xdr:rowOff>
    </xdr:to>
    <xdr:graphicFrame macro="">
      <xdr:nvGraphicFramePr>
        <xdr:cNvPr id="2" name="Confiabilidad_MC">
          <a:extLst>
            <a:ext uri="{FF2B5EF4-FFF2-40B4-BE49-F238E27FC236}">
              <a16:creationId xmlns:a16="http://schemas.microsoft.com/office/drawing/2014/main" id="{77139A4A-6EEC-58AF-193C-E5BF989465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0</xdr:colOff>
      <xdr:row>10</xdr:row>
      <xdr:rowOff>0</xdr:rowOff>
    </xdr:from>
    <xdr:to>
      <xdr:col>23</xdr:col>
      <xdr:colOff>0</xdr:colOff>
      <xdr:row>27</xdr:row>
      <xdr:rowOff>0</xdr:rowOff>
    </xdr:to>
    <xdr:graphicFrame macro="">
      <xdr:nvGraphicFramePr>
        <xdr:cNvPr id="3" name="Densidad_MC">
          <a:extLst>
            <a:ext uri="{FF2B5EF4-FFF2-40B4-BE49-F238E27FC236}">
              <a16:creationId xmlns:a16="http://schemas.microsoft.com/office/drawing/2014/main" id="{3FF18BBE-2EF5-0EFC-1BAB-ED388CDE8CC1}"/>
            </a:ext>
            <a:ext uri="{147F2762-F138-4A5C-976F-8EAC2B608ADB}">
              <a16:predDERef xmlns:a16="http://schemas.microsoft.com/office/drawing/2014/main" pred="{77139A4A-6EEC-58AF-193C-E5BF989465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95250</xdr:colOff>
      <xdr:row>32</xdr:row>
      <xdr:rowOff>152400</xdr:rowOff>
    </xdr:from>
    <xdr:to>
      <xdr:col>15</xdr:col>
      <xdr:colOff>95250</xdr:colOff>
      <xdr:row>49</xdr:row>
      <xdr:rowOff>152400</xdr:rowOff>
    </xdr:to>
    <mc:AlternateContent xmlns:mc="http://schemas.openxmlformats.org/markup-compatibility/2006">
      <mc:Choice xmlns:cx1="http://schemas.microsoft.com/office/drawing/2015/9/8/chartex" Requires="cx1">
        <xdr:graphicFrame macro="">
          <xdr:nvGraphicFramePr>
            <xdr:cNvPr id="4" name="Histograma_Beta">
              <a:extLst>
                <a:ext uri="{FF2B5EF4-FFF2-40B4-BE49-F238E27FC236}">
                  <a16:creationId xmlns:a16="http://schemas.microsoft.com/office/drawing/2014/main" id="{E974A991-3FF6-86D8-0A66-0E6639902ED1}"/>
                </a:ext>
                <a:ext uri="{147F2762-F138-4A5C-976F-8EAC2B608ADB}">
                  <a16:predDERef xmlns:a16="http://schemas.microsoft.com/office/drawing/2014/main" pred="{3FF18BBE-2EF5-0EFC-1BAB-ED388CDE8CC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0356850" y="6299200"/>
              <a:ext cx="6654800" cy="31305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0</xdr:colOff>
      <xdr:row>29</xdr:row>
      <xdr:rowOff>0</xdr:rowOff>
    </xdr:from>
    <xdr:to>
      <xdr:col>33</xdr:col>
      <xdr:colOff>476250</xdr:colOff>
      <xdr:row>48</xdr:row>
      <xdr:rowOff>123825</xdr:rowOff>
    </xdr:to>
    <mc:AlternateContent xmlns:mc="http://schemas.openxmlformats.org/markup-compatibility/2006">
      <mc:Choice xmlns:cx1="http://schemas.microsoft.com/office/drawing/2015/9/8/chartex" Requires="cx1">
        <xdr:graphicFrame macro="">
          <xdr:nvGraphicFramePr>
            <xdr:cNvPr id="5" name="Histograma_Eta">
              <a:extLst>
                <a:ext uri="{FF2B5EF4-FFF2-40B4-BE49-F238E27FC236}">
                  <a16:creationId xmlns:a16="http://schemas.microsoft.com/office/drawing/2014/main" id="{EB2009A0-F478-B625-B9B2-B27EB43BCF11}"/>
                </a:ext>
                <a:ext uri="{147F2762-F138-4A5C-976F-8EAC2B608ADB}">
                  <a16:predDERef xmlns:a16="http://schemas.microsoft.com/office/drawing/2014/main" pred="{E974A991-3FF6-86D8-0A66-0E6639902ED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7557750" y="5594350"/>
              <a:ext cx="5607050" cy="36226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BE2D3A-A57F-4D22-A959-DE96EC443ED5}" name="MC_Weibull" displayName="MC_Weibull" ref="A15:G1015" totalsRowShown="0" headerRowDxfId="8" dataDxfId="7">
  <autoFilter ref="A15:G1015" xr:uid="{5ABE2D3A-A57F-4D22-A959-DE96EC443ED5}"/>
  <tableColumns count="7">
    <tableColumn id="1" xr3:uid="{27E24906-24B6-4F0C-BFAC-A520DDE45ABF}" name="Iteración" dataDxfId="6"/>
    <tableColumn id="2" xr3:uid="{45CB0074-F7CD-4650-B3EF-FD7F3EA8486D}" name="u β" dataDxfId="5">
      <calculatedColumnFormula>RAND()</calculatedColumnFormula>
    </tableColumn>
    <tableColumn id="3" xr3:uid="{EC9EF930-B66E-4829-AFB5-8A9E250AE806}" name="u η" dataDxfId="4">
      <calculatedColumnFormula>RAND()</calculatedColumnFormula>
    </tableColumn>
    <tableColumn id="4" xr3:uid="{934D6B2F-E28B-4A02-8EBF-3C36D22CEF87}" name="β simulado" dataDxfId="3">
      <calculatedColumnFormula array="1">_xlfn.SWITCH($B$4,"Normal MLE",EXP(_xlfn.NORM.INV(B16,LN($C$9),$E$9/$C$9)),"Uniforme",$B$9+($D$9-$B$9)*B16,"Triangular",IF(B16&lt;=($C$9-$B$9)/($D$9-$B$9),$B$9+SQRT(B16*($D$9-$B$9)*($C$9-$B$9)),$D$9-SQRT((1-B16)*($D$9-$B$9)*($D$9-$C$9))),"PERT",_xlfn.BETA.INV(B16,1+$B$6*($C$9-$B$9)/($D$9-$B$9),1+$B$6*($D$9-$C$9)/($D$9-$B$9),$B$9,$D$9))</calculatedColumnFormula>
    </tableColumn>
    <tableColumn id="5" xr3:uid="{D1406BF6-EA70-40CD-8734-F686398E19CC}" name="η simulado (h)" dataDxfId="2">
      <calculatedColumnFormula array="1">_xlfn.SWITCH($B$4,"Normal MLE",EXP(_xlfn.NORM.INV(C16,LN($C$10),$E$10/$C$10)),"Uniforme",$B$10+($D$10-$B$10)*C16,"Triangular",IF(C16&lt;=($C$10-$B$10)/($D$10-$B$10),$B$10+SQRT(C16*($D$10-$B$10)*($C$10-$B$10)),$D$10-SQRT((1-C16)*($D$10-$B$10)*($D$10-$C$10))),"PERT",_xlfn.BETA.INV(C16,1+$B$6*($C$10-$B$10)/($D$10-$B$10),1+$B$6*($D$10-$C$10)/($D$10-$B$10),$B$10,$D$10))</calculatedColumnFormula>
    </tableColumn>
    <tableColumn id="6" xr3:uid="{D55F29B0-7266-49A3-9E9C-0786CBCE44B3}" name="R(t) evaluada" dataDxfId="1">
      <calculatedColumnFormula>EXP(-POWER($B$12/E16,D16))</calculatedColumnFormula>
    </tableColumn>
    <tableColumn id="7" xr3:uid="{CDDA20D9-FC56-4CB2-A893-C7D32A2ACAF7}" name="f(t) evaluada" dataDxfId="0">
      <calculatedColumnFormula>(D16/E16)*POWER($B$12/E16,D16-1)*EXP(-POWER($B$12/E16,D16))</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4"/>
  <sheetViews>
    <sheetView showGridLines="0" tabSelected="1" zoomScaleNormal="100" workbookViewId="0">
      <pane ySplit="4" topLeftCell="A5" activePane="bottomLeft" state="frozen"/>
      <selection pane="bottomLeft" activeCell="F11" sqref="F11"/>
    </sheetView>
  </sheetViews>
  <sheetFormatPr defaultColWidth="8.7265625" defaultRowHeight="15" customHeight="1" x14ac:dyDescent="0.35"/>
  <cols>
    <col min="1" max="1" width="6" style="48" customWidth="1"/>
    <col min="2" max="2" width="28" style="48" customWidth="1"/>
    <col min="3" max="3" width="20" style="48" customWidth="1"/>
    <col min="4" max="4" width="18" style="48" customWidth="1"/>
    <col min="5" max="5" width="11" style="48" customWidth="1"/>
    <col min="6" max="6" width="26" style="48" customWidth="1"/>
    <col min="7" max="7" width="3" style="48" customWidth="1"/>
    <col min="8" max="8" width="26" style="48" customWidth="1"/>
    <col min="9" max="9" width="14" style="48" customWidth="1"/>
    <col min="10" max="13" width="12" style="48" customWidth="1"/>
    <col min="14" max="16384" width="8.7265625" style="48"/>
  </cols>
  <sheetData>
    <row r="1" spans="1:13" ht="21.75" customHeight="1" x14ac:dyDescent="0.4">
      <c r="A1" s="57" t="s">
        <v>0</v>
      </c>
    </row>
    <row r="2" spans="1:13" ht="14.5" x14ac:dyDescent="0.35">
      <c r="A2" s="58" t="s">
        <v>1</v>
      </c>
    </row>
    <row r="3" spans="1:13" ht="14.5" x14ac:dyDescent="0.35">
      <c r="A3" s="59" t="s">
        <v>2</v>
      </c>
      <c r="H3" s="59" t="s">
        <v>3</v>
      </c>
    </row>
    <row r="4" spans="1:13" ht="31.5" customHeight="1" x14ac:dyDescent="0.35">
      <c r="A4" s="66" t="s">
        <v>4</v>
      </c>
      <c r="B4" s="66" t="s">
        <v>5</v>
      </c>
      <c r="C4" s="66" t="s">
        <v>6</v>
      </c>
      <c r="D4" s="66" t="s">
        <v>7</v>
      </c>
      <c r="E4" s="66" t="s">
        <v>8</v>
      </c>
      <c r="F4" s="66" t="s">
        <v>9</v>
      </c>
      <c r="H4" s="60" t="s">
        <v>10</v>
      </c>
      <c r="I4" s="61">
        <f>COUNT(C5:C204)</f>
        <v>200</v>
      </c>
    </row>
    <row r="5" spans="1:13" ht="14.5" x14ac:dyDescent="0.35">
      <c r="A5" s="60">
        <v>1</v>
      </c>
      <c r="B5" s="60" t="s">
        <v>11</v>
      </c>
      <c r="C5" s="62">
        <v>528.29999999999995</v>
      </c>
      <c r="D5" s="60">
        <v>1</v>
      </c>
      <c r="E5" s="63">
        <f>LN(C5)</f>
        <v>6.26966430417027</v>
      </c>
      <c r="F5" s="60" t="str">
        <f t="shared" ref="F5:F36" si="0">IF(D5=1,"Falla","Censurado (sigue operando)")</f>
        <v>Falla</v>
      </c>
      <c r="H5" s="60" t="s">
        <v>12</v>
      </c>
      <c r="I5" s="61">
        <f>SUM(D5:D204)</f>
        <v>122</v>
      </c>
    </row>
    <row r="6" spans="1:13" ht="14.5" x14ac:dyDescent="0.35">
      <c r="A6" s="60">
        <v>2</v>
      </c>
      <c r="B6" s="60" t="s">
        <v>13</v>
      </c>
      <c r="C6" s="62">
        <v>2040</v>
      </c>
      <c r="D6" s="60">
        <v>1</v>
      </c>
      <c r="E6" s="63">
        <f t="shared" ref="E6:E36" si="1">LN(C6)</f>
        <v>7.620705086838262</v>
      </c>
      <c r="F6" s="60" t="str">
        <f t="shared" si="0"/>
        <v>Falla</v>
      </c>
      <c r="H6" s="60" t="s">
        <v>14</v>
      </c>
      <c r="I6" s="61">
        <f>I4-I5</f>
        <v>78</v>
      </c>
    </row>
    <row r="7" spans="1:13" ht="14.5" x14ac:dyDescent="0.35">
      <c r="A7" s="60">
        <v>3</v>
      </c>
      <c r="B7" s="60" t="s">
        <v>13</v>
      </c>
      <c r="C7" s="62">
        <v>5368.1</v>
      </c>
      <c r="D7" s="60">
        <v>1</v>
      </c>
      <c r="E7" s="63">
        <f t="shared" si="1"/>
        <v>8.5882293073900726</v>
      </c>
      <c r="F7" s="60" t="str">
        <f t="shared" si="0"/>
        <v>Falla</v>
      </c>
      <c r="H7" s="60" t="s">
        <v>15</v>
      </c>
      <c r="I7" s="64">
        <f>I6/I4</f>
        <v>0.39</v>
      </c>
    </row>
    <row r="8" spans="1:13" ht="14.5" x14ac:dyDescent="0.35">
      <c r="A8" s="60">
        <v>4</v>
      </c>
      <c r="B8" s="60" t="s">
        <v>11</v>
      </c>
      <c r="C8" s="62">
        <v>3449.1</v>
      </c>
      <c r="D8" s="60">
        <v>1</v>
      </c>
      <c r="E8" s="63">
        <f t="shared" si="1"/>
        <v>8.1458686064278041</v>
      </c>
      <c r="F8" s="60" t="str">
        <f t="shared" si="0"/>
        <v>Falla</v>
      </c>
      <c r="H8" s="60" t="s">
        <v>16</v>
      </c>
      <c r="I8" s="62">
        <f>MIN(C5:C204)</f>
        <v>401.7</v>
      </c>
    </row>
    <row r="9" spans="1:13" ht="14.5" x14ac:dyDescent="0.35">
      <c r="A9" s="60">
        <v>5</v>
      </c>
      <c r="B9" s="60" t="s">
        <v>17</v>
      </c>
      <c r="C9" s="62">
        <v>2624.6</v>
      </c>
      <c r="D9" s="60">
        <v>0</v>
      </c>
      <c r="E9" s="63">
        <f t="shared" si="1"/>
        <v>7.872683782462186</v>
      </c>
      <c r="F9" s="60" t="str">
        <f t="shared" si="0"/>
        <v>Censurado (sigue operando)</v>
      </c>
      <c r="H9" s="60" t="s">
        <v>18</v>
      </c>
      <c r="I9" s="62">
        <f>MAX(C5:C204)</f>
        <v>9165.7000000000007</v>
      </c>
    </row>
    <row r="10" spans="1:13" ht="14.5" x14ac:dyDescent="0.35">
      <c r="A10" s="60">
        <v>6</v>
      </c>
      <c r="B10" s="60" t="s">
        <v>13</v>
      </c>
      <c r="C10" s="62">
        <v>2063.6</v>
      </c>
      <c r="D10" s="60">
        <v>1</v>
      </c>
      <c r="E10" s="63">
        <f t="shared" si="1"/>
        <v>7.6322073093704947</v>
      </c>
      <c r="F10" s="60" t="str">
        <f t="shared" si="0"/>
        <v>Falla</v>
      </c>
      <c r="H10" s="60" t="s">
        <v>19</v>
      </c>
      <c r="I10" s="62">
        <f>SUM(C5:C204)</f>
        <v>700388.50000000012</v>
      </c>
    </row>
    <row r="11" spans="1:13" ht="14.5" x14ac:dyDescent="0.35">
      <c r="A11" s="60">
        <v>7</v>
      </c>
      <c r="B11" s="60" t="s">
        <v>11</v>
      </c>
      <c r="C11" s="62">
        <v>2968.1</v>
      </c>
      <c r="D11" s="60">
        <v>1</v>
      </c>
      <c r="E11" s="63">
        <f t="shared" si="1"/>
        <v>7.9956772964420564</v>
      </c>
      <c r="F11" s="60" t="str">
        <f t="shared" si="0"/>
        <v>Falla</v>
      </c>
      <c r="H11" s="60" t="s">
        <v>20</v>
      </c>
      <c r="I11" s="65">
        <f>SUMPRODUCT($D$5:$D$204,$E$5:$E$204)</f>
        <v>974.90977424975677</v>
      </c>
    </row>
    <row r="12" spans="1:13" ht="14.5" x14ac:dyDescent="0.35">
      <c r="A12" s="60">
        <v>8</v>
      </c>
      <c r="B12" s="60" t="s">
        <v>21</v>
      </c>
      <c r="C12" s="62">
        <v>3955.9</v>
      </c>
      <c r="D12" s="60">
        <v>0</v>
      </c>
      <c r="E12" s="63">
        <f t="shared" si="1"/>
        <v>8.2829634143644615</v>
      </c>
      <c r="F12" s="60" t="str">
        <f t="shared" si="0"/>
        <v>Censurado (sigue operando)</v>
      </c>
    </row>
    <row r="13" spans="1:13" ht="14.5" x14ac:dyDescent="0.35">
      <c r="A13" s="60">
        <v>9</v>
      </c>
      <c r="B13" s="60" t="s">
        <v>22</v>
      </c>
      <c r="C13" s="62">
        <v>3890.5</v>
      </c>
      <c r="D13" s="60">
        <v>1</v>
      </c>
      <c r="E13" s="63">
        <f t="shared" si="1"/>
        <v>8.2662929630569852</v>
      </c>
      <c r="F13" s="60" t="str">
        <f t="shared" si="0"/>
        <v>Falla</v>
      </c>
      <c r="H13" s="59" t="s">
        <v>23</v>
      </c>
    </row>
    <row r="14" spans="1:13" ht="15" customHeight="1" x14ac:dyDescent="0.35">
      <c r="A14" s="60">
        <v>10</v>
      </c>
      <c r="B14" s="60" t="s">
        <v>21</v>
      </c>
      <c r="C14" s="62">
        <v>5854</v>
      </c>
      <c r="D14" s="60">
        <v>1</v>
      </c>
      <c r="E14" s="63">
        <f t="shared" si="1"/>
        <v>8.6748804672518318</v>
      </c>
      <c r="F14" s="60" t="str">
        <f t="shared" si="0"/>
        <v>Falla</v>
      </c>
      <c r="H14" s="98" t="s">
        <v>24</v>
      </c>
      <c r="I14" s="98"/>
      <c r="J14" s="98"/>
      <c r="K14" s="98"/>
      <c r="L14" s="98"/>
      <c r="M14" s="98"/>
    </row>
    <row r="15" spans="1:13" ht="14.5" x14ac:dyDescent="0.35">
      <c r="A15" s="60">
        <v>11</v>
      </c>
      <c r="B15" s="60" t="s">
        <v>21</v>
      </c>
      <c r="C15" s="62">
        <v>2361.4</v>
      </c>
      <c r="D15" s="60">
        <v>1</v>
      </c>
      <c r="E15" s="63">
        <f t="shared" si="1"/>
        <v>7.7670099424730097</v>
      </c>
      <c r="F15" s="60" t="str">
        <f t="shared" si="0"/>
        <v>Falla</v>
      </c>
      <c r="H15" s="98"/>
      <c r="I15" s="98"/>
      <c r="J15" s="98"/>
      <c r="K15" s="98"/>
      <c r="L15" s="98"/>
      <c r="M15" s="98"/>
    </row>
    <row r="16" spans="1:13" ht="14.5" x14ac:dyDescent="0.35">
      <c r="A16" s="60">
        <v>12</v>
      </c>
      <c r="B16" s="60" t="s">
        <v>11</v>
      </c>
      <c r="C16" s="62">
        <v>4920.8</v>
      </c>
      <c r="D16" s="60">
        <v>0</v>
      </c>
      <c r="E16" s="63">
        <f t="shared" si="1"/>
        <v>8.5012263978941593</v>
      </c>
      <c r="F16" s="60" t="str">
        <f t="shared" si="0"/>
        <v>Censurado (sigue operando)</v>
      </c>
      <c r="H16" s="98"/>
      <c r="I16" s="98"/>
      <c r="J16" s="98"/>
      <c r="K16" s="98"/>
      <c r="L16" s="98"/>
      <c r="M16" s="98"/>
    </row>
    <row r="17" spans="1:13" ht="14.5" x14ac:dyDescent="0.35">
      <c r="A17" s="60">
        <v>13</v>
      </c>
      <c r="B17" s="60" t="s">
        <v>11</v>
      </c>
      <c r="C17" s="62">
        <v>2338.6999999999998</v>
      </c>
      <c r="D17" s="60">
        <v>1</v>
      </c>
      <c r="E17" s="63">
        <f t="shared" si="1"/>
        <v>7.7573504984180239</v>
      </c>
      <c r="F17" s="60" t="str">
        <f t="shared" si="0"/>
        <v>Falla</v>
      </c>
      <c r="H17" s="98"/>
      <c r="I17" s="98"/>
      <c r="J17" s="98"/>
      <c r="K17" s="98"/>
      <c r="L17" s="98"/>
      <c r="M17" s="98"/>
    </row>
    <row r="18" spans="1:13" ht="14.5" x14ac:dyDescent="0.35">
      <c r="A18" s="60">
        <v>14</v>
      </c>
      <c r="B18" s="60" t="s">
        <v>22</v>
      </c>
      <c r="C18" s="62">
        <v>3224.7</v>
      </c>
      <c r="D18" s="60">
        <v>0</v>
      </c>
      <c r="E18" s="63">
        <f t="shared" si="1"/>
        <v>8.0785952016471274</v>
      </c>
      <c r="F18" s="60" t="str">
        <f t="shared" si="0"/>
        <v>Censurado (sigue operando)</v>
      </c>
      <c r="H18" s="98"/>
      <c r="I18" s="98"/>
      <c r="J18" s="98"/>
      <c r="K18" s="98"/>
      <c r="L18" s="98"/>
      <c r="M18" s="98"/>
    </row>
    <row r="19" spans="1:13" ht="14.5" x14ac:dyDescent="0.35">
      <c r="A19" s="60">
        <v>15</v>
      </c>
      <c r="B19" s="60" t="s">
        <v>17</v>
      </c>
      <c r="C19" s="62">
        <v>2587.9</v>
      </c>
      <c r="D19" s="60">
        <v>0</v>
      </c>
      <c r="E19" s="63">
        <f t="shared" si="1"/>
        <v>7.8586020149978992</v>
      </c>
      <c r="F19" s="60" t="str">
        <f t="shared" si="0"/>
        <v>Censurado (sigue operando)</v>
      </c>
    </row>
    <row r="20" spans="1:13" ht="14.5" x14ac:dyDescent="0.35">
      <c r="A20" s="60">
        <v>16</v>
      </c>
      <c r="B20" s="60" t="s">
        <v>11</v>
      </c>
      <c r="C20" s="62">
        <v>4776.7</v>
      </c>
      <c r="D20" s="60">
        <v>1</v>
      </c>
      <c r="E20" s="63">
        <f t="shared" si="1"/>
        <v>8.4715052104968205</v>
      </c>
      <c r="F20" s="60" t="str">
        <f t="shared" si="0"/>
        <v>Falla</v>
      </c>
    </row>
    <row r="21" spans="1:13" ht="14.5" x14ac:dyDescent="0.35">
      <c r="A21" s="60">
        <v>17</v>
      </c>
      <c r="B21" s="60" t="s">
        <v>22</v>
      </c>
      <c r="C21" s="62">
        <v>2298.1999999999998</v>
      </c>
      <c r="D21" s="60">
        <v>0</v>
      </c>
      <c r="E21" s="63">
        <f t="shared" si="1"/>
        <v>7.7398814868235331</v>
      </c>
      <c r="F21" s="60" t="str">
        <f t="shared" si="0"/>
        <v>Censurado (sigue operando)</v>
      </c>
    </row>
    <row r="22" spans="1:13" ht="14.5" x14ac:dyDescent="0.35">
      <c r="A22" s="60">
        <v>18</v>
      </c>
      <c r="B22" s="60" t="s">
        <v>13</v>
      </c>
      <c r="C22" s="62">
        <v>2505.5</v>
      </c>
      <c r="D22" s="60">
        <v>1</v>
      </c>
      <c r="E22" s="63">
        <f t="shared" si="1"/>
        <v>7.826243594399779</v>
      </c>
      <c r="F22" s="60" t="str">
        <f t="shared" si="0"/>
        <v>Falla</v>
      </c>
    </row>
    <row r="23" spans="1:13" ht="14.5" x14ac:dyDescent="0.35">
      <c r="A23" s="60">
        <v>19</v>
      </c>
      <c r="B23" s="60" t="s">
        <v>22</v>
      </c>
      <c r="C23" s="62">
        <v>941.7</v>
      </c>
      <c r="D23" s="60">
        <v>1</v>
      </c>
      <c r="E23" s="63">
        <f t="shared" si="1"/>
        <v>6.8476867525160179</v>
      </c>
      <c r="F23" s="60" t="str">
        <f t="shared" si="0"/>
        <v>Falla</v>
      </c>
    </row>
    <row r="24" spans="1:13" ht="14.5" x14ac:dyDescent="0.35">
      <c r="A24" s="60">
        <v>20</v>
      </c>
      <c r="B24" s="60" t="s">
        <v>17</v>
      </c>
      <c r="C24" s="62">
        <v>5202.6000000000004</v>
      </c>
      <c r="D24" s="60">
        <v>0</v>
      </c>
      <c r="E24" s="63">
        <f t="shared" si="1"/>
        <v>8.5569137796111701</v>
      </c>
      <c r="F24" s="60" t="str">
        <f t="shared" si="0"/>
        <v>Censurado (sigue operando)</v>
      </c>
    </row>
    <row r="25" spans="1:13" ht="14.5" x14ac:dyDescent="0.35">
      <c r="A25" s="60">
        <v>21</v>
      </c>
      <c r="B25" s="60" t="s">
        <v>11</v>
      </c>
      <c r="C25" s="62">
        <v>455.5</v>
      </c>
      <c r="D25" s="60">
        <v>1</v>
      </c>
      <c r="E25" s="63">
        <f t="shared" si="1"/>
        <v>6.1213957167000128</v>
      </c>
      <c r="F25" s="60" t="str">
        <f t="shared" si="0"/>
        <v>Falla</v>
      </c>
    </row>
    <row r="26" spans="1:13" ht="14.5" x14ac:dyDescent="0.35">
      <c r="A26" s="60">
        <v>22</v>
      </c>
      <c r="B26" s="60" t="s">
        <v>21</v>
      </c>
      <c r="C26" s="62">
        <v>2474.1</v>
      </c>
      <c r="D26" s="60">
        <v>1</v>
      </c>
      <c r="E26" s="63">
        <f t="shared" si="1"/>
        <v>7.8136319725074195</v>
      </c>
      <c r="F26" s="60" t="str">
        <f t="shared" si="0"/>
        <v>Falla</v>
      </c>
    </row>
    <row r="27" spans="1:13" ht="14.5" x14ac:dyDescent="0.35">
      <c r="A27" s="60">
        <v>23</v>
      </c>
      <c r="B27" s="60" t="s">
        <v>21</v>
      </c>
      <c r="C27" s="62">
        <v>2871.5</v>
      </c>
      <c r="D27" s="60">
        <v>1</v>
      </c>
      <c r="E27" s="63">
        <f t="shared" si="1"/>
        <v>7.962589820304351</v>
      </c>
      <c r="F27" s="60" t="str">
        <f t="shared" si="0"/>
        <v>Falla</v>
      </c>
    </row>
    <row r="28" spans="1:13" ht="14.5" x14ac:dyDescent="0.35">
      <c r="A28" s="60">
        <v>24</v>
      </c>
      <c r="B28" s="60" t="s">
        <v>21</v>
      </c>
      <c r="C28" s="62">
        <v>4660.7</v>
      </c>
      <c r="D28" s="60">
        <v>0</v>
      </c>
      <c r="E28" s="63">
        <f t="shared" si="1"/>
        <v>8.4469209304308848</v>
      </c>
      <c r="F28" s="60" t="str">
        <f t="shared" si="0"/>
        <v>Censurado (sigue operando)</v>
      </c>
    </row>
    <row r="29" spans="1:13" ht="14.5" x14ac:dyDescent="0.35">
      <c r="A29" s="60">
        <v>25</v>
      </c>
      <c r="B29" s="60" t="s">
        <v>13</v>
      </c>
      <c r="C29" s="62">
        <v>1392.9</v>
      </c>
      <c r="D29" s="60">
        <v>1</v>
      </c>
      <c r="E29" s="63">
        <f t="shared" si="1"/>
        <v>7.2391431836939857</v>
      </c>
      <c r="F29" s="60" t="str">
        <f t="shared" si="0"/>
        <v>Falla</v>
      </c>
    </row>
    <row r="30" spans="1:13" ht="14.5" x14ac:dyDescent="0.35">
      <c r="A30" s="60">
        <v>26</v>
      </c>
      <c r="B30" s="60" t="s">
        <v>21</v>
      </c>
      <c r="C30" s="62">
        <v>3289</v>
      </c>
      <c r="D30" s="60">
        <v>0</v>
      </c>
      <c r="E30" s="63">
        <f t="shared" si="1"/>
        <v>8.0983388461890566</v>
      </c>
      <c r="F30" s="60" t="str">
        <f t="shared" si="0"/>
        <v>Censurado (sigue operando)</v>
      </c>
    </row>
    <row r="31" spans="1:13" ht="14.5" x14ac:dyDescent="0.35">
      <c r="A31" s="60">
        <v>27</v>
      </c>
      <c r="B31" s="60" t="s">
        <v>11</v>
      </c>
      <c r="C31" s="62">
        <v>2372.5</v>
      </c>
      <c r="D31" s="60">
        <v>0</v>
      </c>
      <c r="E31" s="63">
        <f t="shared" si="1"/>
        <v>7.7716995304840832</v>
      </c>
      <c r="F31" s="60" t="str">
        <f t="shared" si="0"/>
        <v>Censurado (sigue operando)</v>
      </c>
    </row>
    <row r="32" spans="1:13" ht="14.5" x14ac:dyDescent="0.35">
      <c r="A32" s="60">
        <v>28</v>
      </c>
      <c r="B32" s="60" t="s">
        <v>17</v>
      </c>
      <c r="C32" s="62">
        <v>8102.4</v>
      </c>
      <c r="D32" s="60">
        <v>1</v>
      </c>
      <c r="E32" s="63">
        <f t="shared" si="1"/>
        <v>8.9999155930697476</v>
      </c>
      <c r="F32" s="60" t="str">
        <f t="shared" si="0"/>
        <v>Falla</v>
      </c>
    </row>
    <row r="33" spans="1:6" ht="14.5" x14ac:dyDescent="0.35">
      <c r="A33" s="60">
        <v>29</v>
      </c>
      <c r="B33" s="60" t="s">
        <v>17</v>
      </c>
      <c r="C33" s="62">
        <v>3871</v>
      </c>
      <c r="D33" s="60">
        <v>1</v>
      </c>
      <c r="E33" s="63">
        <f t="shared" si="1"/>
        <v>8.2612681505776475</v>
      </c>
      <c r="F33" s="60" t="str">
        <f t="shared" si="0"/>
        <v>Falla</v>
      </c>
    </row>
    <row r="34" spans="1:6" ht="14.5" x14ac:dyDescent="0.35">
      <c r="A34" s="60">
        <v>30</v>
      </c>
      <c r="B34" s="60" t="s">
        <v>17</v>
      </c>
      <c r="C34" s="62">
        <v>2388.3000000000002</v>
      </c>
      <c r="D34" s="60">
        <v>1</v>
      </c>
      <c r="E34" s="63">
        <f t="shared" si="1"/>
        <v>7.7783370947626427</v>
      </c>
      <c r="F34" s="60" t="str">
        <f t="shared" si="0"/>
        <v>Falla</v>
      </c>
    </row>
    <row r="35" spans="1:6" ht="14.5" x14ac:dyDescent="0.35">
      <c r="A35" s="60">
        <v>31</v>
      </c>
      <c r="B35" s="60" t="s">
        <v>17</v>
      </c>
      <c r="C35" s="62">
        <v>5061.8</v>
      </c>
      <c r="D35" s="60">
        <v>1</v>
      </c>
      <c r="E35" s="63">
        <f t="shared" si="1"/>
        <v>8.5294774302494574</v>
      </c>
      <c r="F35" s="60" t="str">
        <f t="shared" si="0"/>
        <v>Falla</v>
      </c>
    </row>
    <row r="36" spans="1:6" ht="14.5" x14ac:dyDescent="0.35">
      <c r="A36" s="60">
        <v>32</v>
      </c>
      <c r="B36" s="60" t="s">
        <v>17</v>
      </c>
      <c r="C36" s="62">
        <v>960.8</v>
      </c>
      <c r="D36" s="60">
        <v>0</v>
      </c>
      <c r="E36" s="63">
        <f t="shared" si="1"/>
        <v>6.8677662707657738</v>
      </c>
      <c r="F36" s="60" t="str">
        <f t="shared" si="0"/>
        <v>Censurado (sigue operando)</v>
      </c>
    </row>
    <row r="37" spans="1:6" ht="14.5" x14ac:dyDescent="0.35">
      <c r="A37" s="60">
        <v>33</v>
      </c>
      <c r="B37" s="60" t="s">
        <v>17</v>
      </c>
      <c r="C37" s="62">
        <v>1535.6</v>
      </c>
      <c r="D37" s="60">
        <v>0</v>
      </c>
      <c r="E37" s="63">
        <f t="shared" ref="E37:E68" si="2">LN(C37)</f>
        <v>7.3366764631266426</v>
      </c>
      <c r="F37" s="60" t="str">
        <f t="shared" ref="F37:F68" si="3">IF(D37=1,"Falla","Censurado (sigue operando)")</f>
        <v>Censurado (sigue operando)</v>
      </c>
    </row>
    <row r="38" spans="1:6" ht="14.5" x14ac:dyDescent="0.35">
      <c r="A38" s="60">
        <v>34</v>
      </c>
      <c r="B38" s="60" t="s">
        <v>11</v>
      </c>
      <c r="C38" s="62">
        <v>1099.2</v>
      </c>
      <c r="D38" s="60">
        <v>1</v>
      </c>
      <c r="E38" s="63">
        <f t="shared" si="2"/>
        <v>7.0023379214680848</v>
      </c>
      <c r="F38" s="60" t="str">
        <f t="shared" si="3"/>
        <v>Falla</v>
      </c>
    </row>
    <row r="39" spans="1:6" ht="14.5" x14ac:dyDescent="0.35">
      <c r="A39" s="60">
        <v>35</v>
      </c>
      <c r="B39" s="60" t="s">
        <v>11</v>
      </c>
      <c r="C39" s="62">
        <v>1978.3</v>
      </c>
      <c r="D39" s="60">
        <v>1</v>
      </c>
      <c r="E39" s="63">
        <f t="shared" si="2"/>
        <v>7.5899931690340461</v>
      </c>
      <c r="F39" s="60" t="str">
        <f t="shared" si="3"/>
        <v>Falla</v>
      </c>
    </row>
    <row r="40" spans="1:6" ht="14.5" x14ac:dyDescent="0.35">
      <c r="A40" s="60">
        <v>36</v>
      </c>
      <c r="B40" s="60" t="s">
        <v>13</v>
      </c>
      <c r="C40" s="62">
        <v>2186.8000000000002</v>
      </c>
      <c r="D40" s="60">
        <v>1</v>
      </c>
      <c r="E40" s="63">
        <f t="shared" si="2"/>
        <v>7.6901945670208445</v>
      </c>
      <c r="F40" s="60" t="str">
        <f t="shared" si="3"/>
        <v>Falla</v>
      </c>
    </row>
    <row r="41" spans="1:6" ht="14.5" x14ac:dyDescent="0.35">
      <c r="A41" s="60">
        <v>37</v>
      </c>
      <c r="B41" s="60" t="s">
        <v>13</v>
      </c>
      <c r="C41" s="62">
        <v>2189.6999999999998</v>
      </c>
      <c r="D41" s="60">
        <v>0</v>
      </c>
      <c r="E41" s="63">
        <f t="shared" si="2"/>
        <v>7.6915198271256964</v>
      </c>
      <c r="F41" s="60" t="str">
        <f t="shared" si="3"/>
        <v>Censurado (sigue operando)</v>
      </c>
    </row>
    <row r="42" spans="1:6" ht="14.5" x14ac:dyDescent="0.35">
      <c r="A42" s="60">
        <v>38</v>
      </c>
      <c r="B42" s="60" t="s">
        <v>13</v>
      </c>
      <c r="C42" s="62">
        <v>4227.1000000000004</v>
      </c>
      <c r="D42" s="60">
        <v>1</v>
      </c>
      <c r="E42" s="63">
        <f t="shared" si="2"/>
        <v>8.3492714577272213</v>
      </c>
      <c r="F42" s="60" t="str">
        <f t="shared" si="3"/>
        <v>Falla</v>
      </c>
    </row>
    <row r="43" spans="1:6" ht="14.5" x14ac:dyDescent="0.35">
      <c r="A43" s="60">
        <v>39</v>
      </c>
      <c r="B43" s="60" t="s">
        <v>21</v>
      </c>
      <c r="C43" s="62">
        <v>5960.9</v>
      </c>
      <c r="D43" s="60">
        <v>1</v>
      </c>
      <c r="E43" s="63">
        <f t="shared" si="2"/>
        <v>8.6929767553704398</v>
      </c>
      <c r="F43" s="60" t="str">
        <f t="shared" si="3"/>
        <v>Falla</v>
      </c>
    </row>
    <row r="44" spans="1:6" ht="14.5" x14ac:dyDescent="0.35">
      <c r="A44" s="60">
        <v>40</v>
      </c>
      <c r="B44" s="60" t="s">
        <v>11</v>
      </c>
      <c r="C44" s="62">
        <v>1528.3</v>
      </c>
      <c r="D44" s="60">
        <v>0</v>
      </c>
      <c r="E44" s="63">
        <f t="shared" si="2"/>
        <v>7.3319112855337902</v>
      </c>
      <c r="F44" s="60" t="str">
        <f t="shared" si="3"/>
        <v>Censurado (sigue operando)</v>
      </c>
    </row>
    <row r="45" spans="1:6" ht="14.5" x14ac:dyDescent="0.35">
      <c r="A45" s="60">
        <v>41</v>
      </c>
      <c r="B45" s="60" t="s">
        <v>17</v>
      </c>
      <c r="C45" s="62">
        <v>5388.6</v>
      </c>
      <c r="D45" s="60">
        <v>1</v>
      </c>
      <c r="E45" s="63">
        <f t="shared" si="2"/>
        <v>8.5920408899049594</v>
      </c>
      <c r="F45" s="60" t="str">
        <f t="shared" si="3"/>
        <v>Falla</v>
      </c>
    </row>
    <row r="46" spans="1:6" ht="14.5" x14ac:dyDescent="0.35">
      <c r="A46" s="60">
        <v>42</v>
      </c>
      <c r="B46" s="60" t="s">
        <v>21</v>
      </c>
      <c r="C46" s="62">
        <v>3746</v>
      </c>
      <c r="D46" s="60">
        <v>1</v>
      </c>
      <c r="E46" s="63">
        <f t="shared" si="2"/>
        <v>8.228443883004033</v>
      </c>
      <c r="F46" s="60" t="str">
        <f t="shared" si="3"/>
        <v>Falla</v>
      </c>
    </row>
    <row r="47" spans="1:6" ht="14.5" x14ac:dyDescent="0.35">
      <c r="A47" s="60">
        <v>43</v>
      </c>
      <c r="B47" s="60" t="s">
        <v>11</v>
      </c>
      <c r="C47" s="62">
        <v>4231.7</v>
      </c>
      <c r="D47" s="60">
        <v>1</v>
      </c>
      <c r="E47" s="63">
        <f t="shared" si="2"/>
        <v>8.3503590825566203</v>
      </c>
      <c r="F47" s="60" t="str">
        <f t="shared" si="3"/>
        <v>Falla</v>
      </c>
    </row>
    <row r="48" spans="1:6" ht="14.5" x14ac:dyDescent="0.35">
      <c r="A48" s="60">
        <v>44</v>
      </c>
      <c r="B48" s="60" t="s">
        <v>22</v>
      </c>
      <c r="C48" s="62">
        <v>1441.9</v>
      </c>
      <c r="D48" s="60">
        <v>1</v>
      </c>
      <c r="E48" s="63">
        <f t="shared" si="2"/>
        <v>7.273716967312601</v>
      </c>
      <c r="F48" s="60" t="str">
        <f t="shared" si="3"/>
        <v>Falla</v>
      </c>
    </row>
    <row r="49" spans="1:6" ht="14.5" x14ac:dyDescent="0.35">
      <c r="A49" s="60">
        <v>45</v>
      </c>
      <c r="B49" s="60" t="s">
        <v>11</v>
      </c>
      <c r="C49" s="62">
        <v>5578.7</v>
      </c>
      <c r="D49" s="60">
        <v>1</v>
      </c>
      <c r="E49" s="63">
        <f t="shared" si="2"/>
        <v>8.6267110533220919</v>
      </c>
      <c r="F49" s="60" t="str">
        <f t="shared" si="3"/>
        <v>Falla</v>
      </c>
    </row>
    <row r="50" spans="1:6" ht="14.5" x14ac:dyDescent="0.35">
      <c r="A50" s="60">
        <v>46</v>
      </c>
      <c r="B50" s="60" t="s">
        <v>13</v>
      </c>
      <c r="C50" s="62">
        <v>3069.7</v>
      </c>
      <c r="D50" s="60">
        <v>1</v>
      </c>
      <c r="E50" s="63">
        <f t="shared" si="2"/>
        <v>8.0293351159366377</v>
      </c>
      <c r="F50" s="60" t="str">
        <f t="shared" si="3"/>
        <v>Falla</v>
      </c>
    </row>
    <row r="51" spans="1:6" ht="14.5" x14ac:dyDescent="0.35">
      <c r="A51" s="60">
        <v>47</v>
      </c>
      <c r="B51" s="60" t="s">
        <v>22</v>
      </c>
      <c r="C51" s="62">
        <v>6276.6</v>
      </c>
      <c r="D51" s="60">
        <v>1</v>
      </c>
      <c r="E51" s="63">
        <f t="shared" si="2"/>
        <v>8.7445837115777696</v>
      </c>
      <c r="F51" s="60" t="str">
        <f t="shared" si="3"/>
        <v>Falla</v>
      </c>
    </row>
    <row r="52" spans="1:6" ht="14.5" x14ac:dyDescent="0.35">
      <c r="A52" s="60">
        <v>48</v>
      </c>
      <c r="B52" s="60" t="s">
        <v>22</v>
      </c>
      <c r="C52" s="62">
        <v>9165.7000000000007</v>
      </c>
      <c r="D52" s="60">
        <v>0</v>
      </c>
      <c r="E52" s="63">
        <f t="shared" si="2"/>
        <v>9.1232235348803776</v>
      </c>
      <c r="F52" s="60" t="str">
        <f t="shared" si="3"/>
        <v>Censurado (sigue operando)</v>
      </c>
    </row>
    <row r="53" spans="1:6" ht="14.5" x14ac:dyDescent="0.35">
      <c r="A53" s="60">
        <v>49</v>
      </c>
      <c r="B53" s="60" t="s">
        <v>17</v>
      </c>
      <c r="C53" s="62">
        <v>602</v>
      </c>
      <c r="D53" s="60">
        <v>1</v>
      </c>
      <c r="E53" s="63">
        <f t="shared" si="2"/>
        <v>6.4002574453088208</v>
      </c>
      <c r="F53" s="60" t="str">
        <f t="shared" si="3"/>
        <v>Falla</v>
      </c>
    </row>
    <row r="54" spans="1:6" ht="14.5" x14ac:dyDescent="0.35">
      <c r="A54" s="60">
        <v>50</v>
      </c>
      <c r="B54" s="60" t="s">
        <v>22</v>
      </c>
      <c r="C54" s="62">
        <v>2840.9</v>
      </c>
      <c r="D54" s="60">
        <v>0</v>
      </c>
      <c r="E54" s="63">
        <f t="shared" si="2"/>
        <v>7.9518761823610573</v>
      </c>
      <c r="F54" s="60" t="str">
        <f t="shared" si="3"/>
        <v>Censurado (sigue operando)</v>
      </c>
    </row>
    <row r="55" spans="1:6" ht="14.5" x14ac:dyDescent="0.35">
      <c r="A55" s="60">
        <v>51</v>
      </c>
      <c r="B55" s="60" t="s">
        <v>22</v>
      </c>
      <c r="C55" s="62">
        <v>4825.8999999999996</v>
      </c>
      <c r="D55" s="60">
        <v>1</v>
      </c>
      <c r="E55" s="63">
        <f t="shared" si="2"/>
        <v>8.4817525248762191</v>
      </c>
      <c r="F55" s="60" t="str">
        <f t="shared" si="3"/>
        <v>Falla</v>
      </c>
    </row>
    <row r="56" spans="1:6" ht="14.5" x14ac:dyDescent="0.35">
      <c r="A56" s="60">
        <v>52</v>
      </c>
      <c r="B56" s="60" t="s">
        <v>17</v>
      </c>
      <c r="C56" s="62">
        <v>3079.7</v>
      </c>
      <c r="D56" s="60">
        <v>0</v>
      </c>
      <c r="E56" s="63">
        <f t="shared" si="2"/>
        <v>8.0325874686262768</v>
      </c>
      <c r="F56" s="60" t="str">
        <f t="shared" si="3"/>
        <v>Censurado (sigue operando)</v>
      </c>
    </row>
    <row r="57" spans="1:6" ht="14.5" x14ac:dyDescent="0.35">
      <c r="A57" s="60">
        <v>53</v>
      </c>
      <c r="B57" s="60" t="s">
        <v>11</v>
      </c>
      <c r="C57" s="62">
        <v>3944</v>
      </c>
      <c r="D57" s="60">
        <v>1</v>
      </c>
      <c r="E57" s="63">
        <f t="shared" si="2"/>
        <v>8.2799507157225261</v>
      </c>
      <c r="F57" s="60" t="str">
        <f t="shared" si="3"/>
        <v>Falla</v>
      </c>
    </row>
    <row r="58" spans="1:6" ht="14.5" x14ac:dyDescent="0.35">
      <c r="A58" s="60">
        <v>54</v>
      </c>
      <c r="B58" s="60" t="s">
        <v>17</v>
      </c>
      <c r="C58" s="62">
        <v>7354.4</v>
      </c>
      <c r="D58" s="60">
        <v>1</v>
      </c>
      <c r="E58" s="63">
        <f t="shared" si="2"/>
        <v>8.9030540525495443</v>
      </c>
      <c r="F58" s="60" t="str">
        <f t="shared" si="3"/>
        <v>Falla</v>
      </c>
    </row>
    <row r="59" spans="1:6" ht="14.5" x14ac:dyDescent="0.35">
      <c r="A59" s="60">
        <v>55</v>
      </c>
      <c r="B59" s="60" t="s">
        <v>11</v>
      </c>
      <c r="C59" s="62">
        <v>3877.4</v>
      </c>
      <c r="D59" s="60">
        <v>1</v>
      </c>
      <c r="E59" s="63">
        <f t="shared" si="2"/>
        <v>8.262920104905108</v>
      </c>
      <c r="F59" s="60" t="str">
        <f t="shared" si="3"/>
        <v>Falla</v>
      </c>
    </row>
    <row r="60" spans="1:6" ht="14.5" x14ac:dyDescent="0.35">
      <c r="A60" s="60">
        <v>56</v>
      </c>
      <c r="B60" s="60" t="s">
        <v>11</v>
      </c>
      <c r="C60" s="62">
        <v>2448.6</v>
      </c>
      <c r="D60" s="60">
        <v>0</v>
      </c>
      <c r="E60" s="63">
        <f t="shared" si="2"/>
        <v>7.8032717116398151</v>
      </c>
      <c r="F60" s="60" t="str">
        <f t="shared" si="3"/>
        <v>Censurado (sigue operando)</v>
      </c>
    </row>
    <row r="61" spans="1:6" ht="14.5" x14ac:dyDescent="0.35">
      <c r="A61" s="60">
        <v>57</v>
      </c>
      <c r="B61" s="60" t="s">
        <v>11</v>
      </c>
      <c r="C61" s="62">
        <v>6264.4</v>
      </c>
      <c r="D61" s="60">
        <v>0</v>
      </c>
      <c r="E61" s="63">
        <f t="shared" si="2"/>
        <v>8.7426380925922782</v>
      </c>
      <c r="F61" s="60" t="str">
        <f t="shared" si="3"/>
        <v>Censurado (sigue operando)</v>
      </c>
    </row>
    <row r="62" spans="1:6" ht="14.5" x14ac:dyDescent="0.35">
      <c r="A62" s="60">
        <v>58</v>
      </c>
      <c r="B62" s="60" t="s">
        <v>13</v>
      </c>
      <c r="C62" s="62">
        <v>1077.0999999999999</v>
      </c>
      <c r="D62" s="60">
        <v>1</v>
      </c>
      <c r="E62" s="63">
        <f t="shared" si="2"/>
        <v>6.9820275233567246</v>
      </c>
      <c r="F62" s="60" t="str">
        <f t="shared" si="3"/>
        <v>Falla</v>
      </c>
    </row>
    <row r="63" spans="1:6" ht="14.5" x14ac:dyDescent="0.35">
      <c r="A63" s="60">
        <v>59</v>
      </c>
      <c r="B63" s="60" t="s">
        <v>17</v>
      </c>
      <c r="C63" s="62">
        <v>8605.7999999999993</v>
      </c>
      <c r="D63" s="60">
        <v>0</v>
      </c>
      <c r="E63" s="63">
        <f t="shared" si="2"/>
        <v>9.0601916735282231</v>
      </c>
      <c r="F63" s="60" t="str">
        <f t="shared" si="3"/>
        <v>Censurado (sigue operando)</v>
      </c>
    </row>
    <row r="64" spans="1:6" ht="14.5" x14ac:dyDescent="0.35">
      <c r="A64" s="60">
        <v>60</v>
      </c>
      <c r="B64" s="60" t="s">
        <v>17</v>
      </c>
      <c r="C64" s="62">
        <v>2447.4</v>
      </c>
      <c r="D64" s="60">
        <v>0</v>
      </c>
      <c r="E64" s="63">
        <f t="shared" si="2"/>
        <v>7.8027815155515681</v>
      </c>
      <c r="F64" s="60" t="str">
        <f t="shared" si="3"/>
        <v>Censurado (sigue operando)</v>
      </c>
    </row>
    <row r="65" spans="1:6" ht="14.5" x14ac:dyDescent="0.35">
      <c r="A65" s="60">
        <v>61</v>
      </c>
      <c r="B65" s="60" t="s">
        <v>21</v>
      </c>
      <c r="C65" s="62">
        <v>7132.8</v>
      </c>
      <c r="D65" s="60">
        <v>1</v>
      </c>
      <c r="E65" s="63">
        <f t="shared" si="2"/>
        <v>8.8724591431915503</v>
      </c>
      <c r="F65" s="60" t="str">
        <f t="shared" si="3"/>
        <v>Falla</v>
      </c>
    </row>
    <row r="66" spans="1:6" ht="14.5" x14ac:dyDescent="0.35">
      <c r="A66" s="60">
        <v>62</v>
      </c>
      <c r="B66" s="60" t="s">
        <v>17</v>
      </c>
      <c r="C66" s="62">
        <v>3811.3</v>
      </c>
      <c r="D66" s="60">
        <v>0</v>
      </c>
      <c r="E66" s="63">
        <f t="shared" si="2"/>
        <v>8.2457256172718392</v>
      </c>
      <c r="F66" s="60" t="str">
        <f t="shared" si="3"/>
        <v>Censurado (sigue operando)</v>
      </c>
    </row>
    <row r="67" spans="1:6" ht="14.5" x14ac:dyDescent="0.35">
      <c r="A67" s="60">
        <v>63</v>
      </c>
      <c r="B67" s="60" t="s">
        <v>21</v>
      </c>
      <c r="C67" s="62">
        <v>7267</v>
      </c>
      <c r="D67" s="60">
        <v>1</v>
      </c>
      <c r="E67" s="63">
        <f t="shared" si="2"/>
        <v>8.8910988306166363</v>
      </c>
      <c r="F67" s="60" t="str">
        <f t="shared" si="3"/>
        <v>Falla</v>
      </c>
    </row>
    <row r="68" spans="1:6" ht="14.5" x14ac:dyDescent="0.35">
      <c r="A68" s="60">
        <v>64</v>
      </c>
      <c r="B68" s="60" t="s">
        <v>21</v>
      </c>
      <c r="C68" s="62">
        <v>3640.6</v>
      </c>
      <c r="D68" s="60">
        <v>0</v>
      </c>
      <c r="E68" s="63">
        <f t="shared" si="2"/>
        <v>8.1999037822117984</v>
      </c>
      <c r="F68" s="60" t="str">
        <f t="shared" si="3"/>
        <v>Censurado (sigue operando)</v>
      </c>
    </row>
    <row r="69" spans="1:6" ht="14.5" x14ac:dyDescent="0.35">
      <c r="A69" s="60">
        <v>65</v>
      </c>
      <c r="B69" s="60" t="s">
        <v>11</v>
      </c>
      <c r="C69" s="62">
        <v>1360.3</v>
      </c>
      <c r="D69" s="60">
        <v>1</v>
      </c>
      <c r="E69" s="63">
        <f t="shared" ref="E69:E100" si="4">LN(C69)</f>
        <v>7.2154605426393843</v>
      </c>
      <c r="F69" s="60" t="str">
        <f t="shared" ref="F69:F100" si="5">IF(D69=1,"Falla","Censurado (sigue operando)")</f>
        <v>Falla</v>
      </c>
    </row>
    <row r="70" spans="1:6" ht="14.5" x14ac:dyDescent="0.35">
      <c r="A70" s="60">
        <v>66</v>
      </c>
      <c r="B70" s="60" t="s">
        <v>22</v>
      </c>
      <c r="C70" s="62">
        <v>1888.1</v>
      </c>
      <c r="D70" s="60">
        <v>0</v>
      </c>
      <c r="E70" s="63">
        <f t="shared" si="4"/>
        <v>7.5433263114044866</v>
      </c>
      <c r="F70" s="60" t="str">
        <f t="shared" si="5"/>
        <v>Censurado (sigue operando)</v>
      </c>
    </row>
    <row r="71" spans="1:6" ht="14.5" x14ac:dyDescent="0.35">
      <c r="A71" s="60">
        <v>67</v>
      </c>
      <c r="B71" s="60" t="s">
        <v>22</v>
      </c>
      <c r="C71" s="62">
        <v>7492.8</v>
      </c>
      <c r="D71" s="60">
        <v>0</v>
      </c>
      <c r="E71" s="63">
        <f t="shared" si="4"/>
        <v>8.921697838429278</v>
      </c>
      <c r="F71" s="60" t="str">
        <f t="shared" si="5"/>
        <v>Censurado (sigue operando)</v>
      </c>
    </row>
    <row r="72" spans="1:6" ht="14.5" x14ac:dyDescent="0.35">
      <c r="A72" s="60">
        <v>68</v>
      </c>
      <c r="B72" s="60" t="s">
        <v>22</v>
      </c>
      <c r="C72" s="62">
        <v>2450.8000000000002</v>
      </c>
      <c r="D72" s="60">
        <v>1</v>
      </c>
      <c r="E72" s="63">
        <f t="shared" si="4"/>
        <v>7.8041697808514998</v>
      </c>
      <c r="F72" s="60" t="str">
        <f t="shared" si="5"/>
        <v>Falla</v>
      </c>
    </row>
    <row r="73" spans="1:6" ht="14.5" x14ac:dyDescent="0.35">
      <c r="A73" s="60">
        <v>69</v>
      </c>
      <c r="B73" s="60" t="s">
        <v>11</v>
      </c>
      <c r="C73" s="62">
        <v>4625</v>
      </c>
      <c r="D73" s="60">
        <v>0</v>
      </c>
      <c r="E73" s="63">
        <f t="shared" si="4"/>
        <v>8.4392316499465263</v>
      </c>
      <c r="F73" s="60" t="str">
        <f t="shared" si="5"/>
        <v>Censurado (sigue operando)</v>
      </c>
    </row>
    <row r="74" spans="1:6" ht="14.5" x14ac:dyDescent="0.35">
      <c r="A74" s="60">
        <v>70</v>
      </c>
      <c r="B74" s="60" t="s">
        <v>13</v>
      </c>
      <c r="C74" s="62">
        <v>5722.6</v>
      </c>
      <c r="D74" s="60">
        <v>1</v>
      </c>
      <c r="E74" s="63">
        <f t="shared" si="4"/>
        <v>8.6521785265538984</v>
      </c>
      <c r="F74" s="60" t="str">
        <f t="shared" si="5"/>
        <v>Falla</v>
      </c>
    </row>
    <row r="75" spans="1:6" ht="14.5" x14ac:dyDescent="0.35">
      <c r="A75" s="60">
        <v>71</v>
      </c>
      <c r="B75" s="60" t="s">
        <v>11</v>
      </c>
      <c r="C75" s="62">
        <v>2289.6999999999998</v>
      </c>
      <c r="D75" s="60">
        <v>1</v>
      </c>
      <c r="E75" s="63">
        <f t="shared" si="4"/>
        <v>7.7361760835996511</v>
      </c>
      <c r="F75" s="60" t="str">
        <f t="shared" si="5"/>
        <v>Falla</v>
      </c>
    </row>
    <row r="76" spans="1:6" ht="14.5" x14ac:dyDescent="0.35">
      <c r="A76" s="60">
        <v>72</v>
      </c>
      <c r="B76" s="60" t="s">
        <v>21</v>
      </c>
      <c r="C76" s="62">
        <v>6049.4</v>
      </c>
      <c r="D76" s="60">
        <v>1</v>
      </c>
      <c r="E76" s="63">
        <f t="shared" si="4"/>
        <v>8.7077143725531467</v>
      </c>
      <c r="F76" s="60" t="str">
        <f t="shared" si="5"/>
        <v>Falla</v>
      </c>
    </row>
    <row r="77" spans="1:6" ht="14.5" x14ac:dyDescent="0.35">
      <c r="A77" s="60">
        <v>73</v>
      </c>
      <c r="B77" s="60" t="s">
        <v>13</v>
      </c>
      <c r="C77" s="62">
        <v>3131</v>
      </c>
      <c r="D77" s="60">
        <v>0</v>
      </c>
      <c r="E77" s="63">
        <f t="shared" si="4"/>
        <v>8.049107721326406</v>
      </c>
      <c r="F77" s="60" t="str">
        <f t="shared" si="5"/>
        <v>Censurado (sigue operando)</v>
      </c>
    </row>
    <row r="78" spans="1:6" ht="14.5" x14ac:dyDescent="0.35">
      <c r="A78" s="60">
        <v>74</v>
      </c>
      <c r="B78" s="60" t="s">
        <v>21</v>
      </c>
      <c r="C78" s="62">
        <v>4848.8999999999996</v>
      </c>
      <c r="D78" s="60">
        <v>0</v>
      </c>
      <c r="E78" s="63">
        <f t="shared" si="4"/>
        <v>8.4865071540838724</v>
      </c>
      <c r="F78" s="60" t="str">
        <f t="shared" si="5"/>
        <v>Censurado (sigue operando)</v>
      </c>
    </row>
    <row r="79" spans="1:6" ht="14.5" x14ac:dyDescent="0.35">
      <c r="A79" s="60">
        <v>75</v>
      </c>
      <c r="B79" s="60" t="s">
        <v>17</v>
      </c>
      <c r="C79" s="62">
        <v>3470.3</v>
      </c>
      <c r="D79" s="60">
        <v>1</v>
      </c>
      <c r="E79" s="63">
        <f t="shared" si="4"/>
        <v>8.1519963245352702</v>
      </c>
      <c r="F79" s="60" t="str">
        <f t="shared" si="5"/>
        <v>Falla</v>
      </c>
    </row>
    <row r="80" spans="1:6" ht="14.5" x14ac:dyDescent="0.35">
      <c r="A80" s="60">
        <v>76</v>
      </c>
      <c r="B80" s="60" t="s">
        <v>22</v>
      </c>
      <c r="C80" s="62">
        <v>1024.2</v>
      </c>
      <c r="D80" s="60">
        <v>0</v>
      </c>
      <c r="E80" s="63">
        <f t="shared" si="4"/>
        <v>6.9316670990284504</v>
      </c>
      <c r="F80" s="60" t="str">
        <f t="shared" si="5"/>
        <v>Censurado (sigue operando)</v>
      </c>
    </row>
    <row r="81" spans="1:6" ht="14.5" x14ac:dyDescent="0.35">
      <c r="A81" s="60">
        <v>77</v>
      </c>
      <c r="B81" s="60" t="s">
        <v>13</v>
      </c>
      <c r="C81" s="62">
        <v>4042.5</v>
      </c>
      <c r="D81" s="60">
        <v>1</v>
      </c>
      <c r="E81" s="63">
        <f t="shared" si="4"/>
        <v>8.3046185914512627</v>
      </c>
      <c r="F81" s="60" t="str">
        <f t="shared" si="5"/>
        <v>Falla</v>
      </c>
    </row>
    <row r="82" spans="1:6" ht="14.5" x14ac:dyDescent="0.35">
      <c r="A82" s="60">
        <v>78</v>
      </c>
      <c r="B82" s="60" t="s">
        <v>11</v>
      </c>
      <c r="C82" s="62">
        <v>6133</v>
      </c>
      <c r="D82" s="60">
        <v>0</v>
      </c>
      <c r="E82" s="63">
        <f t="shared" si="4"/>
        <v>8.7214393056259834</v>
      </c>
      <c r="F82" s="60" t="str">
        <f t="shared" si="5"/>
        <v>Censurado (sigue operando)</v>
      </c>
    </row>
    <row r="83" spans="1:6" ht="14.5" x14ac:dyDescent="0.35">
      <c r="A83" s="60">
        <v>79</v>
      </c>
      <c r="B83" s="60" t="s">
        <v>13</v>
      </c>
      <c r="C83" s="62">
        <v>5766.2</v>
      </c>
      <c r="D83" s="60">
        <v>1</v>
      </c>
      <c r="E83" s="63">
        <f t="shared" si="4"/>
        <v>8.6597685636876758</v>
      </c>
      <c r="F83" s="60" t="str">
        <f t="shared" si="5"/>
        <v>Falla</v>
      </c>
    </row>
    <row r="84" spans="1:6" ht="14.5" x14ac:dyDescent="0.35">
      <c r="A84" s="60">
        <v>80</v>
      </c>
      <c r="B84" s="60" t="s">
        <v>22</v>
      </c>
      <c r="C84" s="62">
        <v>3856.7</v>
      </c>
      <c r="D84" s="60">
        <v>1</v>
      </c>
      <c r="E84" s="63">
        <f t="shared" si="4"/>
        <v>8.2575671745246133</v>
      </c>
      <c r="F84" s="60" t="str">
        <f t="shared" si="5"/>
        <v>Falla</v>
      </c>
    </row>
    <row r="85" spans="1:6" ht="14.5" x14ac:dyDescent="0.35">
      <c r="A85" s="60">
        <v>81</v>
      </c>
      <c r="B85" s="60" t="s">
        <v>17</v>
      </c>
      <c r="C85" s="62">
        <v>4583.6000000000004</v>
      </c>
      <c r="D85" s="60">
        <v>1</v>
      </c>
      <c r="E85" s="63">
        <f t="shared" si="4"/>
        <v>8.4302399945522932</v>
      </c>
      <c r="F85" s="60" t="str">
        <f t="shared" si="5"/>
        <v>Falla</v>
      </c>
    </row>
    <row r="86" spans="1:6" ht="14.5" x14ac:dyDescent="0.35">
      <c r="A86" s="60">
        <v>82</v>
      </c>
      <c r="B86" s="60" t="s">
        <v>21</v>
      </c>
      <c r="C86" s="62">
        <v>1775.5</v>
      </c>
      <c r="D86" s="60">
        <v>0</v>
      </c>
      <c r="E86" s="63">
        <f t="shared" si="4"/>
        <v>7.4818373523831427</v>
      </c>
      <c r="F86" s="60" t="str">
        <f t="shared" si="5"/>
        <v>Censurado (sigue operando)</v>
      </c>
    </row>
    <row r="87" spans="1:6" ht="14.5" x14ac:dyDescent="0.35">
      <c r="A87" s="60">
        <v>83</v>
      </c>
      <c r="B87" s="60" t="s">
        <v>11</v>
      </c>
      <c r="C87" s="62">
        <v>2935.3</v>
      </c>
      <c r="D87" s="60">
        <v>0</v>
      </c>
      <c r="E87" s="63">
        <f t="shared" si="4"/>
        <v>7.9845649416894018</v>
      </c>
      <c r="F87" s="60" t="str">
        <f t="shared" si="5"/>
        <v>Censurado (sigue operando)</v>
      </c>
    </row>
    <row r="88" spans="1:6" ht="14.5" x14ac:dyDescent="0.35">
      <c r="A88" s="60">
        <v>84</v>
      </c>
      <c r="B88" s="60" t="s">
        <v>11</v>
      </c>
      <c r="C88" s="62">
        <v>4618</v>
      </c>
      <c r="D88" s="60">
        <v>1</v>
      </c>
      <c r="E88" s="63">
        <f t="shared" si="4"/>
        <v>8.4377169899144402</v>
      </c>
      <c r="F88" s="60" t="str">
        <f t="shared" si="5"/>
        <v>Falla</v>
      </c>
    </row>
    <row r="89" spans="1:6" ht="14.5" x14ac:dyDescent="0.35">
      <c r="A89" s="60">
        <v>85</v>
      </c>
      <c r="B89" s="60" t="s">
        <v>22</v>
      </c>
      <c r="C89" s="62">
        <v>2790.3</v>
      </c>
      <c r="D89" s="60">
        <v>1</v>
      </c>
      <c r="E89" s="63">
        <f t="shared" si="4"/>
        <v>7.9339043959165307</v>
      </c>
      <c r="F89" s="60" t="str">
        <f t="shared" si="5"/>
        <v>Falla</v>
      </c>
    </row>
    <row r="90" spans="1:6" ht="14.5" x14ac:dyDescent="0.35">
      <c r="A90" s="60">
        <v>86</v>
      </c>
      <c r="B90" s="60" t="s">
        <v>17</v>
      </c>
      <c r="C90" s="62">
        <v>1544.6</v>
      </c>
      <c r="D90" s="60">
        <v>0</v>
      </c>
      <c r="E90" s="63">
        <f t="shared" si="4"/>
        <v>7.3425202561351632</v>
      </c>
      <c r="F90" s="60" t="str">
        <f t="shared" si="5"/>
        <v>Censurado (sigue operando)</v>
      </c>
    </row>
    <row r="91" spans="1:6" ht="14.5" x14ac:dyDescent="0.35">
      <c r="A91" s="60">
        <v>87</v>
      </c>
      <c r="B91" s="60" t="s">
        <v>11</v>
      </c>
      <c r="C91" s="62">
        <v>1615.9</v>
      </c>
      <c r="D91" s="60">
        <v>0</v>
      </c>
      <c r="E91" s="63">
        <f t="shared" si="4"/>
        <v>7.3876473559782019</v>
      </c>
      <c r="F91" s="60" t="str">
        <f t="shared" si="5"/>
        <v>Censurado (sigue operando)</v>
      </c>
    </row>
    <row r="92" spans="1:6" ht="14.5" x14ac:dyDescent="0.35">
      <c r="A92" s="60">
        <v>88</v>
      </c>
      <c r="B92" s="60" t="s">
        <v>11</v>
      </c>
      <c r="C92" s="62">
        <v>2435.6999999999998</v>
      </c>
      <c r="D92" s="60">
        <v>0</v>
      </c>
      <c r="E92" s="63">
        <f t="shared" si="4"/>
        <v>7.7979894685365103</v>
      </c>
      <c r="F92" s="60" t="str">
        <f t="shared" si="5"/>
        <v>Censurado (sigue operando)</v>
      </c>
    </row>
    <row r="93" spans="1:6" ht="14.5" x14ac:dyDescent="0.35">
      <c r="A93" s="60">
        <v>89</v>
      </c>
      <c r="B93" s="60" t="s">
        <v>13</v>
      </c>
      <c r="C93" s="62">
        <v>7523.3</v>
      </c>
      <c r="D93" s="60">
        <v>0</v>
      </c>
      <c r="E93" s="63">
        <f t="shared" si="4"/>
        <v>8.9257601504734883</v>
      </c>
      <c r="F93" s="60" t="str">
        <f t="shared" si="5"/>
        <v>Censurado (sigue operando)</v>
      </c>
    </row>
    <row r="94" spans="1:6" ht="14.5" x14ac:dyDescent="0.35">
      <c r="A94" s="60">
        <v>90</v>
      </c>
      <c r="B94" s="60" t="s">
        <v>13</v>
      </c>
      <c r="C94" s="62">
        <v>1472.7</v>
      </c>
      <c r="D94" s="60">
        <v>1</v>
      </c>
      <c r="E94" s="63">
        <f t="shared" si="4"/>
        <v>7.2948527297321162</v>
      </c>
      <c r="F94" s="60" t="str">
        <f t="shared" si="5"/>
        <v>Falla</v>
      </c>
    </row>
    <row r="95" spans="1:6" ht="14.5" x14ac:dyDescent="0.35">
      <c r="A95" s="60">
        <v>91</v>
      </c>
      <c r="B95" s="60" t="s">
        <v>22</v>
      </c>
      <c r="C95" s="62">
        <v>4830</v>
      </c>
      <c r="D95" s="60">
        <v>0</v>
      </c>
      <c r="E95" s="63">
        <f t="shared" si="4"/>
        <v>8.482601746646619</v>
      </c>
      <c r="F95" s="60" t="str">
        <f t="shared" si="5"/>
        <v>Censurado (sigue operando)</v>
      </c>
    </row>
    <row r="96" spans="1:6" ht="14.5" x14ac:dyDescent="0.35">
      <c r="A96" s="60">
        <v>92</v>
      </c>
      <c r="B96" s="60" t="s">
        <v>13</v>
      </c>
      <c r="C96" s="62">
        <v>6198.9</v>
      </c>
      <c r="D96" s="60">
        <v>0</v>
      </c>
      <c r="E96" s="63">
        <f t="shared" si="4"/>
        <v>8.7321271359376684</v>
      </c>
      <c r="F96" s="60" t="str">
        <f t="shared" si="5"/>
        <v>Censurado (sigue operando)</v>
      </c>
    </row>
    <row r="97" spans="1:6" ht="14.5" x14ac:dyDescent="0.35">
      <c r="A97" s="60">
        <v>93</v>
      </c>
      <c r="B97" s="60" t="s">
        <v>17</v>
      </c>
      <c r="C97" s="62">
        <v>4045.9</v>
      </c>
      <c r="D97" s="60">
        <v>0</v>
      </c>
      <c r="E97" s="63">
        <f t="shared" si="4"/>
        <v>8.30545930165359</v>
      </c>
      <c r="F97" s="60" t="str">
        <f t="shared" si="5"/>
        <v>Censurado (sigue operando)</v>
      </c>
    </row>
    <row r="98" spans="1:6" ht="14.5" x14ac:dyDescent="0.35">
      <c r="A98" s="60">
        <v>94</v>
      </c>
      <c r="B98" s="60" t="s">
        <v>22</v>
      </c>
      <c r="C98" s="62">
        <v>1073.5</v>
      </c>
      <c r="D98" s="60">
        <v>0</v>
      </c>
      <c r="E98" s="63">
        <f t="shared" si="4"/>
        <v>6.9786796173188357</v>
      </c>
      <c r="F98" s="60" t="str">
        <f t="shared" si="5"/>
        <v>Censurado (sigue operando)</v>
      </c>
    </row>
    <row r="99" spans="1:6" ht="14.5" x14ac:dyDescent="0.35">
      <c r="A99" s="60">
        <v>95</v>
      </c>
      <c r="B99" s="60" t="s">
        <v>21</v>
      </c>
      <c r="C99" s="62">
        <v>1240.7</v>
      </c>
      <c r="D99" s="60">
        <v>0</v>
      </c>
      <c r="E99" s="63">
        <f t="shared" si="4"/>
        <v>7.1234310154488263</v>
      </c>
      <c r="F99" s="60" t="str">
        <f t="shared" si="5"/>
        <v>Censurado (sigue operando)</v>
      </c>
    </row>
    <row r="100" spans="1:6" ht="14.5" x14ac:dyDescent="0.35">
      <c r="A100" s="60">
        <v>96</v>
      </c>
      <c r="B100" s="60" t="s">
        <v>17</v>
      </c>
      <c r="C100" s="62">
        <v>2110.6</v>
      </c>
      <c r="D100" s="60">
        <v>1</v>
      </c>
      <c r="E100" s="63">
        <f t="shared" si="4"/>
        <v>7.6547275462369901</v>
      </c>
      <c r="F100" s="60" t="str">
        <f t="shared" si="5"/>
        <v>Falla</v>
      </c>
    </row>
    <row r="101" spans="1:6" ht="14.5" x14ac:dyDescent="0.35">
      <c r="A101" s="60">
        <v>97</v>
      </c>
      <c r="B101" s="60" t="s">
        <v>13</v>
      </c>
      <c r="C101" s="62">
        <v>3262.9</v>
      </c>
      <c r="D101" s="60">
        <v>1</v>
      </c>
      <c r="E101" s="63">
        <f t="shared" ref="E101:E132" si="6">LN(C101)</f>
        <v>8.0903716494795095</v>
      </c>
      <c r="F101" s="60" t="str">
        <f t="shared" ref="F101:F132" si="7">IF(D101=1,"Falla","Censurado (sigue operando)")</f>
        <v>Falla</v>
      </c>
    </row>
    <row r="102" spans="1:6" ht="14.5" x14ac:dyDescent="0.35">
      <c r="A102" s="60">
        <v>98</v>
      </c>
      <c r="B102" s="60" t="s">
        <v>17</v>
      </c>
      <c r="C102" s="62">
        <v>3290.7</v>
      </c>
      <c r="D102" s="60">
        <v>1</v>
      </c>
      <c r="E102" s="63">
        <f t="shared" si="6"/>
        <v>8.0988555870853975</v>
      </c>
      <c r="F102" s="60" t="str">
        <f t="shared" si="7"/>
        <v>Falla</v>
      </c>
    </row>
    <row r="103" spans="1:6" ht="14.5" x14ac:dyDescent="0.35">
      <c r="A103" s="60">
        <v>99</v>
      </c>
      <c r="B103" s="60" t="s">
        <v>13</v>
      </c>
      <c r="C103" s="62">
        <v>3629.9</v>
      </c>
      <c r="D103" s="60">
        <v>1</v>
      </c>
      <c r="E103" s="63">
        <f t="shared" si="6"/>
        <v>8.196960378670072</v>
      </c>
      <c r="F103" s="60" t="str">
        <f t="shared" si="7"/>
        <v>Falla</v>
      </c>
    </row>
    <row r="104" spans="1:6" ht="14.5" x14ac:dyDescent="0.35">
      <c r="A104" s="60">
        <v>100</v>
      </c>
      <c r="B104" s="60" t="s">
        <v>11</v>
      </c>
      <c r="C104" s="62">
        <v>3313.9</v>
      </c>
      <c r="D104" s="60">
        <v>1</v>
      </c>
      <c r="E104" s="63">
        <f t="shared" si="6"/>
        <v>8.1058810225161455</v>
      </c>
      <c r="F104" s="60" t="str">
        <f t="shared" si="7"/>
        <v>Falla</v>
      </c>
    </row>
    <row r="105" spans="1:6" ht="14.5" x14ac:dyDescent="0.35">
      <c r="A105" s="60">
        <v>101</v>
      </c>
      <c r="B105" s="60" t="s">
        <v>13</v>
      </c>
      <c r="C105" s="62">
        <v>1230.9000000000001</v>
      </c>
      <c r="D105" s="60">
        <v>1</v>
      </c>
      <c r="E105" s="63">
        <f t="shared" si="6"/>
        <v>7.1155008881162498</v>
      </c>
      <c r="F105" s="60" t="str">
        <f t="shared" si="7"/>
        <v>Falla</v>
      </c>
    </row>
    <row r="106" spans="1:6" ht="14.5" x14ac:dyDescent="0.35">
      <c r="A106" s="60">
        <v>102</v>
      </c>
      <c r="B106" s="60" t="s">
        <v>21</v>
      </c>
      <c r="C106" s="62">
        <v>2480.6</v>
      </c>
      <c r="D106" s="60">
        <v>1</v>
      </c>
      <c r="E106" s="63">
        <f t="shared" si="6"/>
        <v>7.8162557453812296</v>
      </c>
      <c r="F106" s="60" t="str">
        <f t="shared" si="7"/>
        <v>Falla</v>
      </c>
    </row>
    <row r="107" spans="1:6" ht="14.5" x14ac:dyDescent="0.35">
      <c r="A107" s="60">
        <v>103</v>
      </c>
      <c r="B107" s="60" t="s">
        <v>13</v>
      </c>
      <c r="C107" s="62">
        <v>4533.2</v>
      </c>
      <c r="D107" s="60">
        <v>1</v>
      </c>
      <c r="E107" s="63">
        <f t="shared" si="6"/>
        <v>8.4191833708587929</v>
      </c>
      <c r="F107" s="60" t="str">
        <f t="shared" si="7"/>
        <v>Falla</v>
      </c>
    </row>
    <row r="108" spans="1:6" ht="14.5" x14ac:dyDescent="0.35">
      <c r="A108" s="60">
        <v>104</v>
      </c>
      <c r="B108" s="60" t="s">
        <v>17</v>
      </c>
      <c r="C108" s="62">
        <v>3509.4</v>
      </c>
      <c r="D108" s="60">
        <v>1</v>
      </c>
      <c r="E108" s="63">
        <f t="shared" si="6"/>
        <v>8.1632003616770348</v>
      </c>
      <c r="F108" s="60" t="str">
        <f t="shared" si="7"/>
        <v>Falla</v>
      </c>
    </row>
    <row r="109" spans="1:6" ht="14.5" x14ac:dyDescent="0.35">
      <c r="A109" s="60">
        <v>105</v>
      </c>
      <c r="B109" s="60" t="s">
        <v>22</v>
      </c>
      <c r="C109" s="62">
        <v>2411.5</v>
      </c>
      <c r="D109" s="60">
        <v>1</v>
      </c>
      <c r="E109" s="63">
        <f t="shared" si="6"/>
        <v>7.7880042395090268</v>
      </c>
      <c r="F109" s="60" t="str">
        <f t="shared" si="7"/>
        <v>Falla</v>
      </c>
    </row>
    <row r="110" spans="1:6" ht="14.5" x14ac:dyDescent="0.35">
      <c r="A110" s="60">
        <v>106</v>
      </c>
      <c r="B110" s="60" t="s">
        <v>22</v>
      </c>
      <c r="C110" s="62">
        <v>5595.9</v>
      </c>
      <c r="D110" s="60">
        <v>1</v>
      </c>
      <c r="E110" s="63">
        <f t="shared" si="6"/>
        <v>8.6297894657186269</v>
      </c>
      <c r="F110" s="60" t="str">
        <f t="shared" si="7"/>
        <v>Falla</v>
      </c>
    </row>
    <row r="111" spans="1:6" ht="14.5" x14ac:dyDescent="0.35">
      <c r="A111" s="60">
        <v>107</v>
      </c>
      <c r="B111" s="60" t="s">
        <v>13</v>
      </c>
      <c r="C111" s="62">
        <v>1472.8</v>
      </c>
      <c r="D111" s="60">
        <v>0</v>
      </c>
      <c r="E111" s="63">
        <f t="shared" si="6"/>
        <v>7.2949206299188685</v>
      </c>
      <c r="F111" s="60" t="str">
        <f t="shared" si="7"/>
        <v>Censurado (sigue operando)</v>
      </c>
    </row>
    <row r="112" spans="1:6" ht="14.5" x14ac:dyDescent="0.35">
      <c r="A112" s="60">
        <v>108</v>
      </c>
      <c r="B112" s="60" t="s">
        <v>21</v>
      </c>
      <c r="C112" s="62">
        <v>6036.1</v>
      </c>
      <c r="D112" s="60">
        <v>1</v>
      </c>
      <c r="E112" s="63">
        <f t="shared" si="6"/>
        <v>8.7055133870135926</v>
      </c>
      <c r="F112" s="60" t="str">
        <f t="shared" si="7"/>
        <v>Falla</v>
      </c>
    </row>
    <row r="113" spans="1:6" ht="14.5" x14ac:dyDescent="0.35">
      <c r="A113" s="60">
        <v>109</v>
      </c>
      <c r="B113" s="60" t="s">
        <v>17</v>
      </c>
      <c r="C113" s="62">
        <v>4118.5</v>
      </c>
      <c r="D113" s="60">
        <v>1</v>
      </c>
      <c r="E113" s="63">
        <f t="shared" si="6"/>
        <v>8.3232442983813026</v>
      </c>
      <c r="F113" s="60" t="str">
        <f t="shared" si="7"/>
        <v>Falla</v>
      </c>
    </row>
    <row r="114" spans="1:6" ht="14.5" x14ac:dyDescent="0.35">
      <c r="A114" s="60">
        <v>110</v>
      </c>
      <c r="B114" s="60" t="s">
        <v>21</v>
      </c>
      <c r="C114" s="62">
        <v>2167.1999999999998</v>
      </c>
      <c r="D114" s="60">
        <v>0</v>
      </c>
      <c r="E114" s="63">
        <f t="shared" si="6"/>
        <v>7.6811912907708857</v>
      </c>
      <c r="F114" s="60" t="str">
        <f t="shared" si="7"/>
        <v>Censurado (sigue operando)</v>
      </c>
    </row>
    <row r="115" spans="1:6" ht="14.5" x14ac:dyDescent="0.35">
      <c r="A115" s="60">
        <v>111</v>
      </c>
      <c r="B115" s="60" t="s">
        <v>21</v>
      </c>
      <c r="C115" s="62">
        <v>1884.7</v>
      </c>
      <c r="D115" s="60">
        <v>1</v>
      </c>
      <c r="E115" s="63">
        <f t="shared" si="6"/>
        <v>7.5415239360225819</v>
      </c>
      <c r="F115" s="60" t="str">
        <f t="shared" si="7"/>
        <v>Falla</v>
      </c>
    </row>
    <row r="116" spans="1:6" ht="14.5" x14ac:dyDescent="0.35">
      <c r="A116" s="60">
        <v>112</v>
      </c>
      <c r="B116" s="60" t="s">
        <v>22</v>
      </c>
      <c r="C116" s="62">
        <v>8811.7000000000007</v>
      </c>
      <c r="D116" s="60">
        <v>0</v>
      </c>
      <c r="E116" s="63">
        <f t="shared" si="6"/>
        <v>9.0838356628579131</v>
      </c>
      <c r="F116" s="60" t="str">
        <f t="shared" si="7"/>
        <v>Censurado (sigue operando)</v>
      </c>
    </row>
    <row r="117" spans="1:6" ht="14.5" x14ac:dyDescent="0.35">
      <c r="A117" s="60">
        <v>113</v>
      </c>
      <c r="B117" s="60" t="s">
        <v>21</v>
      </c>
      <c r="C117" s="62">
        <v>5693.9</v>
      </c>
      <c r="D117" s="60">
        <v>0</v>
      </c>
      <c r="E117" s="63">
        <f t="shared" si="6"/>
        <v>8.6471507053374328</v>
      </c>
      <c r="F117" s="60" t="str">
        <f t="shared" si="7"/>
        <v>Censurado (sigue operando)</v>
      </c>
    </row>
    <row r="118" spans="1:6" ht="14.5" x14ac:dyDescent="0.35">
      <c r="A118" s="60">
        <v>114</v>
      </c>
      <c r="B118" s="60" t="s">
        <v>11</v>
      </c>
      <c r="C118" s="62">
        <v>4669.2</v>
      </c>
      <c r="D118" s="60">
        <v>1</v>
      </c>
      <c r="E118" s="63">
        <f t="shared" si="6"/>
        <v>8.4487430297785089</v>
      </c>
      <c r="F118" s="60" t="str">
        <f t="shared" si="7"/>
        <v>Falla</v>
      </c>
    </row>
    <row r="119" spans="1:6" ht="14.5" x14ac:dyDescent="0.35">
      <c r="A119" s="60">
        <v>115</v>
      </c>
      <c r="B119" s="60" t="s">
        <v>17</v>
      </c>
      <c r="C119" s="62">
        <v>2732.7</v>
      </c>
      <c r="D119" s="60">
        <v>0</v>
      </c>
      <c r="E119" s="63">
        <f t="shared" si="6"/>
        <v>7.9130454104188734</v>
      </c>
      <c r="F119" s="60" t="str">
        <f t="shared" si="7"/>
        <v>Censurado (sigue operando)</v>
      </c>
    </row>
    <row r="120" spans="1:6" ht="14.5" x14ac:dyDescent="0.35">
      <c r="A120" s="60">
        <v>116</v>
      </c>
      <c r="B120" s="60" t="s">
        <v>21</v>
      </c>
      <c r="C120" s="62">
        <v>1728</v>
      </c>
      <c r="D120" s="60">
        <v>1</v>
      </c>
      <c r="E120" s="63">
        <f t="shared" si="6"/>
        <v>7.4547199493640006</v>
      </c>
      <c r="F120" s="60" t="str">
        <f t="shared" si="7"/>
        <v>Falla</v>
      </c>
    </row>
    <row r="121" spans="1:6" ht="14.5" x14ac:dyDescent="0.35">
      <c r="A121" s="60">
        <v>117</v>
      </c>
      <c r="B121" s="60" t="s">
        <v>17</v>
      </c>
      <c r="C121" s="62">
        <v>1265.2</v>
      </c>
      <c r="D121" s="60">
        <v>0</v>
      </c>
      <c r="E121" s="63">
        <f t="shared" si="6"/>
        <v>7.1429854914314941</v>
      </c>
      <c r="F121" s="60" t="str">
        <f t="shared" si="7"/>
        <v>Censurado (sigue operando)</v>
      </c>
    </row>
    <row r="122" spans="1:6" ht="14.5" x14ac:dyDescent="0.35">
      <c r="A122" s="60">
        <v>118</v>
      </c>
      <c r="B122" s="60" t="s">
        <v>11</v>
      </c>
      <c r="C122" s="62">
        <v>2071.6999999999998</v>
      </c>
      <c r="D122" s="60">
        <v>1</v>
      </c>
      <c r="E122" s="63">
        <f t="shared" si="6"/>
        <v>7.6361248052518427</v>
      </c>
      <c r="F122" s="60" t="str">
        <f t="shared" si="7"/>
        <v>Falla</v>
      </c>
    </row>
    <row r="123" spans="1:6" ht="14.5" x14ac:dyDescent="0.35">
      <c r="A123" s="60">
        <v>119</v>
      </c>
      <c r="B123" s="60" t="s">
        <v>21</v>
      </c>
      <c r="C123" s="62">
        <v>1670.7</v>
      </c>
      <c r="D123" s="60">
        <v>0</v>
      </c>
      <c r="E123" s="63">
        <f t="shared" si="6"/>
        <v>7.4209979792637331</v>
      </c>
      <c r="F123" s="60" t="str">
        <f t="shared" si="7"/>
        <v>Censurado (sigue operando)</v>
      </c>
    </row>
    <row r="124" spans="1:6" ht="14.5" x14ac:dyDescent="0.35">
      <c r="A124" s="60">
        <v>120</v>
      </c>
      <c r="B124" s="60" t="s">
        <v>17</v>
      </c>
      <c r="C124" s="62">
        <v>4855.8</v>
      </c>
      <c r="D124" s="60">
        <v>1</v>
      </c>
      <c r="E124" s="63">
        <f t="shared" si="6"/>
        <v>8.4879291457297104</v>
      </c>
      <c r="F124" s="60" t="str">
        <f t="shared" si="7"/>
        <v>Falla</v>
      </c>
    </row>
    <row r="125" spans="1:6" ht="14.5" x14ac:dyDescent="0.35">
      <c r="A125" s="60">
        <v>121</v>
      </c>
      <c r="B125" s="60" t="s">
        <v>17</v>
      </c>
      <c r="C125" s="62">
        <v>1821.5</v>
      </c>
      <c r="D125" s="60">
        <v>0</v>
      </c>
      <c r="E125" s="63">
        <f t="shared" si="6"/>
        <v>7.5074156164486183</v>
      </c>
      <c r="F125" s="60" t="str">
        <f t="shared" si="7"/>
        <v>Censurado (sigue operando)</v>
      </c>
    </row>
    <row r="126" spans="1:6" ht="14.5" x14ac:dyDescent="0.35">
      <c r="A126" s="60">
        <v>122</v>
      </c>
      <c r="B126" s="60" t="s">
        <v>13</v>
      </c>
      <c r="C126" s="62">
        <v>5102</v>
      </c>
      <c r="D126" s="60">
        <v>1</v>
      </c>
      <c r="E126" s="63">
        <f t="shared" si="6"/>
        <v>8.5373878987017573</v>
      </c>
      <c r="F126" s="60" t="str">
        <f t="shared" si="7"/>
        <v>Falla</v>
      </c>
    </row>
    <row r="127" spans="1:6" ht="14.5" x14ac:dyDescent="0.35">
      <c r="A127" s="60">
        <v>123</v>
      </c>
      <c r="B127" s="60" t="s">
        <v>17</v>
      </c>
      <c r="C127" s="62">
        <v>707.6</v>
      </c>
      <c r="D127" s="60">
        <v>1</v>
      </c>
      <c r="E127" s="63">
        <f t="shared" si="6"/>
        <v>6.5618789622856299</v>
      </c>
      <c r="F127" s="60" t="str">
        <f t="shared" si="7"/>
        <v>Falla</v>
      </c>
    </row>
    <row r="128" spans="1:6" ht="14.5" x14ac:dyDescent="0.35">
      <c r="A128" s="60">
        <v>124</v>
      </c>
      <c r="B128" s="60" t="s">
        <v>13</v>
      </c>
      <c r="C128" s="62">
        <v>2396.1999999999998</v>
      </c>
      <c r="D128" s="60">
        <v>1</v>
      </c>
      <c r="E128" s="63">
        <f t="shared" si="6"/>
        <v>7.781639428205799</v>
      </c>
      <c r="F128" s="60" t="str">
        <f t="shared" si="7"/>
        <v>Falla</v>
      </c>
    </row>
    <row r="129" spans="1:6" ht="14.5" x14ac:dyDescent="0.35">
      <c r="A129" s="60">
        <v>125</v>
      </c>
      <c r="B129" s="60" t="s">
        <v>17</v>
      </c>
      <c r="C129" s="62">
        <v>2302.4</v>
      </c>
      <c r="D129" s="60">
        <v>1</v>
      </c>
      <c r="E129" s="63">
        <f t="shared" si="6"/>
        <v>7.7417073361331035</v>
      </c>
      <c r="F129" s="60" t="str">
        <f t="shared" si="7"/>
        <v>Falla</v>
      </c>
    </row>
    <row r="130" spans="1:6" ht="14.5" x14ac:dyDescent="0.35">
      <c r="A130" s="60">
        <v>126</v>
      </c>
      <c r="B130" s="60" t="s">
        <v>13</v>
      </c>
      <c r="C130" s="62">
        <v>5177</v>
      </c>
      <c r="D130" s="60">
        <v>1</v>
      </c>
      <c r="E130" s="63">
        <f t="shared" si="6"/>
        <v>8.5519810169019017</v>
      </c>
      <c r="F130" s="60" t="str">
        <f t="shared" si="7"/>
        <v>Falla</v>
      </c>
    </row>
    <row r="131" spans="1:6" ht="14.5" x14ac:dyDescent="0.35">
      <c r="A131" s="60">
        <v>127</v>
      </c>
      <c r="B131" s="60" t="s">
        <v>11</v>
      </c>
      <c r="C131" s="62">
        <v>3591.9</v>
      </c>
      <c r="D131" s="60">
        <v>1</v>
      </c>
      <c r="E131" s="63">
        <f t="shared" si="6"/>
        <v>8.1864365893909081</v>
      </c>
      <c r="F131" s="60" t="str">
        <f t="shared" si="7"/>
        <v>Falla</v>
      </c>
    </row>
    <row r="132" spans="1:6" ht="14.5" x14ac:dyDescent="0.35">
      <c r="A132" s="60">
        <v>128</v>
      </c>
      <c r="B132" s="60" t="s">
        <v>22</v>
      </c>
      <c r="C132" s="62">
        <v>3033.6</v>
      </c>
      <c r="D132" s="60">
        <v>0</v>
      </c>
      <c r="E132" s="63">
        <f t="shared" si="6"/>
        <v>8.0175053120607025</v>
      </c>
      <c r="F132" s="60" t="str">
        <f t="shared" si="7"/>
        <v>Censurado (sigue operando)</v>
      </c>
    </row>
    <row r="133" spans="1:6" ht="14.5" x14ac:dyDescent="0.35">
      <c r="A133" s="60">
        <v>129</v>
      </c>
      <c r="B133" s="60" t="s">
        <v>17</v>
      </c>
      <c r="C133" s="62">
        <v>4387</v>
      </c>
      <c r="D133" s="60">
        <v>1</v>
      </c>
      <c r="E133" s="63">
        <f t="shared" ref="E133:E164" si="8">LN(C133)</f>
        <v>8.3864009011662137</v>
      </c>
      <c r="F133" s="60" t="str">
        <f t="shared" ref="F133:F164" si="9">IF(D133=1,"Falla","Censurado (sigue operando)")</f>
        <v>Falla</v>
      </c>
    </row>
    <row r="134" spans="1:6" ht="14.5" x14ac:dyDescent="0.35">
      <c r="A134" s="60">
        <v>130</v>
      </c>
      <c r="B134" s="60" t="s">
        <v>17</v>
      </c>
      <c r="C134" s="62">
        <v>4302.3999999999996</v>
      </c>
      <c r="D134" s="60">
        <v>1</v>
      </c>
      <c r="E134" s="63">
        <f t="shared" si="8"/>
        <v>8.3669282855146001</v>
      </c>
      <c r="F134" s="60" t="str">
        <f t="shared" si="9"/>
        <v>Falla</v>
      </c>
    </row>
    <row r="135" spans="1:6" ht="14.5" x14ac:dyDescent="0.35">
      <c r="A135" s="60">
        <v>131</v>
      </c>
      <c r="B135" s="60" t="s">
        <v>21</v>
      </c>
      <c r="C135" s="62">
        <v>8053.9</v>
      </c>
      <c r="D135" s="60">
        <v>0</v>
      </c>
      <c r="E135" s="63">
        <f t="shared" si="8"/>
        <v>8.9939117251436045</v>
      </c>
      <c r="F135" s="60" t="str">
        <f t="shared" si="9"/>
        <v>Censurado (sigue operando)</v>
      </c>
    </row>
    <row r="136" spans="1:6" ht="14.5" x14ac:dyDescent="0.35">
      <c r="A136" s="60">
        <v>132</v>
      </c>
      <c r="B136" s="60" t="s">
        <v>21</v>
      </c>
      <c r="C136" s="62">
        <v>1308.3</v>
      </c>
      <c r="D136" s="60">
        <v>0</v>
      </c>
      <c r="E136" s="63">
        <f t="shared" si="8"/>
        <v>7.1764838635168307</v>
      </c>
      <c r="F136" s="60" t="str">
        <f t="shared" si="9"/>
        <v>Censurado (sigue operando)</v>
      </c>
    </row>
    <row r="137" spans="1:6" ht="14.5" x14ac:dyDescent="0.35">
      <c r="A137" s="60">
        <v>133</v>
      </c>
      <c r="B137" s="60" t="s">
        <v>22</v>
      </c>
      <c r="C137" s="62">
        <v>1442.2</v>
      </c>
      <c r="D137" s="60">
        <v>1</v>
      </c>
      <c r="E137" s="63">
        <f t="shared" si="8"/>
        <v>7.2739250044826589</v>
      </c>
      <c r="F137" s="60" t="str">
        <f t="shared" si="9"/>
        <v>Falla</v>
      </c>
    </row>
    <row r="138" spans="1:6" ht="14.5" x14ac:dyDescent="0.35">
      <c r="A138" s="60">
        <v>134</v>
      </c>
      <c r="B138" s="60" t="s">
        <v>17</v>
      </c>
      <c r="C138" s="62">
        <v>2986.6</v>
      </c>
      <c r="D138" s="60">
        <v>0</v>
      </c>
      <c r="E138" s="63">
        <f t="shared" si="8"/>
        <v>8.001890895623168</v>
      </c>
      <c r="F138" s="60" t="str">
        <f t="shared" si="9"/>
        <v>Censurado (sigue operando)</v>
      </c>
    </row>
    <row r="139" spans="1:6" ht="14.5" x14ac:dyDescent="0.35">
      <c r="A139" s="60">
        <v>135</v>
      </c>
      <c r="B139" s="60" t="s">
        <v>11</v>
      </c>
      <c r="C139" s="62">
        <v>3314.9</v>
      </c>
      <c r="D139" s="60">
        <v>1</v>
      </c>
      <c r="E139" s="63">
        <f t="shared" si="8"/>
        <v>8.1061827362524443</v>
      </c>
      <c r="F139" s="60" t="str">
        <f t="shared" si="9"/>
        <v>Falla</v>
      </c>
    </row>
    <row r="140" spans="1:6" ht="14.5" x14ac:dyDescent="0.35">
      <c r="A140" s="60">
        <v>136</v>
      </c>
      <c r="B140" s="60" t="s">
        <v>22</v>
      </c>
      <c r="C140" s="62">
        <v>1575.6</v>
      </c>
      <c r="D140" s="60">
        <v>0</v>
      </c>
      <c r="E140" s="63">
        <f t="shared" si="8"/>
        <v>7.3623914310967509</v>
      </c>
      <c r="F140" s="60" t="str">
        <f t="shared" si="9"/>
        <v>Censurado (sigue operando)</v>
      </c>
    </row>
    <row r="141" spans="1:6" ht="14.5" x14ac:dyDescent="0.35">
      <c r="A141" s="60">
        <v>137</v>
      </c>
      <c r="B141" s="60" t="s">
        <v>17</v>
      </c>
      <c r="C141" s="62">
        <v>2690.6</v>
      </c>
      <c r="D141" s="60">
        <v>1</v>
      </c>
      <c r="E141" s="63">
        <f t="shared" si="8"/>
        <v>7.8975194960514425</v>
      </c>
      <c r="F141" s="60" t="str">
        <f t="shared" si="9"/>
        <v>Falla</v>
      </c>
    </row>
    <row r="142" spans="1:6" ht="14.5" x14ac:dyDescent="0.35">
      <c r="A142" s="60">
        <v>138</v>
      </c>
      <c r="B142" s="60" t="s">
        <v>11</v>
      </c>
      <c r="C142" s="62">
        <v>3453.9</v>
      </c>
      <c r="D142" s="60">
        <v>1</v>
      </c>
      <c r="E142" s="63">
        <f t="shared" si="8"/>
        <v>8.1472593063477277</v>
      </c>
      <c r="F142" s="60" t="str">
        <f t="shared" si="9"/>
        <v>Falla</v>
      </c>
    </row>
    <row r="143" spans="1:6" ht="14.5" x14ac:dyDescent="0.35">
      <c r="A143" s="60">
        <v>139</v>
      </c>
      <c r="B143" s="60" t="s">
        <v>11</v>
      </c>
      <c r="C143" s="62">
        <v>401.7</v>
      </c>
      <c r="D143" s="60">
        <v>1</v>
      </c>
      <c r="E143" s="63">
        <f t="shared" si="8"/>
        <v>5.9957055413652363</v>
      </c>
      <c r="F143" s="60" t="str">
        <f t="shared" si="9"/>
        <v>Falla</v>
      </c>
    </row>
    <row r="144" spans="1:6" ht="14.5" x14ac:dyDescent="0.35">
      <c r="A144" s="60">
        <v>140</v>
      </c>
      <c r="B144" s="60" t="s">
        <v>21</v>
      </c>
      <c r="C144" s="62">
        <v>7937.4</v>
      </c>
      <c r="D144" s="60">
        <v>1</v>
      </c>
      <c r="E144" s="63">
        <f t="shared" si="8"/>
        <v>8.9793410446963886</v>
      </c>
      <c r="F144" s="60" t="str">
        <f t="shared" si="9"/>
        <v>Falla</v>
      </c>
    </row>
    <row r="145" spans="1:6" ht="14.5" x14ac:dyDescent="0.35">
      <c r="A145" s="60">
        <v>141</v>
      </c>
      <c r="B145" s="60" t="s">
        <v>22</v>
      </c>
      <c r="C145" s="62">
        <v>2448.5</v>
      </c>
      <c r="D145" s="60">
        <v>1</v>
      </c>
      <c r="E145" s="63">
        <f t="shared" si="8"/>
        <v>7.8032308711423717</v>
      </c>
      <c r="F145" s="60" t="str">
        <f t="shared" si="9"/>
        <v>Falla</v>
      </c>
    </row>
    <row r="146" spans="1:6" ht="14.5" x14ac:dyDescent="0.35">
      <c r="A146" s="60">
        <v>142</v>
      </c>
      <c r="B146" s="60" t="s">
        <v>13</v>
      </c>
      <c r="C146" s="62">
        <v>1922.1</v>
      </c>
      <c r="D146" s="60">
        <v>0</v>
      </c>
      <c r="E146" s="63">
        <f t="shared" si="8"/>
        <v>7.5611736173130852</v>
      </c>
      <c r="F146" s="60" t="str">
        <f t="shared" si="9"/>
        <v>Censurado (sigue operando)</v>
      </c>
    </row>
    <row r="147" spans="1:6" ht="14.5" x14ac:dyDescent="0.35">
      <c r="A147" s="60">
        <v>143</v>
      </c>
      <c r="B147" s="60" t="s">
        <v>22</v>
      </c>
      <c r="C147" s="62">
        <v>4112.6000000000004</v>
      </c>
      <c r="D147" s="60">
        <v>1</v>
      </c>
      <c r="E147" s="63">
        <f t="shared" si="8"/>
        <v>8.3218107108874175</v>
      </c>
      <c r="F147" s="60" t="str">
        <f t="shared" si="9"/>
        <v>Falla</v>
      </c>
    </row>
    <row r="148" spans="1:6" ht="14.5" x14ac:dyDescent="0.35">
      <c r="A148" s="60">
        <v>144</v>
      </c>
      <c r="B148" s="60" t="s">
        <v>21</v>
      </c>
      <c r="C148" s="62">
        <v>6816.2</v>
      </c>
      <c r="D148" s="60">
        <v>1</v>
      </c>
      <c r="E148" s="63">
        <f t="shared" si="8"/>
        <v>8.8270574108016664</v>
      </c>
      <c r="F148" s="60" t="str">
        <f t="shared" si="9"/>
        <v>Falla</v>
      </c>
    </row>
    <row r="149" spans="1:6" ht="14.5" x14ac:dyDescent="0.35">
      <c r="A149" s="60">
        <v>145</v>
      </c>
      <c r="B149" s="60" t="s">
        <v>17</v>
      </c>
      <c r="C149" s="62">
        <v>3395</v>
      </c>
      <c r="D149" s="60">
        <v>1</v>
      </c>
      <c r="E149" s="63">
        <f t="shared" si="8"/>
        <v>8.1300590399927959</v>
      </c>
      <c r="F149" s="60" t="str">
        <f t="shared" si="9"/>
        <v>Falla</v>
      </c>
    </row>
    <row r="150" spans="1:6" ht="14.5" x14ac:dyDescent="0.35">
      <c r="A150" s="60">
        <v>146</v>
      </c>
      <c r="B150" s="60" t="s">
        <v>11</v>
      </c>
      <c r="C150" s="62">
        <v>3379.7</v>
      </c>
      <c r="D150" s="60">
        <v>1</v>
      </c>
      <c r="E150" s="63">
        <f t="shared" si="8"/>
        <v>8.1255422271414446</v>
      </c>
      <c r="F150" s="60" t="str">
        <f t="shared" si="9"/>
        <v>Falla</v>
      </c>
    </row>
    <row r="151" spans="1:6" ht="14.5" x14ac:dyDescent="0.35">
      <c r="A151" s="60">
        <v>147</v>
      </c>
      <c r="B151" s="60" t="s">
        <v>22</v>
      </c>
      <c r="C151" s="62">
        <v>1642.5</v>
      </c>
      <c r="D151" s="60">
        <v>1</v>
      </c>
      <c r="E151" s="63">
        <f t="shared" si="8"/>
        <v>7.4039747503587652</v>
      </c>
      <c r="F151" s="60" t="str">
        <f t="shared" si="9"/>
        <v>Falla</v>
      </c>
    </row>
    <row r="152" spans="1:6" ht="14.5" x14ac:dyDescent="0.35">
      <c r="A152" s="60">
        <v>148</v>
      </c>
      <c r="B152" s="60" t="s">
        <v>13</v>
      </c>
      <c r="C152" s="62">
        <v>1133.3</v>
      </c>
      <c r="D152" s="60">
        <v>0</v>
      </c>
      <c r="E152" s="63">
        <f t="shared" si="8"/>
        <v>7.032889009738903</v>
      </c>
      <c r="F152" s="60" t="str">
        <f t="shared" si="9"/>
        <v>Censurado (sigue operando)</v>
      </c>
    </row>
    <row r="153" spans="1:6" ht="14.5" x14ac:dyDescent="0.35">
      <c r="A153" s="60">
        <v>149</v>
      </c>
      <c r="B153" s="60" t="s">
        <v>17</v>
      </c>
      <c r="C153" s="62">
        <v>5669.4</v>
      </c>
      <c r="D153" s="60">
        <v>1</v>
      </c>
      <c r="E153" s="63">
        <f t="shared" si="8"/>
        <v>8.642838571016636</v>
      </c>
      <c r="F153" s="60" t="str">
        <f t="shared" si="9"/>
        <v>Falla</v>
      </c>
    </row>
    <row r="154" spans="1:6" ht="14.5" x14ac:dyDescent="0.35">
      <c r="A154" s="60">
        <v>150</v>
      </c>
      <c r="B154" s="60" t="s">
        <v>22</v>
      </c>
      <c r="C154" s="62">
        <v>1196.5999999999999</v>
      </c>
      <c r="D154" s="60">
        <v>0</v>
      </c>
      <c r="E154" s="63">
        <f t="shared" si="8"/>
        <v>7.0872394809559314</v>
      </c>
      <c r="F154" s="60" t="str">
        <f t="shared" si="9"/>
        <v>Censurado (sigue operando)</v>
      </c>
    </row>
    <row r="155" spans="1:6" ht="14.5" x14ac:dyDescent="0.35">
      <c r="A155" s="60">
        <v>151</v>
      </c>
      <c r="B155" s="60" t="s">
        <v>11</v>
      </c>
      <c r="C155" s="62">
        <v>1449.1</v>
      </c>
      <c r="D155" s="60">
        <v>0</v>
      </c>
      <c r="E155" s="63">
        <f t="shared" si="8"/>
        <v>7.2786979530518785</v>
      </c>
      <c r="F155" s="60" t="str">
        <f t="shared" si="9"/>
        <v>Censurado (sigue operando)</v>
      </c>
    </row>
    <row r="156" spans="1:6" ht="14.5" x14ac:dyDescent="0.35">
      <c r="A156" s="60">
        <v>152</v>
      </c>
      <c r="B156" s="60" t="s">
        <v>11</v>
      </c>
      <c r="C156" s="62">
        <v>2686.6</v>
      </c>
      <c r="D156" s="60">
        <v>1</v>
      </c>
      <c r="E156" s="63">
        <f t="shared" si="8"/>
        <v>7.8960317326289129</v>
      </c>
      <c r="F156" s="60" t="str">
        <f t="shared" si="9"/>
        <v>Falla</v>
      </c>
    </row>
    <row r="157" spans="1:6" ht="14.5" x14ac:dyDescent="0.35">
      <c r="A157" s="60">
        <v>153</v>
      </c>
      <c r="B157" s="60" t="s">
        <v>17</v>
      </c>
      <c r="C157" s="62">
        <v>2153.1999999999998</v>
      </c>
      <c r="D157" s="60">
        <v>1</v>
      </c>
      <c r="E157" s="63">
        <f t="shared" si="8"/>
        <v>7.6747103866868018</v>
      </c>
      <c r="F157" s="60" t="str">
        <f t="shared" si="9"/>
        <v>Falla</v>
      </c>
    </row>
    <row r="158" spans="1:6" ht="14.5" x14ac:dyDescent="0.35">
      <c r="A158" s="60">
        <v>154</v>
      </c>
      <c r="B158" s="60" t="s">
        <v>11</v>
      </c>
      <c r="C158" s="62">
        <v>2673.1</v>
      </c>
      <c r="D158" s="60">
        <v>0</v>
      </c>
      <c r="E158" s="63">
        <f t="shared" si="8"/>
        <v>7.8909941265876613</v>
      </c>
      <c r="F158" s="60" t="str">
        <f t="shared" si="9"/>
        <v>Censurado (sigue operando)</v>
      </c>
    </row>
    <row r="159" spans="1:6" ht="14.5" x14ac:dyDescent="0.35">
      <c r="A159" s="60">
        <v>155</v>
      </c>
      <c r="B159" s="60" t="s">
        <v>13</v>
      </c>
      <c r="C159" s="62">
        <v>2689.4</v>
      </c>
      <c r="D159" s="60">
        <v>0</v>
      </c>
      <c r="E159" s="63">
        <f t="shared" si="8"/>
        <v>7.8970733993897699</v>
      </c>
      <c r="F159" s="60" t="str">
        <f t="shared" si="9"/>
        <v>Censurado (sigue operando)</v>
      </c>
    </row>
    <row r="160" spans="1:6" ht="14.5" x14ac:dyDescent="0.35">
      <c r="A160" s="60">
        <v>156</v>
      </c>
      <c r="B160" s="60" t="s">
        <v>11</v>
      </c>
      <c r="C160" s="62">
        <v>1900.4</v>
      </c>
      <c r="D160" s="60">
        <v>1</v>
      </c>
      <c r="E160" s="63">
        <f t="shared" si="8"/>
        <v>7.5498196693127664</v>
      </c>
      <c r="F160" s="60" t="str">
        <f t="shared" si="9"/>
        <v>Falla</v>
      </c>
    </row>
    <row r="161" spans="1:6" ht="14.5" x14ac:dyDescent="0.35">
      <c r="A161" s="60">
        <v>157</v>
      </c>
      <c r="B161" s="60" t="s">
        <v>11</v>
      </c>
      <c r="C161" s="62">
        <v>2953</v>
      </c>
      <c r="D161" s="60">
        <v>0</v>
      </c>
      <c r="E161" s="63">
        <f t="shared" si="8"/>
        <v>7.9905768817439231</v>
      </c>
      <c r="F161" s="60" t="str">
        <f t="shared" si="9"/>
        <v>Censurado (sigue operando)</v>
      </c>
    </row>
    <row r="162" spans="1:6" ht="14.5" x14ac:dyDescent="0.35">
      <c r="A162" s="60">
        <v>158</v>
      </c>
      <c r="B162" s="60" t="s">
        <v>17</v>
      </c>
      <c r="C162" s="62">
        <v>820.7</v>
      </c>
      <c r="D162" s="60">
        <v>1</v>
      </c>
      <c r="E162" s="63">
        <f t="shared" si="8"/>
        <v>6.7101576346356664</v>
      </c>
      <c r="F162" s="60" t="str">
        <f t="shared" si="9"/>
        <v>Falla</v>
      </c>
    </row>
    <row r="163" spans="1:6" ht="14.5" x14ac:dyDescent="0.35">
      <c r="A163" s="60">
        <v>159</v>
      </c>
      <c r="B163" s="60" t="s">
        <v>21</v>
      </c>
      <c r="C163" s="62">
        <v>6618.6</v>
      </c>
      <c r="D163" s="60">
        <v>0</v>
      </c>
      <c r="E163" s="63">
        <f t="shared" si="8"/>
        <v>8.7976391462033909</v>
      </c>
      <c r="F163" s="60" t="str">
        <f t="shared" si="9"/>
        <v>Censurado (sigue operando)</v>
      </c>
    </row>
    <row r="164" spans="1:6" ht="14.5" x14ac:dyDescent="0.35">
      <c r="A164" s="60">
        <v>160</v>
      </c>
      <c r="B164" s="60" t="s">
        <v>22</v>
      </c>
      <c r="C164" s="62">
        <v>3046.4</v>
      </c>
      <c r="D164" s="60">
        <v>1</v>
      </c>
      <c r="E164" s="63">
        <f t="shared" si="8"/>
        <v>8.0217158445970469</v>
      </c>
      <c r="F164" s="60" t="str">
        <f t="shared" si="9"/>
        <v>Falla</v>
      </c>
    </row>
    <row r="165" spans="1:6" ht="14.5" x14ac:dyDescent="0.35">
      <c r="A165" s="60">
        <v>161</v>
      </c>
      <c r="B165" s="60" t="s">
        <v>17</v>
      </c>
      <c r="C165" s="62">
        <v>1758.9</v>
      </c>
      <c r="D165" s="60">
        <v>0</v>
      </c>
      <c r="E165" s="63">
        <f t="shared" ref="E165:E196" si="10">LN(C165)</f>
        <v>7.472443892638279</v>
      </c>
      <c r="F165" s="60" t="str">
        <f t="shared" ref="F165:F196" si="11">IF(D165=1,"Falla","Censurado (sigue operando)")</f>
        <v>Censurado (sigue operando)</v>
      </c>
    </row>
    <row r="166" spans="1:6" ht="14.5" x14ac:dyDescent="0.35">
      <c r="A166" s="60">
        <v>162</v>
      </c>
      <c r="B166" s="60" t="s">
        <v>22</v>
      </c>
      <c r="C166" s="62">
        <v>3433.4</v>
      </c>
      <c r="D166" s="60">
        <v>0</v>
      </c>
      <c r="E166" s="63">
        <f t="shared" si="10"/>
        <v>8.1413063028368295</v>
      </c>
      <c r="F166" s="60" t="str">
        <f t="shared" si="11"/>
        <v>Censurado (sigue operando)</v>
      </c>
    </row>
    <row r="167" spans="1:6" ht="14.5" x14ac:dyDescent="0.35">
      <c r="A167" s="60">
        <v>163</v>
      </c>
      <c r="B167" s="60" t="s">
        <v>13</v>
      </c>
      <c r="C167" s="62">
        <v>5211.8999999999996</v>
      </c>
      <c r="D167" s="60">
        <v>0</v>
      </c>
      <c r="E167" s="63">
        <f t="shared" si="10"/>
        <v>8.5586997515679641</v>
      </c>
      <c r="F167" s="60" t="str">
        <f t="shared" si="11"/>
        <v>Censurado (sigue operando)</v>
      </c>
    </row>
    <row r="168" spans="1:6" ht="14.5" x14ac:dyDescent="0.35">
      <c r="A168" s="60">
        <v>164</v>
      </c>
      <c r="B168" s="60" t="s">
        <v>11</v>
      </c>
      <c r="C168" s="62">
        <v>2009.2</v>
      </c>
      <c r="D168" s="60">
        <v>1</v>
      </c>
      <c r="E168" s="63">
        <f t="shared" si="10"/>
        <v>7.6054919118758892</v>
      </c>
      <c r="F168" s="60" t="str">
        <f t="shared" si="11"/>
        <v>Falla</v>
      </c>
    </row>
    <row r="169" spans="1:6" ht="14.5" x14ac:dyDescent="0.35">
      <c r="A169" s="60">
        <v>165</v>
      </c>
      <c r="B169" s="60" t="s">
        <v>21</v>
      </c>
      <c r="C169" s="62">
        <v>3637.7</v>
      </c>
      <c r="D169" s="60">
        <v>1</v>
      </c>
      <c r="E169" s="63">
        <f t="shared" si="10"/>
        <v>8.1991068927861175</v>
      </c>
      <c r="F169" s="60" t="str">
        <f t="shared" si="11"/>
        <v>Falla</v>
      </c>
    </row>
    <row r="170" spans="1:6" ht="14.5" x14ac:dyDescent="0.35">
      <c r="A170" s="60">
        <v>166</v>
      </c>
      <c r="B170" s="60" t="s">
        <v>17</v>
      </c>
      <c r="C170" s="62">
        <v>3869.5</v>
      </c>
      <c r="D170" s="60">
        <v>1</v>
      </c>
      <c r="E170" s="63">
        <f t="shared" si="10"/>
        <v>8.2608805787105144</v>
      </c>
      <c r="F170" s="60" t="str">
        <f t="shared" si="11"/>
        <v>Falla</v>
      </c>
    </row>
    <row r="171" spans="1:6" ht="14.5" x14ac:dyDescent="0.35">
      <c r="A171" s="60">
        <v>167</v>
      </c>
      <c r="B171" s="60" t="s">
        <v>22</v>
      </c>
      <c r="C171" s="62">
        <v>4030.6</v>
      </c>
      <c r="D171" s="60">
        <v>0</v>
      </c>
      <c r="E171" s="63">
        <f t="shared" si="10"/>
        <v>8.3016705272333891</v>
      </c>
      <c r="F171" s="60" t="str">
        <f t="shared" si="11"/>
        <v>Censurado (sigue operando)</v>
      </c>
    </row>
    <row r="172" spans="1:6" ht="14.5" x14ac:dyDescent="0.35">
      <c r="A172" s="60">
        <v>168</v>
      </c>
      <c r="B172" s="60" t="s">
        <v>22</v>
      </c>
      <c r="C172" s="62">
        <v>1161.5999999999999</v>
      </c>
      <c r="D172" s="60">
        <v>1</v>
      </c>
      <c r="E172" s="63">
        <f t="shared" si="10"/>
        <v>7.0575536440705315</v>
      </c>
      <c r="F172" s="60" t="str">
        <f t="shared" si="11"/>
        <v>Falla</v>
      </c>
    </row>
    <row r="173" spans="1:6" ht="14.5" x14ac:dyDescent="0.35">
      <c r="A173" s="60">
        <v>169</v>
      </c>
      <c r="B173" s="60" t="s">
        <v>21</v>
      </c>
      <c r="C173" s="62">
        <v>4487.2</v>
      </c>
      <c r="D173" s="60">
        <v>0</v>
      </c>
      <c r="E173" s="63">
        <f t="shared" si="10"/>
        <v>8.4089841781941264</v>
      </c>
      <c r="F173" s="60" t="str">
        <f t="shared" si="11"/>
        <v>Censurado (sigue operando)</v>
      </c>
    </row>
    <row r="174" spans="1:6" ht="14.5" x14ac:dyDescent="0.35">
      <c r="A174" s="60">
        <v>170</v>
      </c>
      <c r="B174" s="60" t="s">
        <v>11</v>
      </c>
      <c r="C174" s="62">
        <v>3692</v>
      </c>
      <c r="D174" s="60">
        <v>1</v>
      </c>
      <c r="E174" s="63">
        <f t="shared" si="10"/>
        <v>8.2139235956227434</v>
      </c>
      <c r="F174" s="60" t="str">
        <f t="shared" si="11"/>
        <v>Falla</v>
      </c>
    </row>
    <row r="175" spans="1:6" ht="14.5" x14ac:dyDescent="0.35">
      <c r="A175" s="60">
        <v>171</v>
      </c>
      <c r="B175" s="60" t="s">
        <v>11</v>
      </c>
      <c r="C175" s="62">
        <v>3325.4</v>
      </c>
      <c r="D175" s="60">
        <v>1</v>
      </c>
      <c r="E175" s="63">
        <f t="shared" si="10"/>
        <v>8.1093452466062796</v>
      </c>
      <c r="F175" s="60" t="str">
        <f t="shared" si="11"/>
        <v>Falla</v>
      </c>
    </row>
    <row r="176" spans="1:6" ht="14.5" x14ac:dyDescent="0.35">
      <c r="A176" s="60">
        <v>172</v>
      </c>
      <c r="B176" s="60" t="s">
        <v>13</v>
      </c>
      <c r="C176" s="62">
        <v>3257.9</v>
      </c>
      <c r="D176" s="60">
        <v>0</v>
      </c>
      <c r="E176" s="63">
        <f t="shared" si="10"/>
        <v>8.088838095013827</v>
      </c>
      <c r="F176" s="60" t="str">
        <f t="shared" si="11"/>
        <v>Censurado (sigue operando)</v>
      </c>
    </row>
    <row r="177" spans="1:6" ht="14.5" x14ac:dyDescent="0.35">
      <c r="A177" s="60">
        <v>173</v>
      </c>
      <c r="B177" s="60" t="s">
        <v>17</v>
      </c>
      <c r="C177" s="62">
        <v>1712.9</v>
      </c>
      <c r="D177" s="60">
        <v>0</v>
      </c>
      <c r="E177" s="63">
        <f t="shared" si="10"/>
        <v>7.4459431195039389</v>
      </c>
      <c r="F177" s="60" t="str">
        <f t="shared" si="11"/>
        <v>Censurado (sigue operando)</v>
      </c>
    </row>
    <row r="178" spans="1:6" ht="14.5" x14ac:dyDescent="0.35">
      <c r="A178" s="60">
        <v>174</v>
      </c>
      <c r="B178" s="60" t="s">
        <v>17</v>
      </c>
      <c r="C178" s="62">
        <v>3349</v>
      </c>
      <c r="D178" s="60">
        <v>1</v>
      </c>
      <c r="E178" s="63">
        <f t="shared" si="10"/>
        <v>8.1164170727942047</v>
      </c>
      <c r="F178" s="60" t="str">
        <f t="shared" si="11"/>
        <v>Falla</v>
      </c>
    </row>
    <row r="179" spans="1:6" ht="14.5" x14ac:dyDescent="0.35">
      <c r="A179" s="60">
        <v>175</v>
      </c>
      <c r="B179" s="60" t="s">
        <v>22</v>
      </c>
      <c r="C179" s="62">
        <v>1474.1</v>
      </c>
      <c r="D179" s="60">
        <v>0</v>
      </c>
      <c r="E179" s="63">
        <f t="shared" si="10"/>
        <v>7.2958029130532323</v>
      </c>
      <c r="F179" s="60" t="str">
        <f t="shared" si="11"/>
        <v>Censurado (sigue operando)</v>
      </c>
    </row>
    <row r="180" spans="1:6" ht="14.5" x14ac:dyDescent="0.35">
      <c r="A180" s="60">
        <v>176</v>
      </c>
      <c r="B180" s="60" t="s">
        <v>21</v>
      </c>
      <c r="C180" s="62">
        <v>2085.5</v>
      </c>
      <c r="D180" s="60">
        <v>0</v>
      </c>
      <c r="E180" s="63">
        <f t="shared" si="10"/>
        <v>7.6427639136370003</v>
      </c>
      <c r="F180" s="60" t="str">
        <f t="shared" si="11"/>
        <v>Censurado (sigue operando)</v>
      </c>
    </row>
    <row r="181" spans="1:6" ht="14.5" x14ac:dyDescent="0.35">
      <c r="A181" s="60">
        <v>177</v>
      </c>
      <c r="B181" s="60" t="s">
        <v>11</v>
      </c>
      <c r="C181" s="62">
        <v>873.6</v>
      </c>
      <c r="D181" s="60">
        <v>1</v>
      </c>
      <c r="E181" s="63">
        <f t="shared" si="10"/>
        <v>6.7726226049906408</v>
      </c>
      <c r="F181" s="60" t="str">
        <f t="shared" si="11"/>
        <v>Falla</v>
      </c>
    </row>
    <row r="182" spans="1:6" ht="14.5" x14ac:dyDescent="0.35">
      <c r="A182" s="60">
        <v>178</v>
      </c>
      <c r="B182" s="60" t="s">
        <v>17</v>
      </c>
      <c r="C182" s="62">
        <v>5793.4</v>
      </c>
      <c r="D182" s="60">
        <v>0</v>
      </c>
      <c r="E182" s="63">
        <f t="shared" si="10"/>
        <v>8.6644746175649239</v>
      </c>
      <c r="F182" s="60" t="str">
        <f t="shared" si="11"/>
        <v>Censurado (sigue operando)</v>
      </c>
    </row>
    <row r="183" spans="1:6" ht="14.5" x14ac:dyDescent="0.35">
      <c r="A183" s="60">
        <v>179</v>
      </c>
      <c r="B183" s="60" t="s">
        <v>21</v>
      </c>
      <c r="C183" s="62">
        <v>871.6</v>
      </c>
      <c r="D183" s="60">
        <v>1</v>
      </c>
      <c r="E183" s="63">
        <f t="shared" si="10"/>
        <v>6.7703306030704651</v>
      </c>
      <c r="F183" s="60" t="str">
        <f t="shared" si="11"/>
        <v>Falla</v>
      </c>
    </row>
    <row r="184" spans="1:6" ht="14.5" x14ac:dyDescent="0.35">
      <c r="A184" s="60">
        <v>180</v>
      </c>
      <c r="B184" s="60" t="s">
        <v>21</v>
      </c>
      <c r="C184" s="62">
        <v>4729.8</v>
      </c>
      <c r="D184" s="60">
        <v>1</v>
      </c>
      <c r="E184" s="63">
        <f t="shared" si="10"/>
        <v>8.461638197293917</v>
      </c>
      <c r="F184" s="60" t="str">
        <f t="shared" si="11"/>
        <v>Falla</v>
      </c>
    </row>
    <row r="185" spans="1:6" ht="14.5" x14ac:dyDescent="0.35">
      <c r="A185" s="60">
        <v>181</v>
      </c>
      <c r="B185" s="60" t="s">
        <v>13</v>
      </c>
      <c r="C185" s="62">
        <v>5277.4</v>
      </c>
      <c r="D185" s="60">
        <v>1</v>
      </c>
      <c r="E185" s="63">
        <f t="shared" si="10"/>
        <v>8.5711888311772491</v>
      </c>
      <c r="F185" s="60" t="str">
        <f t="shared" si="11"/>
        <v>Falla</v>
      </c>
    </row>
    <row r="186" spans="1:6" ht="14.5" x14ac:dyDescent="0.35">
      <c r="A186" s="60">
        <v>182</v>
      </c>
      <c r="B186" s="60" t="s">
        <v>22</v>
      </c>
      <c r="C186" s="62">
        <v>4301.7</v>
      </c>
      <c r="D186" s="60">
        <v>0</v>
      </c>
      <c r="E186" s="63">
        <f t="shared" si="10"/>
        <v>8.3667655723891023</v>
      </c>
      <c r="F186" s="60" t="str">
        <f t="shared" si="11"/>
        <v>Censurado (sigue operando)</v>
      </c>
    </row>
    <row r="187" spans="1:6" ht="14.5" x14ac:dyDescent="0.35">
      <c r="A187" s="60">
        <v>183</v>
      </c>
      <c r="B187" s="60" t="s">
        <v>11</v>
      </c>
      <c r="C187" s="62">
        <v>5633.6</v>
      </c>
      <c r="D187" s="60">
        <v>1</v>
      </c>
      <c r="E187" s="63">
        <f t="shared" si="10"/>
        <v>8.6365039484007884</v>
      </c>
      <c r="F187" s="60" t="str">
        <f t="shared" si="11"/>
        <v>Falla</v>
      </c>
    </row>
    <row r="188" spans="1:6" ht="14.5" x14ac:dyDescent="0.35">
      <c r="A188" s="60">
        <v>184</v>
      </c>
      <c r="B188" s="60" t="s">
        <v>11</v>
      </c>
      <c r="C188" s="62">
        <v>2577.6</v>
      </c>
      <c r="D188" s="60">
        <v>1</v>
      </c>
      <c r="E188" s="63">
        <f t="shared" si="10"/>
        <v>7.8546140124227097</v>
      </c>
      <c r="F188" s="60" t="str">
        <f t="shared" si="11"/>
        <v>Falla</v>
      </c>
    </row>
    <row r="189" spans="1:6" ht="14.5" x14ac:dyDescent="0.35">
      <c r="A189" s="60">
        <v>185</v>
      </c>
      <c r="B189" s="60" t="s">
        <v>17</v>
      </c>
      <c r="C189" s="62">
        <v>3454.9</v>
      </c>
      <c r="D189" s="60">
        <v>1</v>
      </c>
      <c r="E189" s="63">
        <f t="shared" si="10"/>
        <v>8.1475487922228389</v>
      </c>
      <c r="F189" s="60" t="str">
        <f t="shared" si="11"/>
        <v>Falla</v>
      </c>
    </row>
    <row r="190" spans="1:6" ht="14.5" x14ac:dyDescent="0.35">
      <c r="A190" s="60">
        <v>186</v>
      </c>
      <c r="B190" s="60" t="s">
        <v>17</v>
      </c>
      <c r="C190" s="62">
        <v>4805.7</v>
      </c>
      <c r="D190" s="60">
        <v>0</v>
      </c>
      <c r="E190" s="63">
        <f t="shared" si="10"/>
        <v>8.477557992375548</v>
      </c>
      <c r="F190" s="60" t="str">
        <f t="shared" si="11"/>
        <v>Censurado (sigue operando)</v>
      </c>
    </row>
    <row r="191" spans="1:6" ht="14.5" x14ac:dyDescent="0.35">
      <c r="A191" s="60">
        <v>187</v>
      </c>
      <c r="B191" s="60" t="s">
        <v>13</v>
      </c>
      <c r="C191" s="62">
        <v>7613.7</v>
      </c>
      <c r="D191" s="60">
        <v>0</v>
      </c>
      <c r="E191" s="63">
        <f t="shared" si="10"/>
        <v>8.9377045350629682</v>
      </c>
      <c r="F191" s="60" t="str">
        <f t="shared" si="11"/>
        <v>Censurado (sigue operando)</v>
      </c>
    </row>
    <row r="192" spans="1:6" ht="14.5" x14ac:dyDescent="0.35">
      <c r="A192" s="60">
        <v>188</v>
      </c>
      <c r="B192" s="60" t="s">
        <v>17</v>
      </c>
      <c r="C192" s="62">
        <v>3759.1</v>
      </c>
      <c r="D192" s="60">
        <v>1</v>
      </c>
      <c r="E192" s="63">
        <f t="shared" si="10"/>
        <v>8.231934846030228</v>
      </c>
      <c r="F192" s="60" t="str">
        <f t="shared" si="11"/>
        <v>Falla</v>
      </c>
    </row>
    <row r="193" spans="1:6" ht="14.5" x14ac:dyDescent="0.35">
      <c r="A193" s="60">
        <v>189</v>
      </c>
      <c r="B193" s="60" t="s">
        <v>17</v>
      </c>
      <c r="C193" s="62">
        <v>3678.5</v>
      </c>
      <c r="D193" s="60">
        <v>1</v>
      </c>
      <c r="E193" s="63">
        <f t="shared" si="10"/>
        <v>8.2102603393723186</v>
      </c>
      <c r="F193" s="60" t="str">
        <f t="shared" si="11"/>
        <v>Falla</v>
      </c>
    </row>
    <row r="194" spans="1:6" ht="14.5" x14ac:dyDescent="0.35">
      <c r="A194" s="60">
        <v>190</v>
      </c>
      <c r="B194" s="60" t="s">
        <v>21</v>
      </c>
      <c r="C194" s="62">
        <v>4531.3999999999996</v>
      </c>
      <c r="D194" s="60">
        <v>1</v>
      </c>
      <c r="E194" s="63">
        <f t="shared" si="10"/>
        <v>8.4187862215033533</v>
      </c>
      <c r="F194" s="60" t="str">
        <f t="shared" si="11"/>
        <v>Falla</v>
      </c>
    </row>
    <row r="195" spans="1:6" ht="14.5" x14ac:dyDescent="0.35">
      <c r="A195" s="60">
        <v>191</v>
      </c>
      <c r="B195" s="60" t="s">
        <v>17</v>
      </c>
      <c r="C195" s="62">
        <v>4211.8</v>
      </c>
      <c r="D195" s="60">
        <v>0</v>
      </c>
      <c r="E195" s="63">
        <f t="shared" si="10"/>
        <v>8.3456453887456785</v>
      </c>
      <c r="F195" s="60" t="str">
        <f t="shared" si="11"/>
        <v>Censurado (sigue operando)</v>
      </c>
    </row>
    <row r="196" spans="1:6" ht="14.5" x14ac:dyDescent="0.35">
      <c r="A196" s="60">
        <v>192</v>
      </c>
      <c r="B196" s="60" t="s">
        <v>13</v>
      </c>
      <c r="C196" s="62">
        <v>4265.7</v>
      </c>
      <c r="D196" s="60">
        <v>0</v>
      </c>
      <c r="E196" s="63">
        <f t="shared" si="10"/>
        <v>8.3583615730704377</v>
      </c>
      <c r="F196" s="60" t="str">
        <f t="shared" si="11"/>
        <v>Censurado (sigue operando)</v>
      </c>
    </row>
    <row r="197" spans="1:6" ht="14.5" x14ac:dyDescent="0.35">
      <c r="A197" s="60">
        <v>193</v>
      </c>
      <c r="B197" s="60" t="s">
        <v>22</v>
      </c>
      <c r="C197" s="62">
        <v>5855.8</v>
      </c>
      <c r="D197" s="60">
        <v>1</v>
      </c>
      <c r="E197" s="63">
        <f t="shared" ref="E197:E204" si="12">LN(C197)</f>
        <v>8.6751879020524552</v>
      </c>
      <c r="F197" s="60" t="str">
        <f t="shared" ref="F197:F204" si="13">IF(D197=1,"Falla","Censurado (sigue operando)")</f>
        <v>Falla</v>
      </c>
    </row>
    <row r="198" spans="1:6" ht="14.5" x14ac:dyDescent="0.35">
      <c r="A198" s="60">
        <v>194</v>
      </c>
      <c r="B198" s="60" t="s">
        <v>22</v>
      </c>
      <c r="C198" s="62">
        <v>5728.9</v>
      </c>
      <c r="D198" s="60">
        <v>1</v>
      </c>
      <c r="E198" s="63">
        <f t="shared" si="12"/>
        <v>8.653278819202999</v>
      </c>
      <c r="F198" s="60" t="str">
        <f t="shared" si="13"/>
        <v>Falla</v>
      </c>
    </row>
    <row r="199" spans="1:6" ht="14.5" x14ac:dyDescent="0.35">
      <c r="A199" s="60">
        <v>195</v>
      </c>
      <c r="B199" s="60" t="s">
        <v>13</v>
      </c>
      <c r="C199" s="62">
        <v>449.3</v>
      </c>
      <c r="D199" s="60">
        <v>1</v>
      </c>
      <c r="E199" s="63">
        <f t="shared" si="12"/>
        <v>6.1076908160761141</v>
      </c>
      <c r="F199" s="60" t="str">
        <f t="shared" si="13"/>
        <v>Falla</v>
      </c>
    </row>
    <row r="200" spans="1:6" ht="14.5" x14ac:dyDescent="0.35">
      <c r="A200" s="60">
        <v>196</v>
      </c>
      <c r="B200" s="60" t="s">
        <v>21</v>
      </c>
      <c r="C200" s="62">
        <v>3387.5</v>
      </c>
      <c r="D200" s="60">
        <v>1</v>
      </c>
      <c r="E200" s="63">
        <f t="shared" si="12"/>
        <v>8.1278474651879566</v>
      </c>
      <c r="F200" s="60" t="str">
        <f t="shared" si="13"/>
        <v>Falla</v>
      </c>
    </row>
    <row r="201" spans="1:6" ht="14.5" x14ac:dyDescent="0.35">
      <c r="A201" s="60">
        <v>197</v>
      </c>
      <c r="B201" s="60" t="s">
        <v>11</v>
      </c>
      <c r="C201" s="62">
        <v>2087.1</v>
      </c>
      <c r="D201" s="60">
        <v>1</v>
      </c>
      <c r="E201" s="63">
        <f t="shared" si="12"/>
        <v>7.6435308215977056</v>
      </c>
      <c r="F201" s="60" t="str">
        <f t="shared" si="13"/>
        <v>Falla</v>
      </c>
    </row>
    <row r="202" spans="1:6" ht="14.5" x14ac:dyDescent="0.35">
      <c r="A202" s="60">
        <v>198</v>
      </c>
      <c r="B202" s="60" t="s">
        <v>22</v>
      </c>
      <c r="C202" s="62">
        <v>6280.4</v>
      </c>
      <c r="D202" s="60">
        <v>1</v>
      </c>
      <c r="E202" s="63">
        <f t="shared" si="12"/>
        <v>8.7451889517013672</v>
      </c>
      <c r="F202" s="60" t="str">
        <f t="shared" si="13"/>
        <v>Falla</v>
      </c>
    </row>
    <row r="203" spans="1:6" ht="14.5" x14ac:dyDescent="0.35">
      <c r="A203" s="60">
        <v>199</v>
      </c>
      <c r="B203" s="60" t="s">
        <v>11</v>
      </c>
      <c r="C203" s="62">
        <v>3468.4</v>
      </c>
      <c r="D203" s="60">
        <v>0</v>
      </c>
      <c r="E203" s="63">
        <f t="shared" si="12"/>
        <v>8.1514486715030046</v>
      </c>
      <c r="F203" s="60" t="str">
        <f t="shared" si="13"/>
        <v>Censurado (sigue operando)</v>
      </c>
    </row>
    <row r="204" spans="1:6" ht="14.5" x14ac:dyDescent="0.35">
      <c r="A204" s="60">
        <v>200</v>
      </c>
      <c r="B204" s="60" t="s">
        <v>22</v>
      </c>
      <c r="C204" s="62">
        <v>5553.6</v>
      </c>
      <c r="D204" s="60">
        <v>1</v>
      </c>
      <c r="E204" s="63">
        <f t="shared" si="12"/>
        <v>8.6222016451075216</v>
      </c>
      <c r="F204" s="60" t="str">
        <f t="shared" si="13"/>
        <v>Falla</v>
      </c>
    </row>
  </sheetData>
  <mergeCells count="1">
    <mergeCell ref="H14:M1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07"/>
  <sheetViews>
    <sheetView showGridLines="0" zoomScale="80" zoomScaleNormal="80" workbookViewId="0">
      <pane ySplit="7" topLeftCell="A8" activePane="bottomLeft" state="frozen"/>
      <selection pane="bottomLeft"/>
    </sheetView>
  </sheetViews>
  <sheetFormatPr defaultColWidth="8.7265625" defaultRowHeight="15" customHeight="1" x14ac:dyDescent="0.35"/>
  <cols>
    <col min="1" max="1" width="9" customWidth="1"/>
    <col min="2" max="2" width="17" customWidth="1"/>
    <col min="3" max="3" width="6" customWidth="1"/>
    <col min="4" max="4" width="12" customWidth="1"/>
    <col min="5" max="5" width="14" customWidth="1"/>
    <col min="6" max="7" width="15" customWidth="1"/>
    <col min="8" max="8" width="11" customWidth="1"/>
    <col min="9" max="9" width="14" customWidth="1"/>
    <col min="10" max="10" width="3" customWidth="1"/>
    <col min="11" max="12" width="13" customWidth="1"/>
    <col min="13" max="13" width="12" customWidth="1"/>
    <col min="14" max="14" width="3" customWidth="1"/>
    <col min="15" max="15" width="30" customWidth="1"/>
    <col min="16" max="16" width="14" customWidth="1"/>
    <col min="17" max="21" width="10" customWidth="1"/>
  </cols>
  <sheetData>
    <row r="1" spans="1:16" ht="21.75" customHeight="1" x14ac:dyDescent="0.4">
      <c r="A1" s="1" t="s">
        <v>25</v>
      </c>
    </row>
    <row r="2" spans="1:16" ht="14.5" x14ac:dyDescent="0.35">
      <c r="A2" s="2" t="s">
        <v>26</v>
      </c>
    </row>
    <row r="3" spans="1:16" ht="14.5" x14ac:dyDescent="0.35">
      <c r="O3" s="3" t="s">
        <v>27</v>
      </c>
    </row>
    <row r="4" spans="1:16" ht="14.5" x14ac:dyDescent="0.35">
      <c r="A4" s="10" t="s">
        <v>28</v>
      </c>
      <c r="B4" s="11">
        <f>COUNT(Datos!$C$5:$C$204)</f>
        <v>200</v>
      </c>
    </row>
    <row r="5" spans="1:16" ht="14.5" x14ac:dyDescent="0.35">
      <c r="A5" s="10" t="s">
        <v>29</v>
      </c>
      <c r="B5" s="11">
        <f>SUM(Datos!$D$5:$D$204)</f>
        <v>122</v>
      </c>
      <c r="O5" s="4" t="s">
        <v>30</v>
      </c>
      <c r="P5" s="5">
        <f>SUM($C$8:$C$207)</f>
        <v>122</v>
      </c>
    </row>
    <row r="6" spans="1:16" ht="14.5" x14ac:dyDescent="0.35">
      <c r="K6" t="s">
        <v>31</v>
      </c>
      <c r="O6" s="4" t="s">
        <v>32</v>
      </c>
      <c r="P6" s="6">
        <f>SUMPRODUCT($C$8:$C$207,$H$8:$H$207)</f>
        <v>974.90977424975688</v>
      </c>
    </row>
    <row r="7" spans="1:16" ht="31.5" customHeight="1" x14ac:dyDescent="0.35">
      <c r="A7" s="67" t="s">
        <v>33</v>
      </c>
      <c r="B7" s="67" t="s">
        <v>34</v>
      </c>
      <c r="C7" s="67" t="s">
        <v>35</v>
      </c>
      <c r="D7" s="67" t="s">
        <v>36</v>
      </c>
      <c r="E7" s="67" t="s">
        <v>37</v>
      </c>
      <c r="F7" s="67" t="s">
        <v>38</v>
      </c>
      <c r="G7" s="67" t="s">
        <v>39</v>
      </c>
      <c r="H7" s="67" t="s">
        <v>40</v>
      </c>
      <c r="I7" s="67" t="s">
        <v>41</v>
      </c>
      <c r="J7" s="67"/>
      <c r="K7" s="67" t="s">
        <v>42</v>
      </c>
      <c r="L7" s="67" t="s">
        <v>43</v>
      </c>
      <c r="M7" s="67" t="s">
        <v>44</v>
      </c>
      <c r="O7" s="4" t="s">
        <v>45</v>
      </c>
      <c r="P7" s="6">
        <f>SUMPRODUCT($C$8:$C$207,$I$8:$I$207)</f>
        <v>-128.21330514732031</v>
      </c>
    </row>
    <row r="8" spans="1:16" ht="14.5" x14ac:dyDescent="0.35">
      <c r="A8" s="7">
        <v>1</v>
      </c>
      <c r="B8" s="12">
        <f>SMALL(Datos!$C$5:$C$204,A8)</f>
        <v>401.7</v>
      </c>
      <c r="C8" s="13">
        <f>INDEX(Datos!$D$5:$D$204,MATCH(B8,Datos!$C$5:$C$204,0))</f>
        <v>1</v>
      </c>
      <c r="D8" s="7">
        <f t="shared" ref="D8:D39" si="0">$B$4-A8+1</f>
        <v>200</v>
      </c>
      <c r="E8" s="6">
        <f>IF(C8=1,($B$4+1-0)/(1+D8),0)</f>
        <v>1</v>
      </c>
      <c r="F8" s="6">
        <f>0+E8</f>
        <v>1</v>
      </c>
      <c r="G8" s="14">
        <f t="shared" ref="G8:G39" si="1">IF(C8=1,(F8-0.3)/($B$4+0.4),0)</f>
        <v>3.4930139720558877E-3</v>
      </c>
      <c r="H8" s="6">
        <f t="shared" ref="H8:H39" si="2">LN(B8)</f>
        <v>5.9957055413652363</v>
      </c>
      <c r="I8" s="6">
        <f t="shared" ref="I8:I39" si="3">IF(C8=1,LN(-LN(1-G8)),0)</f>
        <v>-5.6552412589175045</v>
      </c>
      <c r="K8" s="49">
        <f>IF(C8=1,H8,NA())</f>
        <v>5.9957055413652363</v>
      </c>
      <c r="L8" s="49">
        <f>IF(C8=1,I8,NA())</f>
        <v>-5.6552412589175045</v>
      </c>
      <c r="M8" s="15">
        <f>IF(C8=1,$P$12*H8+$P$13,"")</f>
        <v>-4.860427324325574</v>
      </c>
      <c r="O8" s="4" t="s">
        <v>46</v>
      </c>
      <c r="P8" s="6">
        <f>SUMPRODUCT($C$8:$C$207,$H$8:$H$207,$I$8:$I$207)</f>
        <v>-926.46856622945302</v>
      </c>
    </row>
    <row r="9" spans="1:16" ht="14.5" x14ac:dyDescent="0.35">
      <c r="A9" s="7">
        <v>2</v>
      </c>
      <c r="B9" s="12">
        <f>SMALL(Datos!$C$5:$C$204,A9)</f>
        <v>449.3</v>
      </c>
      <c r="C9" s="13">
        <f>INDEX(Datos!$D$5:$D$204,MATCH(B9,Datos!$C$5:$C$204,0))</f>
        <v>1</v>
      </c>
      <c r="D9" s="7">
        <f t="shared" si="0"/>
        <v>199</v>
      </c>
      <c r="E9" s="6">
        <f t="shared" ref="E9:E40" si="4">IF(C9=1,($B$4+1-F8)/(1+D9),0)</f>
        <v>1</v>
      </c>
      <c r="F9" s="6">
        <f t="shared" ref="F9:F40" si="5">F8+E9</f>
        <v>2</v>
      </c>
      <c r="G9" s="14">
        <f t="shared" si="1"/>
        <v>8.4830339321357289E-3</v>
      </c>
      <c r="H9" s="6">
        <f t="shared" si="2"/>
        <v>6.1076908160761141</v>
      </c>
      <c r="I9" s="6">
        <f t="shared" si="3"/>
        <v>-4.765430532366226</v>
      </c>
      <c r="K9" s="49">
        <f t="shared" ref="K9:K72" si="6">IF(C9=1,H9,NA())</f>
        <v>6.1076908160761141</v>
      </c>
      <c r="L9" s="49">
        <f t="shared" ref="L9:L72" si="7">IF(C9=1,I9,NA())</f>
        <v>-4.765430532366226</v>
      </c>
      <c r="M9" s="15">
        <f t="shared" ref="M9:M39" si="8">IF(C9=1,$P$12*H9+$P$13,"")</f>
        <v>-4.6466272405281348</v>
      </c>
      <c r="O9" s="4" t="s">
        <v>47</v>
      </c>
      <c r="P9" s="6">
        <f>SUMPRODUCT($C$8:$C$207,$H$8:$H$207,$H$8:$H$207)</f>
        <v>7841.945313449276</v>
      </c>
    </row>
    <row r="10" spans="1:16" ht="14.5" x14ac:dyDescent="0.35">
      <c r="A10" s="7">
        <v>3</v>
      </c>
      <c r="B10" s="12">
        <f>SMALL(Datos!$C$5:$C$204,A10)</f>
        <v>455.5</v>
      </c>
      <c r="C10" s="13">
        <f>INDEX(Datos!$D$5:$D$204,MATCH(B10,Datos!$C$5:$C$204,0))</f>
        <v>1</v>
      </c>
      <c r="D10" s="7">
        <f t="shared" si="0"/>
        <v>198</v>
      </c>
      <c r="E10" s="6">
        <f t="shared" si="4"/>
        <v>1</v>
      </c>
      <c r="F10" s="6">
        <f t="shared" si="5"/>
        <v>3</v>
      </c>
      <c r="G10" s="14">
        <f t="shared" si="1"/>
        <v>1.3473053892215569E-2</v>
      </c>
      <c r="H10" s="6">
        <f t="shared" si="2"/>
        <v>6.1213957167000128</v>
      </c>
      <c r="I10" s="6">
        <f t="shared" si="3"/>
        <v>-4.3002889433146096</v>
      </c>
      <c r="K10" s="49">
        <f t="shared" si="6"/>
        <v>6.1213957167000128</v>
      </c>
      <c r="L10" s="49">
        <f t="shared" si="7"/>
        <v>-4.3002889433146096</v>
      </c>
      <c r="M10" s="15">
        <f t="shared" si="8"/>
        <v>-4.6204621138238426</v>
      </c>
      <c r="O10" s="4" t="s">
        <v>48</v>
      </c>
      <c r="P10" s="6">
        <f>SUMPRODUCT($C$8:$C$207,$I$8:$I$207,$I$8:$I$207)</f>
        <v>323.9394321897795</v>
      </c>
    </row>
    <row r="11" spans="1:16" ht="14.5" x14ac:dyDescent="0.35">
      <c r="A11" s="7">
        <v>4</v>
      </c>
      <c r="B11" s="12">
        <f>SMALL(Datos!$C$5:$C$204,A11)</f>
        <v>528.29999999999995</v>
      </c>
      <c r="C11" s="13">
        <f>INDEX(Datos!$D$5:$D$204,MATCH(B11,Datos!$C$5:$C$204,0))</f>
        <v>1</v>
      </c>
      <c r="D11" s="7">
        <f t="shared" si="0"/>
        <v>197</v>
      </c>
      <c r="E11" s="6">
        <f t="shared" si="4"/>
        <v>1</v>
      </c>
      <c r="F11" s="6">
        <f t="shared" si="5"/>
        <v>4</v>
      </c>
      <c r="G11" s="14">
        <f t="shared" si="1"/>
        <v>1.8463073852295408E-2</v>
      </c>
      <c r="H11" s="6">
        <f t="shared" si="2"/>
        <v>6.26966430417027</v>
      </c>
      <c r="I11" s="6">
        <f t="shared" si="3"/>
        <v>-3.9826791979116569</v>
      </c>
      <c r="K11" s="49">
        <f t="shared" si="6"/>
        <v>6.26966430417027</v>
      </c>
      <c r="L11" s="49">
        <f t="shared" si="7"/>
        <v>-3.9826791979116569</v>
      </c>
      <c r="M11" s="15">
        <f t="shared" si="8"/>
        <v>-4.3373906429763487</v>
      </c>
    </row>
    <row r="12" spans="1:16" ht="14.5" x14ac:dyDescent="0.35">
      <c r="A12" s="7">
        <v>5</v>
      </c>
      <c r="B12" s="12">
        <f>SMALL(Datos!$C$5:$C$204,A12)</f>
        <v>602</v>
      </c>
      <c r="C12" s="13">
        <f>INDEX(Datos!$D$5:$D$204,MATCH(B12,Datos!$C$5:$C$204,0))</f>
        <v>1</v>
      </c>
      <c r="D12" s="7">
        <f t="shared" si="0"/>
        <v>196</v>
      </c>
      <c r="E12" s="6">
        <f t="shared" si="4"/>
        <v>1</v>
      </c>
      <c r="F12" s="6">
        <f t="shared" si="5"/>
        <v>5</v>
      </c>
      <c r="G12" s="14">
        <f t="shared" si="1"/>
        <v>2.3453093812375248E-2</v>
      </c>
      <c r="H12" s="6">
        <f t="shared" si="2"/>
        <v>6.4002574453088208</v>
      </c>
      <c r="I12" s="6">
        <f t="shared" si="3"/>
        <v>-3.7409100809514522</v>
      </c>
      <c r="K12" s="49">
        <f t="shared" si="6"/>
        <v>6.4002574453088208</v>
      </c>
      <c r="L12" s="49">
        <f t="shared" si="7"/>
        <v>-3.7409100809514522</v>
      </c>
      <c r="M12" s="15">
        <f t="shared" si="8"/>
        <v>-4.0880647866003326</v>
      </c>
      <c r="O12" s="4" t="s">
        <v>49</v>
      </c>
      <c r="P12" s="14">
        <f>($P$5*$P$8-$P$6*$P$7)/($P$5*$P$9-$P$6^2)</f>
        <v>1.9091803306231587</v>
      </c>
    </row>
    <row r="13" spans="1:16" ht="14.5" x14ac:dyDescent="0.35">
      <c r="A13" s="7">
        <v>6</v>
      </c>
      <c r="B13" s="12">
        <f>SMALL(Datos!$C$5:$C$204,A13)</f>
        <v>707.6</v>
      </c>
      <c r="C13" s="13">
        <f>INDEX(Datos!$D$5:$D$204,MATCH(B13,Datos!$C$5:$C$204,0))</f>
        <v>1</v>
      </c>
      <c r="D13" s="7">
        <f t="shared" si="0"/>
        <v>195</v>
      </c>
      <c r="E13" s="6">
        <f t="shared" si="4"/>
        <v>1</v>
      </c>
      <c r="F13" s="6">
        <f t="shared" si="5"/>
        <v>6</v>
      </c>
      <c r="G13" s="14">
        <f t="shared" si="1"/>
        <v>2.8443113772455089E-2</v>
      </c>
      <c r="H13" s="6">
        <f t="shared" si="2"/>
        <v>6.5618789622856299</v>
      </c>
      <c r="I13" s="6">
        <f t="shared" si="3"/>
        <v>-3.545456158937748</v>
      </c>
      <c r="K13" s="49">
        <f t="shared" si="6"/>
        <v>6.5618789622856299</v>
      </c>
      <c r="L13" s="49">
        <f t="shared" si="7"/>
        <v>-3.545456158937748</v>
      </c>
      <c r="M13" s="15">
        <f t="shared" si="8"/>
        <v>-3.779500165382732</v>
      </c>
      <c r="O13" s="4" t="s">
        <v>50</v>
      </c>
      <c r="P13" s="14">
        <f>($P$7-$P$12*$P$6)/$P$5</f>
        <v>-16.307310412108361</v>
      </c>
    </row>
    <row r="14" spans="1:16" ht="14.5" x14ac:dyDescent="0.35">
      <c r="A14" s="7">
        <v>7</v>
      </c>
      <c r="B14" s="12">
        <f>SMALL(Datos!$C$5:$C$204,A14)</f>
        <v>820.7</v>
      </c>
      <c r="C14" s="13">
        <f>INDEX(Datos!$D$5:$D$204,MATCH(B14,Datos!$C$5:$C$204,0))</f>
        <v>1</v>
      </c>
      <c r="D14" s="7">
        <f t="shared" si="0"/>
        <v>194</v>
      </c>
      <c r="E14" s="6">
        <f t="shared" si="4"/>
        <v>1</v>
      </c>
      <c r="F14" s="6">
        <f t="shared" si="5"/>
        <v>7</v>
      </c>
      <c r="G14" s="14">
        <f t="shared" si="1"/>
        <v>3.3433133732534932E-2</v>
      </c>
      <c r="H14" s="6">
        <f t="shared" si="2"/>
        <v>6.7101576346356664</v>
      </c>
      <c r="I14" s="6">
        <f t="shared" si="3"/>
        <v>-3.3812536232148691</v>
      </c>
      <c r="K14" s="49">
        <f t="shared" si="6"/>
        <v>6.7101576346356664</v>
      </c>
      <c r="L14" s="49">
        <f t="shared" si="7"/>
        <v>-3.3812536232148691</v>
      </c>
      <c r="M14" s="15">
        <f t="shared" si="8"/>
        <v>-3.496409440681127</v>
      </c>
    </row>
    <row r="15" spans="1:16" ht="14.5" x14ac:dyDescent="0.35">
      <c r="A15" s="7">
        <v>8</v>
      </c>
      <c r="B15" s="12">
        <f>SMALL(Datos!$C$5:$C$204,A15)</f>
        <v>871.6</v>
      </c>
      <c r="C15" s="13">
        <f>INDEX(Datos!$D$5:$D$204,MATCH(B15,Datos!$C$5:$C$204,0))</f>
        <v>1</v>
      </c>
      <c r="D15" s="7">
        <f t="shared" si="0"/>
        <v>193</v>
      </c>
      <c r="E15" s="6">
        <f t="shared" si="4"/>
        <v>1</v>
      </c>
      <c r="F15" s="6">
        <f t="shared" si="5"/>
        <v>8</v>
      </c>
      <c r="G15" s="14">
        <f t="shared" si="1"/>
        <v>3.8423153692614773E-2</v>
      </c>
      <c r="H15" s="6">
        <f t="shared" si="2"/>
        <v>6.7703306030704651</v>
      </c>
      <c r="I15" s="6">
        <f t="shared" si="3"/>
        <v>-3.2395686065793727</v>
      </c>
      <c r="K15" s="49">
        <f t="shared" si="6"/>
        <v>6.7703306030704651</v>
      </c>
      <c r="L15" s="49">
        <f t="shared" si="7"/>
        <v>-3.2395686065793727</v>
      </c>
      <c r="M15" s="15">
        <f t="shared" si="8"/>
        <v>-3.3815283929102016</v>
      </c>
      <c r="O15" s="4" t="s">
        <v>51</v>
      </c>
      <c r="P15" s="16">
        <f>$P$12</f>
        <v>1.9091803306231587</v>
      </c>
    </row>
    <row r="16" spans="1:16" ht="14.5" x14ac:dyDescent="0.35">
      <c r="A16" s="7">
        <v>9</v>
      </c>
      <c r="B16" s="12">
        <f>SMALL(Datos!$C$5:$C$204,A16)</f>
        <v>873.6</v>
      </c>
      <c r="C16" s="13">
        <f>INDEX(Datos!$D$5:$D$204,MATCH(B16,Datos!$C$5:$C$204,0))</f>
        <v>1</v>
      </c>
      <c r="D16" s="7">
        <f t="shared" si="0"/>
        <v>192</v>
      </c>
      <c r="E16" s="6">
        <f t="shared" si="4"/>
        <v>1</v>
      </c>
      <c r="F16" s="6">
        <f t="shared" si="5"/>
        <v>9</v>
      </c>
      <c r="G16" s="14">
        <f t="shared" si="1"/>
        <v>4.3413173652694606E-2</v>
      </c>
      <c r="H16" s="6">
        <f t="shared" si="2"/>
        <v>6.7726226049906408</v>
      </c>
      <c r="I16" s="6">
        <f t="shared" si="3"/>
        <v>-3.1148825623951741</v>
      </c>
      <c r="K16" s="49">
        <f t="shared" si="6"/>
        <v>6.7726226049906408</v>
      </c>
      <c r="L16" s="49">
        <f t="shared" si="7"/>
        <v>-3.1148825623951741</v>
      </c>
      <c r="M16" s="15">
        <f t="shared" si="8"/>
        <v>-3.3771525479264515</v>
      </c>
      <c r="O16" s="4" t="s">
        <v>52</v>
      </c>
      <c r="P16" s="17">
        <f>EXP(-$P$13/$P$12)</f>
        <v>5123.1482306008884</v>
      </c>
    </row>
    <row r="17" spans="1:21" ht="14.5" x14ac:dyDescent="0.35">
      <c r="A17" s="7">
        <v>10</v>
      </c>
      <c r="B17" s="12">
        <f>SMALL(Datos!$C$5:$C$204,A17)</f>
        <v>941.7</v>
      </c>
      <c r="C17" s="13">
        <f>INDEX(Datos!$D$5:$D$204,MATCH(B17,Datos!$C$5:$C$204,0))</f>
        <v>1</v>
      </c>
      <c r="D17" s="7">
        <f t="shared" si="0"/>
        <v>191</v>
      </c>
      <c r="E17" s="6">
        <f t="shared" si="4"/>
        <v>1</v>
      </c>
      <c r="F17" s="6">
        <f t="shared" si="5"/>
        <v>10</v>
      </c>
      <c r="G17" s="14">
        <f t="shared" si="1"/>
        <v>4.8403193612774446E-2</v>
      </c>
      <c r="H17" s="6">
        <f t="shared" si="2"/>
        <v>6.8476867525160179</v>
      </c>
      <c r="I17" s="6">
        <f t="shared" si="3"/>
        <v>-3.0034851172440451</v>
      </c>
      <c r="K17" s="49">
        <f t="shared" si="6"/>
        <v>6.8476867525160179</v>
      </c>
      <c r="L17" s="49">
        <f t="shared" si="7"/>
        <v>-3.0034851172440451</v>
      </c>
      <c r="M17" s="15">
        <f t="shared" si="8"/>
        <v>-3.2338415539360064</v>
      </c>
    </row>
    <row r="18" spans="1:21" ht="14.5" x14ac:dyDescent="0.35">
      <c r="A18" s="7">
        <v>11</v>
      </c>
      <c r="B18" s="12">
        <f>SMALL(Datos!$C$5:$C$204,A18)</f>
        <v>960.8</v>
      </c>
      <c r="C18" s="13">
        <f>INDEX(Datos!$D$5:$D$204,MATCH(B18,Datos!$C$5:$C$204,0))</f>
        <v>0</v>
      </c>
      <c r="D18" s="7">
        <f t="shared" si="0"/>
        <v>190</v>
      </c>
      <c r="E18" s="6">
        <f t="shared" si="4"/>
        <v>0</v>
      </c>
      <c r="F18" s="6">
        <f t="shared" si="5"/>
        <v>10</v>
      </c>
      <c r="G18" s="14">
        <f t="shared" si="1"/>
        <v>0</v>
      </c>
      <c r="H18" s="6">
        <f t="shared" si="2"/>
        <v>6.8677662707657738</v>
      </c>
      <c r="I18" s="6">
        <f t="shared" si="3"/>
        <v>0</v>
      </c>
      <c r="K18" s="49" t="e">
        <f t="shared" si="6"/>
        <v>#N/A</v>
      </c>
      <c r="L18" s="49" t="e">
        <f t="shared" si="7"/>
        <v>#N/A</v>
      </c>
      <c r="M18" s="15" t="str">
        <f t="shared" si="8"/>
        <v/>
      </c>
      <c r="O18" s="4" t="s">
        <v>53</v>
      </c>
      <c r="P18" s="14">
        <f>($P$5*$P$8-$P$6*$P$7)/SQRT(($P$5*$P$9-$P$6^2)*($P$5*$P$10-$P$7^2))</f>
        <v>0.99491076425352087</v>
      </c>
    </row>
    <row r="19" spans="1:21" ht="14.5" x14ac:dyDescent="0.35">
      <c r="A19" s="7">
        <v>12</v>
      </c>
      <c r="B19" s="12">
        <f>SMALL(Datos!$C$5:$C$204,A19)</f>
        <v>1024.2</v>
      </c>
      <c r="C19" s="13">
        <f>INDEX(Datos!$D$5:$D$204,MATCH(B19,Datos!$C$5:$C$204,0))</f>
        <v>0</v>
      </c>
      <c r="D19" s="7">
        <f t="shared" si="0"/>
        <v>189</v>
      </c>
      <c r="E19" s="6">
        <f t="shared" si="4"/>
        <v>0</v>
      </c>
      <c r="F19" s="6">
        <f t="shared" si="5"/>
        <v>10</v>
      </c>
      <c r="G19" s="14">
        <f t="shared" si="1"/>
        <v>0</v>
      </c>
      <c r="H19" s="6">
        <f t="shared" si="2"/>
        <v>6.9316670990284504</v>
      </c>
      <c r="I19" s="6">
        <f t="shared" si="3"/>
        <v>0</v>
      </c>
      <c r="K19" s="49" t="e">
        <f t="shared" si="6"/>
        <v>#N/A</v>
      </c>
      <c r="L19" s="49" t="e">
        <f t="shared" si="7"/>
        <v>#N/A</v>
      </c>
      <c r="M19" s="15" t="str">
        <f t="shared" si="8"/>
        <v/>
      </c>
      <c r="O19" s="4" t="s">
        <v>54</v>
      </c>
      <c r="P19" s="18">
        <f>$P$18^2</f>
        <v>0.98984742882752497</v>
      </c>
    </row>
    <row r="20" spans="1:21" ht="14.5" x14ac:dyDescent="0.35">
      <c r="A20" s="7">
        <v>13</v>
      </c>
      <c r="B20" s="12">
        <f>SMALL(Datos!$C$5:$C$204,A20)</f>
        <v>1073.5</v>
      </c>
      <c r="C20" s="13">
        <f>INDEX(Datos!$D$5:$D$204,MATCH(B20,Datos!$C$5:$C$204,0))</f>
        <v>0</v>
      </c>
      <c r="D20" s="7">
        <f t="shared" si="0"/>
        <v>188</v>
      </c>
      <c r="E20" s="6">
        <f t="shared" si="4"/>
        <v>0</v>
      </c>
      <c r="F20" s="6">
        <f t="shared" si="5"/>
        <v>10</v>
      </c>
      <c r="G20" s="14">
        <f t="shared" si="1"/>
        <v>0</v>
      </c>
      <c r="H20" s="6">
        <f t="shared" si="2"/>
        <v>6.9786796173188357</v>
      </c>
      <c r="I20" s="6">
        <f t="shared" si="3"/>
        <v>0</v>
      </c>
      <c r="K20" s="49" t="e">
        <f t="shared" si="6"/>
        <v>#N/A</v>
      </c>
      <c r="L20" s="49" t="e">
        <f t="shared" si="7"/>
        <v>#N/A</v>
      </c>
      <c r="M20" s="15" t="str">
        <f t="shared" si="8"/>
        <v/>
      </c>
    </row>
    <row r="21" spans="1:21" ht="14.5" x14ac:dyDescent="0.35">
      <c r="A21" s="7">
        <v>14</v>
      </c>
      <c r="B21" s="12">
        <f>SMALL(Datos!$C$5:$C$204,A21)</f>
        <v>1077.0999999999999</v>
      </c>
      <c r="C21" s="13">
        <f>INDEX(Datos!$D$5:$D$204,MATCH(B21,Datos!$C$5:$C$204,0))</f>
        <v>1</v>
      </c>
      <c r="D21" s="7">
        <f t="shared" si="0"/>
        <v>187</v>
      </c>
      <c r="E21" s="6">
        <f t="shared" si="4"/>
        <v>1.0159574468085106</v>
      </c>
      <c r="F21" s="6">
        <f t="shared" si="5"/>
        <v>11.01595744680851</v>
      </c>
      <c r="G21" s="14">
        <f t="shared" si="1"/>
        <v>5.3472841550940668E-2</v>
      </c>
      <c r="H21" s="6">
        <f t="shared" si="2"/>
        <v>6.9820275233567246</v>
      </c>
      <c r="I21" s="6">
        <f t="shared" si="3"/>
        <v>-2.9012294160884444</v>
      </c>
      <c r="K21" s="49">
        <f t="shared" si="6"/>
        <v>6.9820275233567246</v>
      </c>
      <c r="L21" s="49">
        <f t="shared" si="7"/>
        <v>-2.9012294160884444</v>
      </c>
      <c r="M21" s="15">
        <f t="shared" si="8"/>
        <v>-2.9773607966461757</v>
      </c>
      <c r="O21" s="4" t="s">
        <v>55</v>
      </c>
      <c r="P21" s="8">
        <f>$P$16*EXP(GAMMALN(1+1/$P$15))</f>
        <v>4545.4075592865292</v>
      </c>
    </row>
    <row r="22" spans="1:21" ht="14.5" x14ac:dyDescent="0.35">
      <c r="A22" s="7">
        <v>15</v>
      </c>
      <c r="B22" s="12">
        <f>SMALL(Datos!$C$5:$C$204,A22)</f>
        <v>1099.2</v>
      </c>
      <c r="C22" s="13">
        <f>INDEX(Datos!$D$5:$D$204,MATCH(B22,Datos!$C$5:$C$204,0))</f>
        <v>1</v>
      </c>
      <c r="D22" s="7">
        <f t="shared" si="0"/>
        <v>186</v>
      </c>
      <c r="E22" s="6">
        <f t="shared" si="4"/>
        <v>1.0159574468085106</v>
      </c>
      <c r="F22" s="6">
        <f t="shared" si="5"/>
        <v>12.031914893617021</v>
      </c>
      <c r="G22" s="14">
        <f t="shared" si="1"/>
        <v>5.8542489489106883E-2</v>
      </c>
      <c r="H22" s="6">
        <f t="shared" si="2"/>
        <v>7.0023379214680848</v>
      </c>
      <c r="I22" s="6">
        <f t="shared" si="3"/>
        <v>-2.8079910717338232</v>
      </c>
      <c r="K22" s="49">
        <f t="shared" si="6"/>
        <v>7.0023379214680848</v>
      </c>
      <c r="L22" s="49">
        <f t="shared" si="7"/>
        <v>-2.8079910717338232</v>
      </c>
      <c r="M22" s="15">
        <f t="shared" si="8"/>
        <v>-2.9385845840648415</v>
      </c>
      <c r="O22" s="4" t="s">
        <v>56</v>
      </c>
      <c r="P22" s="8">
        <f>$P$16*LN(2)^(1/$P$15)</f>
        <v>4228.2794990551793</v>
      </c>
    </row>
    <row r="23" spans="1:21" ht="14.5" x14ac:dyDescent="0.35">
      <c r="A23" s="7">
        <v>16</v>
      </c>
      <c r="B23" s="12">
        <f>SMALL(Datos!$C$5:$C$204,A23)</f>
        <v>1133.3</v>
      </c>
      <c r="C23" s="13">
        <f>INDEX(Datos!$D$5:$D$204,MATCH(B23,Datos!$C$5:$C$204,0))</f>
        <v>0</v>
      </c>
      <c r="D23" s="7">
        <f t="shared" si="0"/>
        <v>185</v>
      </c>
      <c r="E23" s="6">
        <f t="shared" si="4"/>
        <v>0</v>
      </c>
      <c r="F23" s="6">
        <f t="shared" si="5"/>
        <v>12.031914893617021</v>
      </c>
      <c r="G23" s="14">
        <f t="shared" si="1"/>
        <v>0</v>
      </c>
      <c r="H23" s="6">
        <f t="shared" si="2"/>
        <v>7.032889009738903</v>
      </c>
      <c r="I23" s="6">
        <f t="shared" si="3"/>
        <v>0</v>
      </c>
      <c r="K23" s="49" t="e">
        <f t="shared" si="6"/>
        <v>#N/A</v>
      </c>
      <c r="L23" s="49" t="e">
        <f t="shared" si="7"/>
        <v>#N/A</v>
      </c>
      <c r="M23" s="15" t="str">
        <f t="shared" si="8"/>
        <v/>
      </c>
      <c r="O23" s="4" t="s">
        <v>57</v>
      </c>
      <c r="P23" s="8">
        <f>$P$16*(-LN(0.9))^(1/$P$15)</f>
        <v>1576.2687622099593</v>
      </c>
    </row>
    <row r="24" spans="1:21" ht="14.5" x14ac:dyDescent="0.35">
      <c r="A24" s="7">
        <v>17</v>
      </c>
      <c r="B24" s="12">
        <f>SMALL(Datos!$C$5:$C$204,A24)</f>
        <v>1161.5999999999999</v>
      </c>
      <c r="C24" s="13">
        <f>INDEX(Datos!$D$5:$D$204,MATCH(B24,Datos!$C$5:$C$204,0))</f>
        <v>1</v>
      </c>
      <c r="D24" s="7">
        <f t="shared" si="0"/>
        <v>184</v>
      </c>
      <c r="E24" s="6">
        <f t="shared" si="4"/>
        <v>1.0214491086831512</v>
      </c>
      <c r="F24" s="6">
        <f t="shared" si="5"/>
        <v>13.053364002300173</v>
      </c>
      <c r="G24" s="14">
        <f t="shared" si="1"/>
        <v>6.363954092964158E-2</v>
      </c>
      <c r="H24" s="6">
        <f t="shared" si="2"/>
        <v>7.0575536440705315</v>
      </c>
      <c r="I24" s="6">
        <f t="shared" si="3"/>
        <v>-2.7218230509464214</v>
      </c>
      <c r="K24" s="49">
        <f t="shared" si="6"/>
        <v>7.0575536440705315</v>
      </c>
      <c r="L24" s="49">
        <f t="shared" si="7"/>
        <v>-2.7218230509464214</v>
      </c>
      <c r="M24" s="15">
        <f t="shared" si="8"/>
        <v>-2.8331678125311051</v>
      </c>
    </row>
    <row r="25" spans="1:21" ht="14.5" x14ac:dyDescent="0.35">
      <c r="A25" s="7">
        <v>18</v>
      </c>
      <c r="B25" s="12">
        <f>SMALL(Datos!$C$5:$C$204,A25)</f>
        <v>1196.5999999999999</v>
      </c>
      <c r="C25" s="13">
        <f>INDEX(Datos!$D$5:$D$204,MATCH(B25,Datos!$C$5:$C$204,0))</f>
        <v>0</v>
      </c>
      <c r="D25" s="7">
        <f t="shared" si="0"/>
        <v>183</v>
      </c>
      <c r="E25" s="6">
        <f t="shared" si="4"/>
        <v>0</v>
      </c>
      <c r="F25" s="6">
        <f t="shared" si="5"/>
        <v>13.053364002300173</v>
      </c>
      <c r="G25" s="14">
        <f t="shared" si="1"/>
        <v>0</v>
      </c>
      <c r="H25" s="6">
        <f t="shared" si="2"/>
        <v>7.0872394809559314</v>
      </c>
      <c r="I25" s="6">
        <f t="shared" si="3"/>
        <v>0</v>
      </c>
      <c r="K25" s="49" t="e">
        <f t="shared" si="6"/>
        <v>#N/A</v>
      </c>
      <c r="L25" s="49" t="e">
        <f t="shared" si="7"/>
        <v>#N/A</v>
      </c>
      <c r="M25" s="15" t="str">
        <f t="shared" si="8"/>
        <v/>
      </c>
      <c r="O25" s="3" t="s">
        <v>58</v>
      </c>
    </row>
    <row r="26" spans="1:21" ht="15" customHeight="1" x14ac:dyDescent="0.35">
      <c r="A26" s="7">
        <v>19</v>
      </c>
      <c r="B26" s="12">
        <f>SMALL(Datos!$C$5:$C$204,A26)</f>
        <v>1230.9000000000001</v>
      </c>
      <c r="C26" s="13">
        <f>INDEX(Datos!$D$5:$D$204,MATCH(B26,Datos!$C$5:$C$204,0))</f>
        <v>1</v>
      </c>
      <c r="D26" s="7">
        <f t="shared" si="0"/>
        <v>182</v>
      </c>
      <c r="E26" s="6">
        <f t="shared" si="4"/>
        <v>1.0270307978016384</v>
      </c>
      <c r="F26" s="6">
        <f t="shared" si="5"/>
        <v>14.080394800101811</v>
      </c>
      <c r="G26" s="14">
        <f t="shared" si="1"/>
        <v>6.8764445110288466E-2</v>
      </c>
      <c r="H26" s="6">
        <f t="shared" si="2"/>
        <v>7.1155008881162498</v>
      </c>
      <c r="I26" s="6">
        <f t="shared" si="3"/>
        <v>-2.6416584163993959</v>
      </c>
      <c r="K26" s="49">
        <f t="shared" si="6"/>
        <v>7.1155008881162498</v>
      </c>
      <c r="L26" s="49">
        <f t="shared" si="7"/>
        <v>-2.6416584163993959</v>
      </c>
      <c r="M26" s="15">
        <f t="shared" si="8"/>
        <v>-2.7225360739852</v>
      </c>
      <c r="O26" s="99" t="s">
        <v>59</v>
      </c>
      <c r="P26" s="99"/>
      <c r="Q26" s="99"/>
      <c r="R26" s="99"/>
      <c r="S26" s="99"/>
      <c r="T26" s="99"/>
      <c r="U26" s="99"/>
    </row>
    <row r="27" spans="1:21" ht="14.5" x14ac:dyDescent="0.35">
      <c r="A27" s="7">
        <v>20</v>
      </c>
      <c r="B27" s="12">
        <f>SMALL(Datos!$C$5:$C$204,A27)</f>
        <v>1240.7</v>
      </c>
      <c r="C27" s="13">
        <f>INDEX(Datos!$D$5:$D$204,MATCH(B27,Datos!$C$5:$C$204,0))</f>
        <v>0</v>
      </c>
      <c r="D27" s="7">
        <f t="shared" si="0"/>
        <v>181</v>
      </c>
      <c r="E27" s="6">
        <f t="shared" si="4"/>
        <v>0</v>
      </c>
      <c r="F27" s="6">
        <f t="shared" si="5"/>
        <v>14.080394800101811</v>
      </c>
      <c r="G27" s="14">
        <f t="shared" si="1"/>
        <v>0</v>
      </c>
      <c r="H27" s="6">
        <f t="shared" si="2"/>
        <v>7.1234310154488263</v>
      </c>
      <c r="I27" s="6">
        <f t="shared" si="3"/>
        <v>0</v>
      </c>
      <c r="K27" s="49" t="e">
        <f t="shared" si="6"/>
        <v>#N/A</v>
      </c>
      <c r="L27" s="49" t="e">
        <f t="shared" si="7"/>
        <v>#N/A</v>
      </c>
      <c r="M27" s="15" t="str">
        <f t="shared" si="8"/>
        <v/>
      </c>
      <c r="O27" s="99"/>
      <c r="P27" s="99"/>
      <c r="Q27" s="99"/>
      <c r="R27" s="99"/>
      <c r="S27" s="99"/>
      <c r="T27" s="99"/>
      <c r="U27" s="99"/>
    </row>
    <row r="28" spans="1:21" ht="14.5" x14ac:dyDescent="0.35">
      <c r="A28" s="7">
        <v>21</v>
      </c>
      <c r="B28" s="12">
        <f>SMALL(Datos!$C$5:$C$204,A28)</f>
        <v>1265.2</v>
      </c>
      <c r="C28" s="13">
        <f>INDEX(Datos!$D$5:$D$204,MATCH(B28,Datos!$C$5:$C$204,0))</f>
        <v>0</v>
      </c>
      <c r="D28" s="7">
        <f t="shared" si="0"/>
        <v>180</v>
      </c>
      <c r="E28" s="6">
        <f t="shared" si="4"/>
        <v>0</v>
      </c>
      <c r="F28" s="6">
        <f t="shared" si="5"/>
        <v>14.080394800101811</v>
      </c>
      <c r="G28" s="14">
        <f t="shared" si="1"/>
        <v>0</v>
      </c>
      <c r="H28" s="6">
        <f t="shared" si="2"/>
        <v>7.1429854914314941</v>
      </c>
      <c r="I28" s="6">
        <f t="shared" si="3"/>
        <v>0</v>
      </c>
      <c r="K28" s="49" t="e">
        <f t="shared" si="6"/>
        <v>#N/A</v>
      </c>
      <c r="L28" s="49" t="e">
        <f t="shared" si="7"/>
        <v>#N/A</v>
      </c>
      <c r="M28" s="15" t="str">
        <f t="shared" si="8"/>
        <v/>
      </c>
      <c r="O28" s="99"/>
      <c r="P28" s="99"/>
      <c r="Q28" s="99"/>
      <c r="R28" s="99"/>
      <c r="S28" s="99"/>
      <c r="T28" s="99"/>
      <c r="U28" s="99"/>
    </row>
    <row r="29" spans="1:21" ht="14.5" x14ac:dyDescent="0.35">
      <c r="A29" s="7">
        <v>22</v>
      </c>
      <c r="B29" s="12">
        <f>SMALL(Datos!$C$5:$C$204,A29)</f>
        <v>1308.3</v>
      </c>
      <c r="C29" s="13">
        <f>INDEX(Datos!$D$5:$D$204,MATCH(B29,Datos!$C$5:$C$204,0))</f>
        <v>0</v>
      </c>
      <c r="D29" s="7">
        <f t="shared" si="0"/>
        <v>179</v>
      </c>
      <c r="E29" s="6">
        <f t="shared" si="4"/>
        <v>0</v>
      </c>
      <c r="F29" s="6">
        <f t="shared" si="5"/>
        <v>14.080394800101811</v>
      </c>
      <c r="G29" s="14">
        <f t="shared" si="1"/>
        <v>0</v>
      </c>
      <c r="H29" s="6">
        <f t="shared" si="2"/>
        <v>7.1764838635168307</v>
      </c>
      <c r="I29" s="6">
        <f t="shared" si="3"/>
        <v>0</v>
      </c>
      <c r="K29" s="49" t="e">
        <f t="shared" si="6"/>
        <v>#N/A</v>
      </c>
      <c r="L29" s="49" t="e">
        <f t="shared" si="7"/>
        <v>#N/A</v>
      </c>
      <c r="M29" s="15" t="str">
        <f t="shared" si="8"/>
        <v/>
      </c>
      <c r="O29" s="99"/>
      <c r="P29" s="99"/>
      <c r="Q29" s="99"/>
      <c r="R29" s="99"/>
      <c r="S29" s="99"/>
      <c r="T29" s="99"/>
      <c r="U29" s="99"/>
    </row>
    <row r="30" spans="1:21" ht="14.5" x14ac:dyDescent="0.35">
      <c r="A30" s="7">
        <v>23</v>
      </c>
      <c r="B30" s="12">
        <f>SMALL(Datos!$C$5:$C$204,A30)</f>
        <v>1360.3</v>
      </c>
      <c r="C30" s="13">
        <f>INDEX(Datos!$D$5:$D$204,MATCH(B30,Datos!$C$5:$C$204,0))</f>
        <v>1</v>
      </c>
      <c r="D30" s="7">
        <f t="shared" si="0"/>
        <v>178</v>
      </c>
      <c r="E30" s="6">
        <f t="shared" si="4"/>
        <v>1.0442436044687051</v>
      </c>
      <c r="F30" s="6">
        <f t="shared" si="5"/>
        <v>15.124638404570515</v>
      </c>
      <c r="G30" s="14">
        <f t="shared" si="1"/>
        <v>7.3975241539773029E-2</v>
      </c>
      <c r="H30" s="6">
        <f t="shared" si="2"/>
        <v>7.2154605426393843</v>
      </c>
      <c r="I30" s="6">
        <f t="shared" si="3"/>
        <v>-2.5658437572789405</v>
      </c>
      <c r="K30" s="49">
        <f t="shared" si="6"/>
        <v>7.2154605426393843</v>
      </c>
      <c r="L30" s="49">
        <f t="shared" si="7"/>
        <v>-2.5658437572789405</v>
      </c>
      <c r="M30" s="15">
        <f t="shared" si="8"/>
        <v>-2.5316950677137449</v>
      </c>
      <c r="O30" s="99"/>
      <c r="P30" s="99"/>
      <c r="Q30" s="99"/>
      <c r="R30" s="99"/>
      <c r="S30" s="99"/>
      <c r="T30" s="99"/>
      <c r="U30" s="99"/>
    </row>
    <row r="31" spans="1:21" ht="14.5" x14ac:dyDescent="0.35">
      <c r="A31" s="7">
        <v>24</v>
      </c>
      <c r="B31" s="12">
        <f>SMALL(Datos!$C$5:$C$204,A31)</f>
        <v>1392.9</v>
      </c>
      <c r="C31" s="13">
        <f>INDEX(Datos!$D$5:$D$204,MATCH(B31,Datos!$C$5:$C$204,0))</f>
        <v>1</v>
      </c>
      <c r="D31" s="7">
        <f t="shared" si="0"/>
        <v>177</v>
      </c>
      <c r="E31" s="6">
        <f t="shared" si="4"/>
        <v>1.0442436044687051</v>
      </c>
      <c r="F31" s="6">
        <f t="shared" si="5"/>
        <v>16.168882009039219</v>
      </c>
      <c r="G31" s="14">
        <f t="shared" si="1"/>
        <v>7.9186037969257578E-2</v>
      </c>
      <c r="H31" s="6">
        <f t="shared" si="2"/>
        <v>7.2391431836939857</v>
      </c>
      <c r="I31" s="6">
        <f t="shared" si="3"/>
        <v>-2.4949902134152451</v>
      </c>
      <c r="K31" s="49">
        <f t="shared" si="6"/>
        <v>7.2391431836939857</v>
      </c>
      <c r="L31" s="49">
        <f t="shared" si="7"/>
        <v>-2.4949902134152451</v>
      </c>
      <c r="M31" s="15">
        <f t="shared" si="8"/>
        <v>-2.4864806352350914</v>
      </c>
      <c r="O31" s="99"/>
      <c r="P31" s="99"/>
      <c r="Q31" s="99"/>
      <c r="R31" s="99"/>
      <c r="S31" s="99"/>
      <c r="T31" s="99"/>
      <c r="U31" s="99"/>
    </row>
    <row r="32" spans="1:21" ht="14.5" x14ac:dyDescent="0.35">
      <c r="A32" s="7">
        <v>25</v>
      </c>
      <c r="B32" s="12">
        <f>SMALL(Datos!$C$5:$C$204,A32)</f>
        <v>1441.9</v>
      </c>
      <c r="C32" s="13">
        <f>INDEX(Datos!$D$5:$D$204,MATCH(B32,Datos!$C$5:$C$204,0))</f>
        <v>1</v>
      </c>
      <c r="D32" s="7">
        <f t="shared" si="0"/>
        <v>176</v>
      </c>
      <c r="E32" s="6">
        <f t="shared" si="4"/>
        <v>1.0442436044687051</v>
      </c>
      <c r="F32" s="6">
        <f t="shared" si="5"/>
        <v>17.213125613507923</v>
      </c>
      <c r="G32" s="14">
        <f t="shared" si="1"/>
        <v>8.4396834398742127E-2</v>
      </c>
      <c r="H32" s="6">
        <f t="shared" si="2"/>
        <v>7.273716967312601</v>
      </c>
      <c r="I32" s="6">
        <f t="shared" si="3"/>
        <v>-2.4284631784205808</v>
      </c>
      <c r="K32" s="49">
        <f t="shared" si="6"/>
        <v>7.273716967312601</v>
      </c>
      <c r="L32" s="49">
        <f t="shared" si="7"/>
        <v>-2.4284631784205808</v>
      </c>
      <c r="M32" s="15">
        <f t="shared" si="8"/>
        <v>-2.4204730475952108</v>
      </c>
      <c r="O32" s="99"/>
      <c r="P32" s="99"/>
      <c r="Q32" s="99"/>
      <c r="R32" s="99"/>
      <c r="S32" s="99"/>
      <c r="T32" s="99"/>
      <c r="U32" s="99"/>
    </row>
    <row r="33" spans="1:21" ht="14.5" x14ac:dyDescent="0.35">
      <c r="A33" s="7">
        <v>26</v>
      </c>
      <c r="B33" s="12">
        <f>SMALL(Datos!$C$5:$C$204,A33)</f>
        <v>1442.2</v>
      </c>
      <c r="C33" s="13">
        <f>INDEX(Datos!$D$5:$D$204,MATCH(B33,Datos!$C$5:$C$204,0))</f>
        <v>1</v>
      </c>
      <c r="D33" s="7">
        <f t="shared" si="0"/>
        <v>175</v>
      </c>
      <c r="E33" s="6">
        <f t="shared" si="4"/>
        <v>1.0442436044687051</v>
      </c>
      <c r="F33" s="6">
        <f t="shared" si="5"/>
        <v>18.257369217976628</v>
      </c>
      <c r="G33" s="14">
        <f t="shared" si="1"/>
        <v>8.9607630828226675E-2</v>
      </c>
      <c r="H33" s="6">
        <f t="shared" si="2"/>
        <v>7.2739250044826589</v>
      </c>
      <c r="I33" s="6">
        <f t="shared" si="3"/>
        <v>-2.3657421955415652</v>
      </c>
      <c r="K33" s="49">
        <f t="shared" si="6"/>
        <v>7.2739250044826589</v>
      </c>
      <c r="L33" s="49">
        <f t="shared" si="7"/>
        <v>-2.3657421955415652</v>
      </c>
      <c r="M33" s="15">
        <f t="shared" si="8"/>
        <v>-2.4200758671220974</v>
      </c>
      <c r="O33" s="99"/>
      <c r="P33" s="99"/>
      <c r="Q33" s="99"/>
      <c r="R33" s="99"/>
      <c r="S33" s="99"/>
      <c r="T33" s="99"/>
      <c r="U33" s="99"/>
    </row>
    <row r="34" spans="1:21" ht="14.5" x14ac:dyDescent="0.35">
      <c r="A34" s="7">
        <v>27</v>
      </c>
      <c r="B34" s="12">
        <f>SMALL(Datos!$C$5:$C$204,A34)</f>
        <v>1449.1</v>
      </c>
      <c r="C34" s="13">
        <f>INDEX(Datos!$D$5:$D$204,MATCH(B34,Datos!$C$5:$C$204,0))</f>
        <v>0</v>
      </c>
      <c r="D34" s="7">
        <f t="shared" si="0"/>
        <v>174</v>
      </c>
      <c r="E34" s="6">
        <f t="shared" si="4"/>
        <v>0</v>
      </c>
      <c r="F34" s="6">
        <f t="shared" si="5"/>
        <v>18.257369217976628</v>
      </c>
      <c r="G34" s="14">
        <f t="shared" si="1"/>
        <v>0</v>
      </c>
      <c r="H34" s="6">
        <f t="shared" si="2"/>
        <v>7.2786979530518785</v>
      </c>
      <c r="I34" s="6">
        <f t="shared" si="3"/>
        <v>0</v>
      </c>
      <c r="K34" s="49" t="e">
        <f t="shared" si="6"/>
        <v>#N/A</v>
      </c>
      <c r="L34" s="49" t="e">
        <f t="shared" si="7"/>
        <v>#N/A</v>
      </c>
      <c r="M34" s="15" t="str">
        <f t="shared" si="8"/>
        <v/>
      </c>
      <c r="O34" s="99"/>
      <c r="P34" s="99"/>
      <c r="Q34" s="99"/>
      <c r="R34" s="99"/>
      <c r="S34" s="99"/>
      <c r="T34" s="99"/>
      <c r="U34" s="99"/>
    </row>
    <row r="35" spans="1:21" ht="14.5" x14ac:dyDescent="0.35">
      <c r="A35" s="7">
        <v>28</v>
      </c>
      <c r="B35" s="12">
        <f>SMALL(Datos!$C$5:$C$204,A35)</f>
        <v>1472.7</v>
      </c>
      <c r="C35" s="13">
        <f>INDEX(Datos!$D$5:$D$204,MATCH(B35,Datos!$C$5:$C$204,0))</f>
        <v>1</v>
      </c>
      <c r="D35" s="7">
        <f t="shared" si="0"/>
        <v>173</v>
      </c>
      <c r="E35" s="6">
        <f t="shared" si="4"/>
        <v>1.0502450044943872</v>
      </c>
      <c r="F35" s="6">
        <f t="shared" si="5"/>
        <v>19.307614222471013</v>
      </c>
      <c r="G35" s="14">
        <f t="shared" si="1"/>
        <v>9.4848374363627808E-2</v>
      </c>
      <c r="H35" s="6">
        <f t="shared" si="2"/>
        <v>7.2948527297321162</v>
      </c>
      <c r="I35" s="6">
        <f t="shared" si="3"/>
        <v>-2.3060630623619573</v>
      </c>
      <c r="K35" s="49">
        <f t="shared" si="6"/>
        <v>7.2948527297321162</v>
      </c>
      <c r="L35" s="49">
        <f t="shared" si="7"/>
        <v>-2.3060630623619573</v>
      </c>
      <c r="M35" s="15">
        <f t="shared" si="8"/>
        <v>-2.3801210657111476</v>
      </c>
      <c r="O35" s="99"/>
      <c r="P35" s="99"/>
      <c r="Q35" s="99"/>
      <c r="R35" s="99"/>
      <c r="S35" s="99"/>
      <c r="T35" s="99"/>
      <c r="U35" s="99"/>
    </row>
    <row r="36" spans="1:21" ht="14.5" x14ac:dyDescent="0.35">
      <c r="A36" s="7">
        <v>29</v>
      </c>
      <c r="B36" s="12">
        <f>SMALL(Datos!$C$5:$C$204,A36)</f>
        <v>1472.8</v>
      </c>
      <c r="C36" s="13">
        <f>INDEX(Datos!$D$5:$D$204,MATCH(B36,Datos!$C$5:$C$204,0))</f>
        <v>0</v>
      </c>
      <c r="D36" s="7">
        <f t="shared" si="0"/>
        <v>172</v>
      </c>
      <c r="E36" s="6">
        <f t="shared" si="4"/>
        <v>0</v>
      </c>
      <c r="F36" s="6">
        <f t="shared" si="5"/>
        <v>19.307614222471013</v>
      </c>
      <c r="G36" s="14">
        <f t="shared" si="1"/>
        <v>0</v>
      </c>
      <c r="H36" s="6">
        <f t="shared" si="2"/>
        <v>7.2949206299188685</v>
      </c>
      <c r="I36" s="6">
        <f t="shared" si="3"/>
        <v>0</v>
      </c>
      <c r="K36" s="49" t="e">
        <f t="shared" si="6"/>
        <v>#N/A</v>
      </c>
      <c r="L36" s="49" t="e">
        <f t="shared" si="7"/>
        <v>#N/A</v>
      </c>
      <c r="M36" s="15" t="str">
        <f t="shared" si="8"/>
        <v/>
      </c>
      <c r="O36" s="99"/>
      <c r="P36" s="99"/>
      <c r="Q36" s="99"/>
      <c r="R36" s="99"/>
      <c r="S36" s="99"/>
      <c r="T36" s="99"/>
      <c r="U36" s="99"/>
    </row>
    <row r="37" spans="1:21" ht="14.5" x14ac:dyDescent="0.35">
      <c r="A37" s="7">
        <v>30</v>
      </c>
      <c r="B37" s="12">
        <f>SMALL(Datos!$C$5:$C$204,A37)</f>
        <v>1474.1</v>
      </c>
      <c r="C37" s="13">
        <f>INDEX(Datos!$D$5:$D$204,MATCH(B37,Datos!$C$5:$C$204,0))</f>
        <v>0</v>
      </c>
      <c r="D37" s="7">
        <f t="shared" si="0"/>
        <v>171</v>
      </c>
      <c r="E37" s="6">
        <f t="shared" si="4"/>
        <v>0</v>
      </c>
      <c r="F37" s="6">
        <f t="shared" si="5"/>
        <v>19.307614222471013</v>
      </c>
      <c r="G37" s="14">
        <f t="shared" si="1"/>
        <v>0</v>
      </c>
      <c r="H37" s="6">
        <f t="shared" si="2"/>
        <v>7.2958029130532323</v>
      </c>
      <c r="I37" s="6">
        <f t="shared" si="3"/>
        <v>0</v>
      </c>
      <c r="K37" s="49" t="e">
        <f t="shared" si="6"/>
        <v>#N/A</v>
      </c>
      <c r="L37" s="49" t="e">
        <f t="shared" si="7"/>
        <v>#N/A</v>
      </c>
      <c r="M37" s="15" t="str">
        <f t="shared" si="8"/>
        <v/>
      </c>
    </row>
    <row r="38" spans="1:21" ht="14.5" x14ac:dyDescent="0.35">
      <c r="A38" s="7">
        <v>31</v>
      </c>
      <c r="B38" s="12">
        <f>SMALL(Datos!$C$5:$C$204,A38)</f>
        <v>1528.3</v>
      </c>
      <c r="C38" s="13">
        <f>INDEX(Datos!$D$5:$D$204,MATCH(B38,Datos!$C$5:$C$204,0))</f>
        <v>0</v>
      </c>
      <c r="D38" s="7">
        <f t="shared" si="0"/>
        <v>170</v>
      </c>
      <c r="E38" s="6">
        <f t="shared" si="4"/>
        <v>0</v>
      </c>
      <c r="F38" s="6">
        <f t="shared" si="5"/>
        <v>19.307614222471013</v>
      </c>
      <c r="G38" s="14">
        <f t="shared" si="1"/>
        <v>0</v>
      </c>
      <c r="H38" s="6">
        <f t="shared" si="2"/>
        <v>7.3319112855337902</v>
      </c>
      <c r="I38" s="6">
        <f t="shared" si="3"/>
        <v>0</v>
      </c>
      <c r="K38" s="49" t="e">
        <f t="shared" si="6"/>
        <v>#N/A</v>
      </c>
      <c r="L38" s="49" t="e">
        <f t="shared" si="7"/>
        <v>#N/A</v>
      </c>
      <c r="M38" s="15" t="str">
        <f t="shared" si="8"/>
        <v/>
      </c>
    </row>
    <row r="39" spans="1:21" ht="14.5" x14ac:dyDescent="0.35">
      <c r="A39" s="7">
        <v>32</v>
      </c>
      <c r="B39" s="12">
        <f>SMALL(Datos!$C$5:$C$204,A39)</f>
        <v>1535.6</v>
      </c>
      <c r="C39" s="13">
        <f>INDEX(Datos!$D$5:$D$204,MATCH(B39,Datos!$C$5:$C$204,0))</f>
        <v>0</v>
      </c>
      <c r="D39" s="7">
        <f t="shared" si="0"/>
        <v>169</v>
      </c>
      <c r="E39" s="6">
        <f t="shared" si="4"/>
        <v>0</v>
      </c>
      <c r="F39" s="6">
        <f t="shared" si="5"/>
        <v>19.307614222471013</v>
      </c>
      <c r="G39" s="14">
        <f t="shared" si="1"/>
        <v>0</v>
      </c>
      <c r="H39" s="6">
        <f t="shared" si="2"/>
        <v>7.3366764631266426</v>
      </c>
      <c r="I39" s="6">
        <f t="shared" si="3"/>
        <v>0</v>
      </c>
      <c r="K39" s="49" t="e">
        <f t="shared" si="6"/>
        <v>#N/A</v>
      </c>
      <c r="L39" s="49" t="e">
        <f t="shared" si="7"/>
        <v>#N/A</v>
      </c>
      <c r="M39" s="15" t="str">
        <f t="shared" si="8"/>
        <v/>
      </c>
    </row>
    <row r="40" spans="1:21" ht="14.5" x14ac:dyDescent="0.35">
      <c r="A40" s="7">
        <v>33</v>
      </c>
      <c r="B40" s="12">
        <f>SMALL(Datos!$C$5:$C$204,A40)</f>
        <v>1544.6</v>
      </c>
      <c r="C40" s="13">
        <f>INDEX(Datos!$D$5:$D$204,MATCH(B40,Datos!$C$5:$C$204,0))</f>
        <v>0</v>
      </c>
      <c r="D40" s="7">
        <f t="shared" ref="D40:D71" si="9">$B$4-A40+1</f>
        <v>168</v>
      </c>
      <c r="E40" s="6">
        <f t="shared" si="4"/>
        <v>0</v>
      </c>
      <c r="F40" s="6">
        <f t="shared" si="5"/>
        <v>19.307614222471013</v>
      </c>
      <c r="G40" s="14">
        <f t="shared" ref="G40:G71" si="10">IF(C40=1,(F40-0.3)/($B$4+0.4),0)</f>
        <v>0</v>
      </c>
      <c r="H40" s="6">
        <f t="shared" ref="H40:H71" si="11">LN(B40)</f>
        <v>7.3425202561351632</v>
      </c>
      <c r="I40" s="6">
        <f t="shared" ref="I40:I71" si="12">IF(C40=1,LN(-LN(1-G40)),0)</f>
        <v>0</v>
      </c>
      <c r="K40" s="49" t="e">
        <f t="shared" si="6"/>
        <v>#N/A</v>
      </c>
      <c r="L40" s="49" t="e">
        <f t="shared" si="7"/>
        <v>#N/A</v>
      </c>
      <c r="M40" s="15" t="str">
        <f t="shared" ref="M40:M71" si="13">IF(C40=1,$P$12*H40+$P$13,"")</f>
        <v/>
      </c>
    </row>
    <row r="41" spans="1:21" ht="14.5" x14ac:dyDescent="0.35">
      <c r="A41" s="7">
        <v>34</v>
      </c>
      <c r="B41" s="12">
        <f>SMALL(Datos!$C$5:$C$204,A41)</f>
        <v>1575.6</v>
      </c>
      <c r="C41" s="13">
        <f>INDEX(Datos!$D$5:$D$204,MATCH(B41,Datos!$C$5:$C$204,0))</f>
        <v>0</v>
      </c>
      <c r="D41" s="7">
        <f t="shared" si="9"/>
        <v>167</v>
      </c>
      <c r="E41" s="6">
        <f t="shared" ref="E41:E72" si="14">IF(C41=1,($B$4+1-F40)/(1+D41),0)</f>
        <v>0</v>
      </c>
      <c r="F41" s="6">
        <f t="shared" ref="F41:F72" si="15">F40+E41</f>
        <v>19.307614222471013</v>
      </c>
      <c r="G41" s="14">
        <f t="shared" si="10"/>
        <v>0</v>
      </c>
      <c r="H41" s="6">
        <f t="shared" si="11"/>
        <v>7.3623914310967509</v>
      </c>
      <c r="I41" s="6">
        <f t="shared" si="12"/>
        <v>0</v>
      </c>
      <c r="K41" s="49" t="e">
        <f t="shared" si="6"/>
        <v>#N/A</v>
      </c>
      <c r="L41" s="49" t="e">
        <f t="shared" si="7"/>
        <v>#N/A</v>
      </c>
      <c r="M41" s="15" t="str">
        <f t="shared" si="13"/>
        <v/>
      </c>
    </row>
    <row r="42" spans="1:21" ht="14.5" x14ac:dyDescent="0.35">
      <c r="A42" s="7">
        <v>35</v>
      </c>
      <c r="B42" s="12">
        <f>SMALL(Datos!$C$5:$C$204,A42)</f>
        <v>1615.9</v>
      </c>
      <c r="C42" s="13">
        <f>INDEX(Datos!$D$5:$D$204,MATCH(B42,Datos!$C$5:$C$204,0))</f>
        <v>0</v>
      </c>
      <c r="D42" s="7">
        <f t="shared" si="9"/>
        <v>166</v>
      </c>
      <c r="E42" s="6">
        <f t="shared" si="14"/>
        <v>0</v>
      </c>
      <c r="F42" s="6">
        <f t="shared" si="15"/>
        <v>19.307614222471013</v>
      </c>
      <c r="G42" s="14">
        <f t="shared" si="10"/>
        <v>0</v>
      </c>
      <c r="H42" s="6">
        <f t="shared" si="11"/>
        <v>7.3876473559782019</v>
      </c>
      <c r="I42" s="6">
        <f t="shared" si="12"/>
        <v>0</v>
      </c>
      <c r="K42" s="49" t="e">
        <f t="shared" si="6"/>
        <v>#N/A</v>
      </c>
      <c r="L42" s="49" t="e">
        <f t="shared" si="7"/>
        <v>#N/A</v>
      </c>
      <c r="M42" s="15" t="str">
        <f t="shared" si="13"/>
        <v/>
      </c>
    </row>
    <row r="43" spans="1:21" ht="14.5" x14ac:dyDescent="0.35">
      <c r="A43" s="7">
        <v>36</v>
      </c>
      <c r="B43" s="12">
        <f>SMALL(Datos!$C$5:$C$204,A43)</f>
        <v>1642.5</v>
      </c>
      <c r="C43" s="13">
        <f>INDEX(Datos!$D$5:$D$204,MATCH(B43,Datos!$C$5:$C$204,0))</f>
        <v>1</v>
      </c>
      <c r="D43" s="7">
        <f t="shared" si="9"/>
        <v>165</v>
      </c>
      <c r="E43" s="6">
        <f t="shared" si="14"/>
        <v>1.0945324444429456</v>
      </c>
      <c r="F43" s="6">
        <f t="shared" si="15"/>
        <v>20.402146666913957</v>
      </c>
      <c r="G43" s="14">
        <f t="shared" si="10"/>
        <v>0.10031011310835307</v>
      </c>
      <c r="H43" s="6">
        <f t="shared" si="11"/>
        <v>7.4039747503587652</v>
      </c>
      <c r="I43" s="6">
        <f t="shared" si="12"/>
        <v>-2.2471017103167159</v>
      </c>
      <c r="K43" s="49">
        <f t="shared" si="6"/>
        <v>7.4039747503587652</v>
      </c>
      <c r="L43" s="49">
        <f t="shared" si="7"/>
        <v>-2.2471017103167159</v>
      </c>
      <c r="M43" s="15">
        <f t="shared" si="13"/>
        <v>-2.1717874502928947</v>
      </c>
    </row>
    <row r="44" spans="1:21" ht="14.5" x14ac:dyDescent="0.35">
      <c r="A44" s="7">
        <v>37</v>
      </c>
      <c r="B44" s="12">
        <f>SMALL(Datos!$C$5:$C$204,A44)</f>
        <v>1670.7</v>
      </c>
      <c r="C44" s="13">
        <f>INDEX(Datos!$D$5:$D$204,MATCH(B44,Datos!$C$5:$C$204,0))</f>
        <v>0</v>
      </c>
      <c r="D44" s="7">
        <f t="shared" si="9"/>
        <v>164</v>
      </c>
      <c r="E44" s="6">
        <f t="shared" si="14"/>
        <v>0</v>
      </c>
      <c r="F44" s="6">
        <f t="shared" si="15"/>
        <v>20.402146666913957</v>
      </c>
      <c r="G44" s="14">
        <f t="shared" si="10"/>
        <v>0</v>
      </c>
      <c r="H44" s="6">
        <f t="shared" si="11"/>
        <v>7.4209979792637331</v>
      </c>
      <c r="I44" s="6">
        <f t="shared" si="12"/>
        <v>0</v>
      </c>
      <c r="K44" s="49" t="e">
        <f t="shared" si="6"/>
        <v>#N/A</v>
      </c>
      <c r="L44" s="49" t="e">
        <f t="shared" si="7"/>
        <v>#N/A</v>
      </c>
      <c r="M44" s="15" t="str">
        <f t="shared" si="13"/>
        <v/>
      </c>
    </row>
    <row r="45" spans="1:21" ht="14.5" x14ac:dyDescent="0.35">
      <c r="A45" s="7">
        <v>38</v>
      </c>
      <c r="B45" s="12">
        <f>SMALL(Datos!$C$5:$C$204,A45)</f>
        <v>1712.9</v>
      </c>
      <c r="C45" s="13">
        <f>INDEX(Datos!$D$5:$D$204,MATCH(B45,Datos!$C$5:$C$204,0))</f>
        <v>0</v>
      </c>
      <c r="D45" s="7">
        <f t="shared" si="9"/>
        <v>163</v>
      </c>
      <c r="E45" s="6">
        <f t="shared" si="14"/>
        <v>0</v>
      </c>
      <c r="F45" s="6">
        <f t="shared" si="15"/>
        <v>20.402146666913957</v>
      </c>
      <c r="G45" s="14">
        <f t="shared" si="10"/>
        <v>0</v>
      </c>
      <c r="H45" s="6">
        <f t="shared" si="11"/>
        <v>7.4459431195039389</v>
      </c>
      <c r="I45" s="6">
        <f t="shared" si="12"/>
        <v>0</v>
      </c>
      <c r="K45" s="49" t="e">
        <f t="shared" si="6"/>
        <v>#N/A</v>
      </c>
      <c r="L45" s="49" t="e">
        <f t="shared" si="7"/>
        <v>#N/A</v>
      </c>
      <c r="M45" s="15" t="str">
        <f t="shared" si="13"/>
        <v/>
      </c>
    </row>
    <row r="46" spans="1:21" ht="14.5" x14ac:dyDescent="0.35">
      <c r="A46" s="7">
        <v>39</v>
      </c>
      <c r="B46" s="12">
        <f>SMALL(Datos!$C$5:$C$204,A46)</f>
        <v>1728</v>
      </c>
      <c r="C46" s="13">
        <f>INDEX(Datos!$D$5:$D$204,MATCH(B46,Datos!$C$5:$C$204,0))</f>
        <v>1</v>
      </c>
      <c r="D46" s="7">
        <f t="shared" si="9"/>
        <v>162</v>
      </c>
      <c r="E46" s="6">
        <f t="shared" si="14"/>
        <v>1.107962290387031</v>
      </c>
      <c r="F46" s="6">
        <f t="shared" si="15"/>
        <v>21.510108957300989</v>
      </c>
      <c r="G46" s="14">
        <f t="shared" si="10"/>
        <v>0.10583886705240014</v>
      </c>
      <c r="H46" s="6">
        <f t="shared" si="11"/>
        <v>7.4547199493640006</v>
      </c>
      <c r="I46" s="6">
        <f t="shared" si="12"/>
        <v>-2.1904242156204843</v>
      </c>
      <c r="K46" s="49">
        <f t="shared" si="6"/>
        <v>7.4547199493640006</v>
      </c>
      <c r="L46" s="49">
        <f t="shared" si="7"/>
        <v>-2.1904242156204843</v>
      </c>
      <c r="M46" s="15">
        <f t="shared" si="13"/>
        <v>-2.0749057144785414</v>
      </c>
    </row>
    <row r="47" spans="1:21" ht="14.5" x14ac:dyDescent="0.35">
      <c r="A47" s="7">
        <v>40</v>
      </c>
      <c r="B47" s="12">
        <f>SMALL(Datos!$C$5:$C$204,A47)</f>
        <v>1758.9</v>
      </c>
      <c r="C47" s="13">
        <f>INDEX(Datos!$D$5:$D$204,MATCH(B47,Datos!$C$5:$C$204,0))</f>
        <v>0</v>
      </c>
      <c r="D47" s="7">
        <f t="shared" si="9"/>
        <v>161</v>
      </c>
      <c r="E47" s="6">
        <f t="shared" si="14"/>
        <v>0</v>
      </c>
      <c r="F47" s="6">
        <f t="shared" si="15"/>
        <v>21.510108957300989</v>
      </c>
      <c r="G47" s="14">
        <f t="shared" si="10"/>
        <v>0</v>
      </c>
      <c r="H47" s="6">
        <f t="shared" si="11"/>
        <v>7.472443892638279</v>
      </c>
      <c r="I47" s="6">
        <f t="shared" si="12"/>
        <v>0</v>
      </c>
      <c r="K47" s="49" t="e">
        <f t="shared" si="6"/>
        <v>#N/A</v>
      </c>
      <c r="L47" s="49" t="e">
        <f t="shared" si="7"/>
        <v>#N/A</v>
      </c>
      <c r="M47" s="15" t="str">
        <f t="shared" si="13"/>
        <v/>
      </c>
    </row>
    <row r="48" spans="1:21" ht="14.5" x14ac:dyDescent="0.35">
      <c r="A48" s="7">
        <v>41</v>
      </c>
      <c r="B48" s="12">
        <f>SMALL(Datos!$C$5:$C$204,A48)</f>
        <v>1775.5</v>
      </c>
      <c r="C48" s="13">
        <f>INDEX(Datos!$D$5:$D$204,MATCH(B48,Datos!$C$5:$C$204,0))</f>
        <v>0</v>
      </c>
      <c r="D48" s="7">
        <f t="shared" si="9"/>
        <v>160</v>
      </c>
      <c r="E48" s="6">
        <f t="shared" si="14"/>
        <v>0</v>
      </c>
      <c r="F48" s="6">
        <f t="shared" si="15"/>
        <v>21.510108957300989</v>
      </c>
      <c r="G48" s="14">
        <f t="shared" si="10"/>
        <v>0</v>
      </c>
      <c r="H48" s="6">
        <f t="shared" si="11"/>
        <v>7.4818373523831427</v>
      </c>
      <c r="I48" s="6">
        <f t="shared" si="12"/>
        <v>0</v>
      </c>
      <c r="K48" s="49" t="e">
        <f t="shared" si="6"/>
        <v>#N/A</v>
      </c>
      <c r="L48" s="49" t="e">
        <f t="shared" si="7"/>
        <v>#N/A</v>
      </c>
      <c r="M48" s="15" t="str">
        <f t="shared" si="13"/>
        <v/>
      </c>
    </row>
    <row r="49" spans="1:13" ht="14.5" x14ac:dyDescent="0.35">
      <c r="A49" s="7">
        <v>42</v>
      </c>
      <c r="B49" s="12">
        <f>SMALL(Datos!$C$5:$C$204,A49)</f>
        <v>1821.5</v>
      </c>
      <c r="C49" s="13">
        <f>INDEX(Datos!$D$5:$D$204,MATCH(B49,Datos!$C$5:$C$204,0))</f>
        <v>0</v>
      </c>
      <c r="D49" s="7">
        <f t="shared" si="9"/>
        <v>159</v>
      </c>
      <c r="E49" s="6">
        <f t="shared" si="14"/>
        <v>0</v>
      </c>
      <c r="F49" s="6">
        <f t="shared" si="15"/>
        <v>21.510108957300989</v>
      </c>
      <c r="G49" s="14">
        <f t="shared" si="10"/>
        <v>0</v>
      </c>
      <c r="H49" s="6">
        <f t="shared" si="11"/>
        <v>7.5074156164486183</v>
      </c>
      <c r="I49" s="6">
        <f t="shared" si="12"/>
        <v>0</v>
      </c>
      <c r="K49" s="49" t="e">
        <f t="shared" si="6"/>
        <v>#N/A</v>
      </c>
      <c r="L49" s="49" t="e">
        <f t="shared" si="7"/>
        <v>#N/A</v>
      </c>
      <c r="M49" s="15" t="str">
        <f t="shared" si="13"/>
        <v/>
      </c>
    </row>
    <row r="50" spans="1:13" ht="14.5" x14ac:dyDescent="0.35">
      <c r="A50" s="7">
        <v>43</v>
      </c>
      <c r="B50" s="12">
        <f>SMALL(Datos!$C$5:$C$204,A50)</f>
        <v>1884.7</v>
      </c>
      <c r="C50" s="13">
        <f>INDEX(Datos!$D$5:$D$204,MATCH(B50,Datos!$C$5:$C$204,0))</f>
        <v>1</v>
      </c>
      <c r="D50" s="7">
        <f t="shared" si="9"/>
        <v>158</v>
      </c>
      <c r="E50" s="6">
        <f t="shared" si="14"/>
        <v>1.1288672392622578</v>
      </c>
      <c r="F50" s="6">
        <f t="shared" si="15"/>
        <v>22.638976196563249</v>
      </c>
      <c r="G50" s="14">
        <f t="shared" si="10"/>
        <v>0.11147193710859904</v>
      </c>
      <c r="H50" s="6">
        <f t="shared" si="11"/>
        <v>7.5415239360225819</v>
      </c>
      <c r="I50" s="6">
        <f t="shared" si="12"/>
        <v>-2.1354698406120405</v>
      </c>
      <c r="K50" s="49">
        <f t="shared" si="6"/>
        <v>7.5415239360225819</v>
      </c>
      <c r="L50" s="49">
        <f t="shared" si="7"/>
        <v>-2.1354698406120405</v>
      </c>
      <c r="M50" s="15">
        <f t="shared" si="13"/>
        <v>-1.9091812505303025</v>
      </c>
    </row>
    <row r="51" spans="1:13" ht="14.5" x14ac:dyDescent="0.35">
      <c r="A51" s="7">
        <v>44</v>
      </c>
      <c r="B51" s="12">
        <f>SMALL(Datos!$C$5:$C$204,A51)</f>
        <v>1888.1</v>
      </c>
      <c r="C51" s="13">
        <f>INDEX(Datos!$D$5:$D$204,MATCH(B51,Datos!$C$5:$C$204,0))</f>
        <v>0</v>
      </c>
      <c r="D51" s="7">
        <f t="shared" si="9"/>
        <v>157</v>
      </c>
      <c r="E51" s="6">
        <f t="shared" si="14"/>
        <v>0</v>
      </c>
      <c r="F51" s="6">
        <f t="shared" si="15"/>
        <v>22.638976196563249</v>
      </c>
      <c r="G51" s="14">
        <f t="shared" si="10"/>
        <v>0</v>
      </c>
      <c r="H51" s="6">
        <f t="shared" si="11"/>
        <v>7.5433263114044866</v>
      </c>
      <c r="I51" s="6">
        <f t="shared" si="12"/>
        <v>0</v>
      </c>
      <c r="K51" s="49" t="e">
        <f t="shared" si="6"/>
        <v>#N/A</v>
      </c>
      <c r="L51" s="49" t="e">
        <f t="shared" si="7"/>
        <v>#N/A</v>
      </c>
      <c r="M51" s="15" t="str">
        <f t="shared" si="13"/>
        <v/>
      </c>
    </row>
    <row r="52" spans="1:13" ht="14.5" x14ac:dyDescent="0.35">
      <c r="A52" s="7">
        <v>45</v>
      </c>
      <c r="B52" s="12">
        <f>SMALL(Datos!$C$5:$C$204,A52)</f>
        <v>1900.4</v>
      </c>
      <c r="C52" s="13">
        <f>INDEX(Datos!$D$5:$D$204,MATCH(B52,Datos!$C$5:$C$204,0))</f>
        <v>1</v>
      </c>
      <c r="D52" s="7">
        <f t="shared" si="9"/>
        <v>156</v>
      </c>
      <c r="E52" s="6">
        <f t="shared" si="14"/>
        <v>1.1360574764550111</v>
      </c>
      <c r="F52" s="6">
        <f t="shared" si="15"/>
        <v>23.77503367301826</v>
      </c>
      <c r="G52" s="14">
        <f t="shared" si="10"/>
        <v>0.11714088659190748</v>
      </c>
      <c r="H52" s="6">
        <f t="shared" si="11"/>
        <v>7.5498196693127664</v>
      </c>
      <c r="I52" s="6">
        <f t="shared" si="12"/>
        <v>-2.0827297774256639</v>
      </c>
      <c r="K52" s="49">
        <f t="shared" si="6"/>
        <v>7.5498196693127664</v>
      </c>
      <c r="L52" s="49">
        <f t="shared" si="7"/>
        <v>-2.0827297774256639</v>
      </c>
      <c r="M52" s="15">
        <f t="shared" si="13"/>
        <v>-1.8933431997045869</v>
      </c>
    </row>
    <row r="53" spans="1:13" ht="14.5" x14ac:dyDescent="0.35">
      <c r="A53" s="7">
        <v>46</v>
      </c>
      <c r="B53" s="12">
        <f>SMALL(Datos!$C$5:$C$204,A53)</f>
        <v>1922.1</v>
      </c>
      <c r="C53" s="13">
        <f>INDEX(Datos!$D$5:$D$204,MATCH(B53,Datos!$C$5:$C$204,0))</f>
        <v>0</v>
      </c>
      <c r="D53" s="7">
        <f t="shared" si="9"/>
        <v>155</v>
      </c>
      <c r="E53" s="6">
        <f t="shared" si="14"/>
        <v>0</v>
      </c>
      <c r="F53" s="6">
        <f t="shared" si="15"/>
        <v>23.77503367301826</v>
      </c>
      <c r="G53" s="14">
        <f t="shared" si="10"/>
        <v>0</v>
      </c>
      <c r="H53" s="6">
        <f t="shared" si="11"/>
        <v>7.5611736173130852</v>
      </c>
      <c r="I53" s="6">
        <f t="shared" si="12"/>
        <v>0</v>
      </c>
      <c r="K53" s="49" t="e">
        <f t="shared" si="6"/>
        <v>#N/A</v>
      </c>
      <c r="L53" s="49" t="e">
        <f t="shared" si="7"/>
        <v>#N/A</v>
      </c>
      <c r="M53" s="15" t="str">
        <f t="shared" si="13"/>
        <v/>
      </c>
    </row>
    <row r="54" spans="1:13" ht="14.5" x14ac:dyDescent="0.35">
      <c r="A54" s="7">
        <v>47</v>
      </c>
      <c r="B54" s="12">
        <f>SMALL(Datos!$C$5:$C$204,A54)</f>
        <v>1978.3</v>
      </c>
      <c r="C54" s="13">
        <f>INDEX(Datos!$D$5:$D$204,MATCH(B54,Datos!$C$5:$C$204,0))</f>
        <v>1</v>
      </c>
      <c r="D54" s="7">
        <f t="shared" si="9"/>
        <v>154</v>
      </c>
      <c r="E54" s="6">
        <f t="shared" si="14"/>
        <v>1.1433868795289144</v>
      </c>
      <c r="F54" s="6">
        <f t="shared" si="15"/>
        <v>24.918420552547175</v>
      </c>
      <c r="G54" s="14">
        <f t="shared" si="10"/>
        <v>0.12284640994285016</v>
      </c>
      <c r="H54" s="6">
        <f t="shared" si="11"/>
        <v>7.5899931690340461</v>
      </c>
      <c r="I54" s="6">
        <f t="shared" si="12"/>
        <v>-2.0319995563743638</v>
      </c>
      <c r="K54" s="49">
        <f t="shared" si="6"/>
        <v>7.5899931690340461</v>
      </c>
      <c r="L54" s="49">
        <f t="shared" si="7"/>
        <v>-2.0319995563743638</v>
      </c>
      <c r="M54" s="15">
        <f t="shared" si="13"/>
        <v>-1.8166447442244245</v>
      </c>
    </row>
    <row r="55" spans="1:13" ht="14.5" x14ac:dyDescent="0.35">
      <c r="A55" s="7">
        <v>48</v>
      </c>
      <c r="B55" s="12">
        <f>SMALL(Datos!$C$5:$C$204,A55)</f>
        <v>2009.2</v>
      </c>
      <c r="C55" s="13">
        <f>INDEX(Datos!$D$5:$D$204,MATCH(B55,Datos!$C$5:$C$204,0))</f>
        <v>1</v>
      </c>
      <c r="D55" s="7">
        <f t="shared" si="9"/>
        <v>153</v>
      </c>
      <c r="E55" s="6">
        <f t="shared" si="14"/>
        <v>1.1433868795289146</v>
      </c>
      <c r="F55" s="6">
        <f t="shared" si="15"/>
        <v>26.06180743207609</v>
      </c>
      <c r="G55" s="14">
        <f t="shared" si="10"/>
        <v>0.12855193329379286</v>
      </c>
      <c r="H55" s="6">
        <f t="shared" si="11"/>
        <v>7.6054919118758892</v>
      </c>
      <c r="I55" s="6">
        <f t="shared" si="12"/>
        <v>-1.983411573739954</v>
      </c>
      <c r="K55" s="49">
        <f t="shared" si="6"/>
        <v>7.6054919118758892</v>
      </c>
      <c r="L55" s="49">
        <f t="shared" si="7"/>
        <v>-1.983411573739954</v>
      </c>
      <c r="M55" s="15">
        <f t="shared" si="13"/>
        <v>-1.7870548492413914</v>
      </c>
    </row>
    <row r="56" spans="1:13" ht="14.5" x14ac:dyDescent="0.35">
      <c r="A56" s="7">
        <v>49</v>
      </c>
      <c r="B56" s="12">
        <f>SMALL(Datos!$C$5:$C$204,A56)</f>
        <v>2040</v>
      </c>
      <c r="C56" s="13">
        <f>INDEX(Datos!$D$5:$D$204,MATCH(B56,Datos!$C$5:$C$204,0))</f>
        <v>1</v>
      </c>
      <c r="D56" s="7">
        <f t="shared" si="9"/>
        <v>152</v>
      </c>
      <c r="E56" s="6">
        <f t="shared" si="14"/>
        <v>1.1433868795289146</v>
      </c>
      <c r="F56" s="6">
        <f t="shared" si="15"/>
        <v>27.205194311605005</v>
      </c>
      <c r="G56" s="14">
        <f t="shared" si="10"/>
        <v>0.13425745664473554</v>
      </c>
      <c r="H56" s="6">
        <f t="shared" si="11"/>
        <v>7.620705086838262</v>
      </c>
      <c r="I56" s="6">
        <f t="shared" si="12"/>
        <v>-1.9367780135538448</v>
      </c>
      <c r="K56" s="49">
        <f t="shared" si="6"/>
        <v>7.620705086838262</v>
      </c>
      <c r="L56" s="49">
        <f t="shared" si="7"/>
        <v>-1.9367780135538448</v>
      </c>
      <c r="M56" s="15">
        <f t="shared" si="13"/>
        <v>-1.7580101548369012</v>
      </c>
    </row>
    <row r="57" spans="1:13" ht="14.5" x14ac:dyDescent="0.35">
      <c r="A57" s="7">
        <v>50</v>
      </c>
      <c r="B57" s="12">
        <f>SMALL(Datos!$C$5:$C$204,A57)</f>
        <v>2063.6</v>
      </c>
      <c r="C57" s="13">
        <f>INDEX(Datos!$D$5:$D$204,MATCH(B57,Datos!$C$5:$C$204,0))</f>
        <v>1</v>
      </c>
      <c r="D57" s="7">
        <f t="shared" si="9"/>
        <v>151</v>
      </c>
      <c r="E57" s="6">
        <f t="shared" si="14"/>
        <v>1.1433868795289144</v>
      </c>
      <c r="F57" s="6">
        <f t="shared" si="15"/>
        <v>28.34858119113392</v>
      </c>
      <c r="G57" s="14">
        <f t="shared" si="10"/>
        <v>0.13996297999567825</v>
      </c>
      <c r="H57" s="6">
        <f t="shared" si="11"/>
        <v>7.6322073093704947</v>
      </c>
      <c r="I57" s="6">
        <f t="shared" si="12"/>
        <v>-1.8919344918613703</v>
      </c>
      <c r="K57" s="49">
        <f t="shared" si="6"/>
        <v>7.6322073093704947</v>
      </c>
      <c r="L57" s="49">
        <f t="shared" si="7"/>
        <v>-1.8919344918613703</v>
      </c>
      <c r="M57" s="15">
        <f t="shared" si="13"/>
        <v>-1.7360503378199112</v>
      </c>
    </row>
    <row r="58" spans="1:13" ht="14.5" x14ac:dyDescent="0.35">
      <c r="A58" s="7">
        <v>51</v>
      </c>
      <c r="B58" s="12">
        <f>SMALL(Datos!$C$5:$C$204,A58)</f>
        <v>2071.6999999999998</v>
      </c>
      <c r="C58" s="13">
        <f>INDEX(Datos!$D$5:$D$204,MATCH(B58,Datos!$C$5:$C$204,0))</f>
        <v>1</v>
      </c>
      <c r="D58" s="7">
        <f t="shared" si="9"/>
        <v>150</v>
      </c>
      <c r="E58" s="6">
        <f t="shared" si="14"/>
        <v>1.1433868795289144</v>
      </c>
      <c r="F58" s="6">
        <f t="shared" si="15"/>
        <v>29.491968070662836</v>
      </c>
      <c r="G58" s="14">
        <f t="shared" si="10"/>
        <v>0.14566850334662093</v>
      </c>
      <c r="H58" s="6">
        <f t="shared" si="11"/>
        <v>7.6361248052518427</v>
      </c>
      <c r="I58" s="6">
        <f t="shared" si="12"/>
        <v>-1.8487363088551199</v>
      </c>
      <c r="K58" s="49">
        <f t="shared" si="6"/>
        <v>7.6361248052518427</v>
      </c>
      <c r="L58" s="49">
        <f t="shared" si="7"/>
        <v>-1.8487363088551199</v>
      </c>
      <c r="M58" s="15">
        <f t="shared" si="13"/>
        <v>-1.7285711317379437</v>
      </c>
    </row>
    <row r="59" spans="1:13" ht="14.5" x14ac:dyDescent="0.35">
      <c r="A59" s="7">
        <v>52</v>
      </c>
      <c r="B59" s="12">
        <f>SMALL(Datos!$C$5:$C$204,A59)</f>
        <v>2085.5</v>
      </c>
      <c r="C59" s="13">
        <f>INDEX(Datos!$D$5:$D$204,MATCH(B59,Datos!$C$5:$C$204,0))</f>
        <v>0</v>
      </c>
      <c r="D59" s="7">
        <f t="shared" si="9"/>
        <v>149</v>
      </c>
      <c r="E59" s="6">
        <f t="shared" si="14"/>
        <v>0</v>
      </c>
      <c r="F59" s="6">
        <f t="shared" si="15"/>
        <v>29.491968070662836</v>
      </c>
      <c r="G59" s="14">
        <f t="shared" si="10"/>
        <v>0</v>
      </c>
      <c r="H59" s="6">
        <f t="shared" si="11"/>
        <v>7.6427639136370003</v>
      </c>
      <c r="I59" s="6">
        <f t="shared" si="12"/>
        <v>0</v>
      </c>
      <c r="K59" s="49" t="e">
        <f t="shared" si="6"/>
        <v>#N/A</v>
      </c>
      <c r="L59" s="49" t="e">
        <f t="shared" si="7"/>
        <v>#N/A</v>
      </c>
      <c r="M59" s="15" t="str">
        <f t="shared" si="13"/>
        <v/>
      </c>
    </row>
    <row r="60" spans="1:13" ht="14.5" x14ac:dyDescent="0.35">
      <c r="A60" s="7">
        <v>53</v>
      </c>
      <c r="B60" s="12">
        <f>SMALL(Datos!$C$5:$C$204,A60)</f>
        <v>2087.1</v>
      </c>
      <c r="C60" s="13">
        <f>INDEX(Datos!$D$5:$D$204,MATCH(B60,Datos!$C$5:$C$204,0))</f>
        <v>1</v>
      </c>
      <c r="D60" s="7">
        <f t="shared" si="9"/>
        <v>148</v>
      </c>
      <c r="E60" s="6">
        <f t="shared" si="14"/>
        <v>1.1510606169754172</v>
      </c>
      <c r="F60" s="6">
        <f t="shared" si="15"/>
        <v>30.643028687638253</v>
      </c>
      <c r="G60" s="14">
        <f t="shared" si="10"/>
        <v>0.15141231880059008</v>
      </c>
      <c r="H60" s="6">
        <f t="shared" si="11"/>
        <v>7.6435308215977056</v>
      </c>
      <c r="I60" s="6">
        <f t="shared" si="12"/>
        <v>-1.8067805452170425</v>
      </c>
      <c r="K60" s="49">
        <f t="shared" si="6"/>
        <v>7.6435308215977056</v>
      </c>
      <c r="L60" s="49">
        <f t="shared" si="7"/>
        <v>-1.8067805452170425</v>
      </c>
      <c r="M60" s="15">
        <f t="shared" si="13"/>
        <v>-1.714431711002149</v>
      </c>
    </row>
    <row r="61" spans="1:13" ht="14.5" x14ac:dyDescent="0.35">
      <c r="A61" s="7">
        <v>54</v>
      </c>
      <c r="B61" s="12">
        <f>SMALL(Datos!$C$5:$C$204,A61)</f>
        <v>2110.6</v>
      </c>
      <c r="C61" s="13">
        <f>INDEX(Datos!$D$5:$D$204,MATCH(B61,Datos!$C$5:$C$204,0))</f>
        <v>1</v>
      </c>
      <c r="D61" s="7">
        <f t="shared" si="9"/>
        <v>147</v>
      </c>
      <c r="E61" s="6">
        <f t="shared" si="14"/>
        <v>1.1510606169754172</v>
      </c>
      <c r="F61" s="6">
        <f t="shared" si="15"/>
        <v>31.794089304613671</v>
      </c>
      <c r="G61" s="14">
        <f t="shared" si="10"/>
        <v>0.15715613425455924</v>
      </c>
      <c r="H61" s="6">
        <f t="shared" si="11"/>
        <v>7.6547275462369901</v>
      </c>
      <c r="I61" s="6">
        <f t="shared" si="12"/>
        <v>-1.7662464082841083</v>
      </c>
      <c r="K61" s="49">
        <f t="shared" si="6"/>
        <v>7.6547275462369901</v>
      </c>
      <c r="L61" s="49">
        <f t="shared" si="7"/>
        <v>-1.7662464082841083</v>
      </c>
      <c r="M61" s="15">
        <f t="shared" si="13"/>
        <v>-1.6930551445534228</v>
      </c>
    </row>
    <row r="62" spans="1:13" ht="14.5" x14ac:dyDescent="0.35">
      <c r="A62" s="7">
        <v>55</v>
      </c>
      <c r="B62" s="12">
        <f>SMALL(Datos!$C$5:$C$204,A62)</f>
        <v>2153.1999999999998</v>
      </c>
      <c r="C62" s="13">
        <f>INDEX(Datos!$D$5:$D$204,MATCH(B62,Datos!$C$5:$C$204,0))</f>
        <v>1</v>
      </c>
      <c r="D62" s="7">
        <f t="shared" si="9"/>
        <v>146</v>
      </c>
      <c r="E62" s="6">
        <f t="shared" si="14"/>
        <v>1.1510606169754172</v>
      </c>
      <c r="F62" s="6">
        <f t="shared" si="15"/>
        <v>32.945149921589085</v>
      </c>
      <c r="G62" s="14">
        <f t="shared" si="10"/>
        <v>0.16289994970852836</v>
      </c>
      <c r="H62" s="6">
        <f t="shared" si="11"/>
        <v>7.6747103866868018</v>
      </c>
      <c r="I62" s="6">
        <f t="shared" si="12"/>
        <v>-1.7270302593094691</v>
      </c>
      <c r="K62" s="49">
        <f t="shared" si="6"/>
        <v>7.6747103866868018</v>
      </c>
      <c r="L62" s="49">
        <f t="shared" si="7"/>
        <v>-1.7270302593094691</v>
      </c>
      <c r="M62" s="15">
        <f t="shared" si="13"/>
        <v>-1.6549042986166622</v>
      </c>
    </row>
    <row r="63" spans="1:13" ht="14.5" x14ac:dyDescent="0.35">
      <c r="A63" s="7">
        <v>56</v>
      </c>
      <c r="B63" s="12">
        <f>SMALL(Datos!$C$5:$C$204,A63)</f>
        <v>2167.1999999999998</v>
      </c>
      <c r="C63" s="13">
        <f>INDEX(Datos!$D$5:$D$204,MATCH(B63,Datos!$C$5:$C$204,0))</f>
        <v>0</v>
      </c>
      <c r="D63" s="7">
        <f t="shared" si="9"/>
        <v>145</v>
      </c>
      <c r="E63" s="6">
        <f t="shared" si="14"/>
        <v>0</v>
      </c>
      <c r="F63" s="6">
        <f t="shared" si="15"/>
        <v>32.945149921589085</v>
      </c>
      <c r="G63" s="14">
        <f t="shared" si="10"/>
        <v>0</v>
      </c>
      <c r="H63" s="6">
        <f t="shared" si="11"/>
        <v>7.6811912907708857</v>
      </c>
      <c r="I63" s="6">
        <f t="shared" si="12"/>
        <v>0</v>
      </c>
      <c r="K63" s="49" t="e">
        <f t="shared" si="6"/>
        <v>#N/A</v>
      </c>
      <c r="L63" s="49" t="e">
        <f t="shared" si="7"/>
        <v>#N/A</v>
      </c>
      <c r="M63" s="15" t="str">
        <f t="shared" si="13"/>
        <v/>
      </c>
    </row>
    <row r="64" spans="1:13" ht="14.5" x14ac:dyDescent="0.35">
      <c r="A64" s="7">
        <v>57</v>
      </c>
      <c r="B64" s="12">
        <f>SMALL(Datos!$C$5:$C$204,A64)</f>
        <v>2186.8000000000002</v>
      </c>
      <c r="C64" s="13">
        <f>INDEX(Datos!$D$5:$D$204,MATCH(B64,Datos!$C$5:$C$204,0))</f>
        <v>1</v>
      </c>
      <c r="D64" s="7">
        <f t="shared" si="9"/>
        <v>144</v>
      </c>
      <c r="E64" s="6">
        <f t="shared" si="14"/>
        <v>1.1589989660580062</v>
      </c>
      <c r="F64" s="6">
        <f t="shared" si="15"/>
        <v>34.104148887647092</v>
      </c>
      <c r="G64" s="14">
        <f t="shared" si="10"/>
        <v>0.16868337768286973</v>
      </c>
      <c r="H64" s="6">
        <f t="shared" si="11"/>
        <v>7.6901945670208445</v>
      </c>
      <c r="I64" s="6">
        <f t="shared" si="12"/>
        <v>-1.6887812563951505</v>
      </c>
      <c r="K64" s="49">
        <f t="shared" si="6"/>
        <v>7.6901945670208445</v>
      </c>
      <c r="L64" s="49">
        <f t="shared" si="7"/>
        <v>-1.6887812563951505</v>
      </c>
      <c r="M64" s="15">
        <f t="shared" si="13"/>
        <v>-1.6253422060870868</v>
      </c>
    </row>
    <row r="65" spans="1:13" ht="14.5" x14ac:dyDescent="0.35">
      <c r="A65" s="7">
        <v>58</v>
      </c>
      <c r="B65" s="12">
        <f>SMALL(Datos!$C$5:$C$204,A65)</f>
        <v>2189.6999999999998</v>
      </c>
      <c r="C65" s="13">
        <f>INDEX(Datos!$D$5:$D$204,MATCH(B65,Datos!$C$5:$C$204,0))</f>
        <v>0</v>
      </c>
      <c r="D65" s="7">
        <f t="shared" si="9"/>
        <v>143</v>
      </c>
      <c r="E65" s="6">
        <f t="shared" si="14"/>
        <v>0</v>
      </c>
      <c r="F65" s="6">
        <f t="shared" si="15"/>
        <v>34.104148887647092</v>
      </c>
      <c r="G65" s="14">
        <f t="shared" si="10"/>
        <v>0</v>
      </c>
      <c r="H65" s="6">
        <f t="shared" si="11"/>
        <v>7.6915198271256964</v>
      </c>
      <c r="I65" s="6">
        <f t="shared" si="12"/>
        <v>0</v>
      </c>
      <c r="K65" s="49" t="e">
        <f t="shared" si="6"/>
        <v>#N/A</v>
      </c>
      <c r="L65" s="49" t="e">
        <f t="shared" si="7"/>
        <v>#N/A</v>
      </c>
      <c r="M65" s="15" t="str">
        <f t="shared" si="13"/>
        <v/>
      </c>
    </row>
    <row r="66" spans="1:13" ht="14.5" x14ac:dyDescent="0.35">
      <c r="A66" s="7">
        <v>59</v>
      </c>
      <c r="B66" s="12">
        <f>SMALL(Datos!$C$5:$C$204,A66)</f>
        <v>2289.6999999999998</v>
      </c>
      <c r="C66" s="13">
        <f>INDEX(Datos!$D$5:$D$204,MATCH(B66,Datos!$C$5:$C$204,0))</f>
        <v>1</v>
      </c>
      <c r="D66" s="7">
        <f t="shared" si="9"/>
        <v>142</v>
      </c>
      <c r="E66" s="6">
        <f t="shared" si="14"/>
        <v>1.1671038539325378</v>
      </c>
      <c r="F66" s="6">
        <f t="shared" si="15"/>
        <v>35.27125274157963</v>
      </c>
      <c r="G66" s="14">
        <f t="shared" si="10"/>
        <v>0.17450724920947921</v>
      </c>
      <c r="H66" s="6">
        <f t="shared" si="11"/>
        <v>7.7361760835996511</v>
      </c>
      <c r="I66" s="6">
        <f t="shared" si="12"/>
        <v>-1.6514335263193833</v>
      </c>
      <c r="K66" s="49">
        <f t="shared" si="6"/>
        <v>7.7361760835996511</v>
      </c>
      <c r="L66" s="49">
        <f t="shared" si="7"/>
        <v>-1.6514335263193833</v>
      </c>
      <c r="M66" s="15">
        <f t="shared" si="13"/>
        <v>-1.5375551990626057</v>
      </c>
    </row>
    <row r="67" spans="1:13" ht="14.5" x14ac:dyDescent="0.35">
      <c r="A67" s="7">
        <v>60</v>
      </c>
      <c r="B67" s="12">
        <f>SMALL(Datos!$C$5:$C$204,A67)</f>
        <v>2298.1999999999998</v>
      </c>
      <c r="C67" s="13">
        <f>INDEX(Datos!$D$5:$D$204,MATCH(B67,Datos!$C$5:$C$204,0))</f>
        <v>0</v>
      </c>
      <c r="D67" s="7">
        <f t="shared" si="9"/>
        <v>141</v>
      </c>
      <c r="E67" s="6">
        <f t="shared" si="14"/>
        <v>0</v>
      </c>
      <c r="F67" s="6">
        <f t="shared" si="15"/>
        <v>35.27125274157963</v>
      </c>
      <c r="G67" s="14">
        <f t="shared" si="10"/>
        <v>0</v>
      </c>
      <c r="H67" s="6">
        <f t="shared" si="11"/>
        <v>7.7398814868235331</v>
      </c>
      <c r="I67" s="6">
        <f t="shared" si="12"/>
        <v>0</v>
      </c>
      <c r="K67" s="49" t="e">
        <f t="shared" si="6"/>
        <v>#N/A</v>
      </c>
      <c r="L67" s="49" t="e">
        <f t="shared" si="7"/>
        <v>#N/A</v>
      </c>
      <c r="M67" s="15" t="str">
        <f t="shared" si="13"/>
        <v/>
      </c>
    </row>
    <row r="68" spans="1:13" ht="14.5" x14ac:dyDescent="0.35">
      <c r="A68" s="7">
        <v>61</v>
      </c>
      <c r="B68" s="12">
        <f>SMALL(Datos!$C$5:$C$204,A68)</f>
        <v>2302.4</v>
      </c>
      <c r="C68" s="13">
        <f>INDEX(Datos!$D$5:$D$204,MATCH(B68,Datos!$C$5:$C$204,0))</f>
        <v>1</v>
      </c>
      <c r="D68" s="7">
        <f t="shared" si="9"/>
        <v>140</v>
      </c>
      <c r="E68" s="6">
        <f t="shared" si="14"/>
        <v>1.1753811862299317</v>
      </c>
      <c r="F68" s="6">
        <f t="shared" si="15"/>
        <v>36.446633927809565</v>
      </c>
      <c r="G68" s="14">
        <f t="shared" si="10"/>
        <v>0.18037242478946888</v>
      </c>
      <c r="H68" s="6">
        <f t="shared" si="11"/>
        <v>7.7417073361331035</v>
      </c>
      <c r="I68" s="6">
        <f t="shared" si="12"/>
        <v>-1.6149268568360173</v>
      </c>
      <c r="K68" s="49">
        <f t="shared" si="6"/>
        <v>7.7417073361331035</v>
      </c>
      <c r="L68" s="49">
        <f t="shared" si="7"/>
        <v>-1.6149268568360173</v>
      </c>
      <c r="M68" s="15">
        <f t="shared" si="13"/>
        <v>-1.5269950405220296</v>
      </c>
    </row>
    <row r="69" spans="1:13" ht="14.5" x14ac:dyDescent="0.35">
      <c r="A69" s="7">
        <v>62</v>
      </c>
      <c r="B69" s="12">
        <f>SMALL(Datos!$C$5:$C$204,A69)</f>
        <v>2338.6999999999998</v>
      </c>
      <c r="C69" s="13">
        <f>INDEX(Datos!$D$5:$D$204,MATCH(B69,Datos!$C$5:$C$204,0))</f>
        <v>1</v>
      </c>
      <c r="D69" s="7">
        <f t="shared" si="9"/>
        <v>139</v>
      </c>
      <c r="E69" s="6">
        <f t="shared" si="14"/>
        <v>1.1753811862299317</v>
      </c>
      <c r="F69" s="6">
        <f t="shared" si="15"/>
        <v>37.622015114039499</v>
      </c>
      <c r="G69" s="14">
        <f t="shared" si="10"/>
        <v>0.18623760036945858</v>
      </c>
      <c r="H69" s="6">
        <f t="shared" si="11"/>
        <v>7.7573504984180239</v>
      </c>
      <c r="I69" s="6">
        <f t="shared" si="12"/>
        <v>-1.5794576071237121</v>
      </c>
      <c r="K69" s="49">
        <f t="shared" si="6"/>
        <v>7.7573504984180239</v>
      </c>
      <c r="L69" s="49">
        <f t="shared" si="7"/>
        <v>-1.5794576071237121</v>
      </c>
      <c r="M69" s="15">
        <f t="shared" si="13"/>
        <v>-1.4971294227789134</v>
      </c>
    </row>
    <row r="70" spans="1:13" ht="14.5" x14ac:dyDescent="0.35">
      <c r="A70" s="7">
        <v>63</v>
      </c>
      <c r="B70" s="12">
        <f>SMALL(Datos!$C$5:$C$204,A70)</f>
        <v>2361.4</v>
      </c>
      <c r="C70" s="13">
        <f>INDEX(Datos!$D$5:$D$204,MATCH(B70,Datos!$C$5:$C$204,0))</f>
        <v>1</v>
      </c>
      <c r="D70" s="7">
        <f t="shared" si="9"/>
        <v>138</v>
      </c>
      <c r="E70" s="6">
        <f t="shared" si="14"/>
        <v>1.1753811862299317</v>
      </c>
      <c r="F70" s="6">
        <f t="shared" si="15"/>
        <v>38.797396300269433</v>
      </c>
      <c r="G70" s="14">
        <f t="shared" si="10"/>
        <v>0.19210277594944827</v>
      </c>
      <c r="H70" s="6">
        <f t="shared" si="11"/>
        <v>7.7670099424730097</v>
      </c>
      <c r="I70" s="6">
        <f t="shared" si="12"/>
        <v>-1.5449598938675893</v>
      </c>
      <c r="K70" s="49">
        <f t="shared" si="6"/>
        <v>7.7670099424730097</v>
      </c>
      <c r="L70" s="49">
        <f t="shared" si="7"/>
        <v>-1.5449598938675893</v>
      </c>
      <c r="M70" s="15">
        <f t="shared" si="13"/>
        <v>-1.4786878021843801</v>
      </c>
    </row>
    <row r="71" spans="1:13" ht="14.5" x14ac:dyDescent="0.35">
      <c r="A71" s="7">
        <v>64</v>
      </c>
      <c r="B71" s="12">
        <f>SMALL(Datos!$C$5:$C$204,A71)</f>
        <v>2372.5</v>
      </c>
      <c r="C71" s="13">
        <f>INDEX(Datos!$D$5:$D$204,MATCH(B71,Datos!$C$5:$C$204,0))</f>
        <v>0</v>
      </c>
      <c r="D71" s="7">
        <f t="shared" si="9"/>
        <v>137</v>
      </c>
      <c r="E71" s="6">
        <f t="shared" si="14"/>
        <v>0</v>
      </c>
      <c r="F71" s="6">
        <f t="shared" si="15"/>
        <v>38.797396300269433</v>
      </c>
      <c r="G71" s="14">
        <f t="shared" si="10"/>
        <v>0</v>
      </c>
      <c r="H71" s="6">
        <f t="shared" si="11"/>
        <v>7.7716995304840832</v>
      </c>
      <c r="I71" s="6">
        <f t="shared" si="12"/>
        <v>0</v>
      </c>
      <c r="K71" s="49" t="e">
        <f t="shared" si="6"/>
        <v>#N/A</v>
      </c>
      <c r="L71" s="49" t="e">
        <f t="shared" si="7"/>
        <v>#N/A</v>
      </c>
      <c r="M71" s="15" t="str">
        <f t="shared" si="13"/>
        <v/>
      </c>
    </row>
    <row r="72" spans="1:13" ht="14.5" x14ac:dyDescent="0.35">
      <c r="A72" s="7">
        <v>65</v>
      </c>
      <c r="B72" s="12">
        <f>SMALL(Datos!$C$5:$C$204,A72)</f>
        <v>2388.3000000000002</v>
      </c>
      <c r="C72" s="13">
        <f>INDEX(Datos!$D$5:$D$204,MATCH(B72,Datos!$C$5:$C$204,0))</f>
        <v>1</v>
      </c>
      <c r="D72" s="7">
        <f t="shared" ref="D72:D103" si="16">$B$4-A72+1</f>
        <v>136</v>
      </c>
      <c r="E72" s="6">
        <f t="shared" si="14"/>
        <v>1.1839606109469385</v>
      </c>
      <c r="F72" s="6">
        <f t="shared" si="15"/>
        <v>39.981356911216373</v>
      </c>
      <c r="G72" s="14">
        <f t="shared" ref="G72:G103" si="17">IF(C72=1,(F72-0.3)/($B$4+0.4),0)</f>
        <v>0.19801076303002182</v>
      </c>
      <c r="H72" s="6">
        <f t="shared" ref="H72:H103" si="18">LN(B72)</f>
        <v>7.7783370947626427</v>
      </c>
      <c r="I72" s="6">
        <f t="shared" ref="I72:I103" si="19">IF(C72=1,LN(-LN(1-G72)),0)</f>
        <v>-1.5111318092450519</v>
      </c>
      <c r="K72" s="49">
        <f t="shared" si="6"/>
        <v>7.7783370947626427</v>
      </c>
      <c r="L72" s="49">
        <f t="shared" si="7"/>
        <v>-1.5111318092450519</v>
      </c>
      <c r="M72" s="15">
        <f t="shared" ref="M72:M103" si="20">IF(C72=1,$P$12*H72+$P$13,"")</f>
        <v>-1.4570622258310397</v>
      </c>
    </row>
    <row r="73" spans="1:13" ht="14.5" x14ac:dyDescent="0.35">
      <c r="A73" s="7">
        <v>66</v>
      </c>
      <c r="B73" s="12">
        <f>SMALL(Datos!$C$5:$C$204,A73)</f>
        <v>2396.1999999999998</v>
      </c>
      <c r="C73" s="13">
        <f>INDEX(Datos!$D$5:$D$204,MATCH(B73,Datos!$C$5:$C$204,0))</f>
        <v>1</v>
      </c>
      <c r="D73" s="7">
        <f t="shared" si="16"/>
        <v>135</v>
      </c>
      <c r="E73" s="6">
        <f t="shared" ref="E73:E104" si="21">IF(C73=1,($B$4+1-F72)/(1+D73),0)</f>
        <v>1.1839606109469383</v>
      </c>
      <c r="F73" s="6">
        <f t="shared" ref="F73:F104" si="22">F72+E73</f>
        <v>41.165317522163313</v>
      </c>
      <c r="G73" s="14">
        <f t="shared" si="17"/>
        <v>0.20391875011059538</v>
      </c>
      <c r="H73" s="6">
        <f t="shared" si="18"/>
        <v>7.781639428205799</v>
      </c>
      <c r="I73" s="6">
        <f t="shared" si="19"/>
        <v>-1.4781727236169862</v>
      </c>
      <c r="K73" s="49">
        <f t="shared" ref="K73:K136" si="23">IF(C73=1,H73,NA())</f>
        <v>7.781639428205799</v>
      </c>
      <c r="L73" s="49">
        <f t="shared" ref="L73:L136" si="24">IF(C73=1,I73,NA())</f>
        <v>-1.4781727236169862</v>
      </c>
      <c r="M73" s="15">
        <f t="shared" si="20"/>
        <v>-1.4507574757762054</v>
      </c>
    </row>
    <row r="74" spans="1:13" ht="14.5" x14ac:dyDescent="0.35">
      <c r="A74" s="7">
        <v>67</v>
      </c>
      <c r="B74" s="12">
        <f>SMALL(Datos!$C$5:$C$204,A74)</f>
        <v>2411.5</v>
      </c>
      <c r="C74" s="13">
        <f>INDEX(Datos!$D$5:$D$204,MATCH(B74,Datos!$C$5:$C$204,0))</f>
        <v>1</v>
      </c>
      <c r="D74" s="7">
        <f t="shared" si="16"/>
        <v>134</v>
      </c>
      <c r="E74" s="6">
        <f t="shared" si="21"/>
        <v>1.1839606109469383</v>
      </c>
      <c r="F74" s="6">
        <f t="shared" si="22"/>
        <v>42.349278133110253</v>
      </c>
      <c r="G74" s="14">
        <f t="shared" si="17"/>
        <v>0.20982673719116893</v>
      </c>
      <c r="H74" s="6">
        <f t="shared" si="18"/>
        <v>7.7880042395090268</v>
      </c>
      <c r="I74" s="6">
        <f t="shared" si="19"/>
        <v>-1.4460314672775987</v>
      </c>
      <c r="K74" s="49">
        <f t="shared" si="23"/>
        <v>7.7880042395090268</v>
      </c>
      <c r="L74" s="49">
        <f t="shared" si="24"/>
        <v>-1.4460314672775987</v>
      </c>
      <c r="M74" s="15">
        <f t="shared" si="20"/>
        <v>-1.4386059032279555</v>
      </c>
    </row>
    <row r="75" spans="1:13" ht="14.5" x14ac:dyDescent="0.35">
      <c r="A75" s="7">
        <v>68</v>
      </c>
      <c r="B75" s="12">
        <f>SMALL(Datos!$C$5:$C$204,A75)</f>
        <v>2435.6999999999998</v>
      </c>
      <c r="C75" s="13">
        <f>INDEX(Datos!$D$5:$D$204,MATCH(B75,Datos!$C$5:$C$204,0))</f>
        <v>0</v>
      </c>
      <c r="D75" s="7">
        <f t="shared" si="16"/>
        <v>133</v>
      </c>
      <c r="E75" s="6">
        <f t="shared" si="21"/>
        <v>0</v>
      </c>
      <c r="F75" s="6">
        <f t="shared" si="22"/>
        <v>42.349278133110253</v>
      </c>
      <c r="G75" s="14">
        <f t="shared" si="17"/>
        <v>0</v>
      </c>
      <c r="H75" s="6">
        <f t="shared" si="18"/>
        <v>7.7979894685365103</v>
      </c>
      <c r="I75" s="6">
        <f t="shared" si="19"/>
        <v>0</v>
      </c>
      <c r="K75" s="49" t="e">
        <f t="shared" si="23"/>
        <v>#N/A</v>
      </c>
      <c r="L75" s="49" t="e">
        <f t="shared" si="24"/>
        <v>#N/A</v>
      </c>
      <c r="M75" s="15" t="str">
        <f t="shared" si="20"/>
        <v/>
      </c>
    </row>
    <row r="76" spans="1:13" ht="14.5" x14ac:dyDescent="0.35">
      <c r="A76" s="7">
        <v>69</v>
      </c>
      <c r="B76" s="12">
        <f>SMALL(Datos!$C$5:$C$204,A76)</f>
        <v>2447.4</v>
      </c>
      <c r="C76" s="13">
        <f>INDEX(Datos!$D$5:$D$204,MATCH(B76,Datos!$C$5:$C$204,0))</f>
        <v>0</v>
      </c>
      <c r="D76" s="7">
        <f t="shared" si="16"/>
        <v>132</v>
      </c>
      <c r="E76" s="6">
        <f t="shared" si="21"/>
        <v>0</v>
      </c>
      <c r="F76" s="6">
        <f t="shared" si="22"/>
        <v>42.349278133110253</v>
      </c>
      <c r="G76" s="14">
        <f t="shared" si="17"/>
        <v>0</v>
      </c>
      <c r="H76" s="6">
        <f t="shared" si="18"/>
        <v>7.8027815155515681</v>
      </c>
      <c r="I76" s="6">
        <f t="shared" si="19"/>
        <v>0</v>
      </c>
      <c r="K76" s="49" t="e">
        <f t="shared" si="23"/>
        <v>#N/A</v>
      </c>
      <c r="L76" s="49" t="e">
        <f t="shared" si="24"/>
        <v>#N/A</v>
      </c>
      <c r="M76" s="15" t="str">
        <f t="shared" si="20"/>
        <v/>
      </c>
    </row>
    <row r="77" spans="1:13" ht="14.5" x14ac:dyDescent="0.35">
      <c r="A77" s="7">
        <v>70</v>
      </c>
      <c r="B77" s="12">
        <f>SMALL(Datos!$C$5:$C$204,A77)</f>
        <v>2448.5</v>
      </c>
      <c r="C77" s="13">
        <f>INDEX(Datos!$D$5:$D$204,MATCH(B77,Datos!$C$5:$C$204,0))</f>
        <v>1</v>
      </c>
      <c r="D77" s="7">
        <f t="shared" si="16"/>
        <v>131</v>
      </c>
      <c r="E77" s="6">
        <f t="shared" si="21"/>
        <v>1.2018994080824981</v>
      </c>
      <c r="F77" s="6">
        <f t="shared" si="22"/>
        <v>43.55117754119275</v>
      </c>
      <c r="G77" s="14">
        <f t="shared" si="17"/>
        <v>0.21582423922750874</v>
      </c>
      <c r="H77" s="6">
        <f t="shared" si="18"/>
        <v>7.8032308711423717</v>
      </c>
      <c r="I77" s="6">
        <f t="shared" si="19"/>
        <v>-1.4141914964088782</v>
      </c>
      <c r="K77" s="49">
        <f t="shared" si="23"/>
        <v>7.8032308711423717</v>
      </c>
      <c r="L77" s="49">
        <f t="shared" si="24"/>
        <v>-1.4141914964088782</v>
      </c>
      <c r="M77" s="15">
        <f t="shared" si="20"/>
        <v>-1.4095355176119284</v>
      </c>
    </row>
    <row r="78" spans="1:13" ht="14.5" x14ac:dyDescent="0.35">
      <c r="A78" s="7">
        <v>71</v>
      </c>
      <c r="B78" s="12">
        <f>SMALL(Datos!$C$5:$C$204,A78)</f>
        <v>2448.6</v>
      </c>
      <c r="C78" s="13">
        <f>INDEX(Datos!$D$5:$D$204,MATCH(B78,Datos!$C$5:$C$204,0))</f>
        <v>0</v>
      </c>
      <c r="D78" s="7">
        <f t="shared" si="16"/>
        <v>130</v>
      </c>
      <c r="E78" s="6">
        <f t="shared" si="21"/>
        <v>0</v>
      </c>
      <c r="F78" s="6">
        <f t="shared" si="22"/>
        <v>43.55117754119275</v>
      </c>
      <c r="G78" s="14">
        <f t="shared" si="17"/>
        <v>0</v>
      </c>
      <c r="H78" s="6">
        <f t="shared" si="18"/>
        <v>7.8032717116398151</v>
      </c>
      <c r="I78" s="6">
        <f t="shared" si="19"/>
        <v>0</v>
      </c>
      <c r="K78" s="49" t="e">
        <f t="shared" si="23"/>
        <v>#N/A</v>
      </c>
      <c r="L78" s="49" t="e">
        <f t="shared" si="24"/>
        <v>#N/A</v>
      </c>
      <c r="M78" s="15" t="str">
        <f t="shared" si="20"/>
        <v/>
      </c>
    </row>
    <row r="79" spans="1:13" ht="14.5" x14ac:dyDescent="0.35">
      <c r="A79" s="7">
        <v>72</v>
      </c>
      <c r="B79" s="12">
        <f>SMALL(Datos!$C$5:$C$204,A79)</f>
        <v>2450.8000000000002</v>
      </c>
      <c r="C79" s="13">
        <f>INDEX(Datos!$D$5:$D$204,MATCH(B79,Datos!$C$5:$C$204,0))</f>
        <v>1</v>
      </c>
      <c r="D79" s="7">
        <f t="shared" si="16"/>
        <v>129</v>
      </c>
      <c r="E79" s="6">
        <f t="shared" si="21"/>
        <v>1.2111447881446713</v>
      </c>
      <c r="F79" s="6">
        <f t="shared" si="22"/>
        <v>44.762322329337422</v>
      </c>
      <c r="G79" s="14">
        <f t="shared" si="17"/>
        <v>0.22186787589489732</v>
      </c>
      <c r="H79" s="6">
        <f t="shared" si="18"/>
        <v>7.8041697808514998</v>
      </c>
      <c r="I79" s="6">
        <f t="shared" si="19"/>
        <v>-1.3828644743341236</v>
      </c>
      <c r="K79" s="49">
        <f t="shared" si="23"/>
        <v>7.8041697808514998</v>
      </c>
      <c r="L79" s="49">
        <f t="shared" si="24"/>
        <v>-1.3828644743341236</v>
      </c>
      <c r="M79" s="15">
        <f t="shared" si="20"/>
        <v>-1.4077429696630297</v>
      </c>
    </row>
    <row r="80" spans="1:13" ht="14.5" x14ac:dyDescent="0.35">
      <c r="A80" s="7">
        <v>73</v>
      </c>
      <c r="B80" s="12">
        <f>SMALL(Datos!$C$5:$C$204,A80)</f>
        <v>2474.1</v>
      </c>
      <c r="C80" s="13">
        <f>INDEX(Datos!$D$5:$D$204,MATCH(B80,Datos!$C$5:$C$204,0))</f>
        <v>1</v>
      </c>
      <c r="D80" s="7">
        <f t="shared" si="16"/>
        <v>128</v>
      </c>
      <c r="E80" s="6">
        <f t="shared" si="21"/>
        <v>1.2111447881446711</v>
      </c>
      <c r="F80" s="6">
        <f t="shared" si="22"/>
        <v>45.973467117482095</v>
      </c>
      <c r="G80" s="14">
        <f t="shared" si="17"/>
        <v>0.2279115125622859</v>
      </c>
      <c r="H80" s="6">
        <f t="shared" si="18"/>
        <v>7.8136319725074195</v>
      </c>
      <c r="I80" s="6">
        <f t="shared" si="19"/>
        <v>-1.3522558427867442</v>
      </c>
      <c r="K80" s="49">
        <f t="shared" si="23"/>
        <v>7.8136319725074195</v>
      </c>
      <c r="L80" s="49">
        <f t="shared" si="24"/>
        <v>-1.3522558427867442</v>
      </c>
      <c r="M80" s="15">
        <f t="shared" si="20"/>
        <v>-1.389677939468962</v>
      </c>
    </row>
    <row r="81" spans="1:13" ht="14.5" x14ac:dyDescent="0.35">
      <c r="A81" s="7">
        <v>74</v>
      </c>
      <c r="B81" s="12">
        <f>SMALL(Datos!$C$5:$C$204,A81)</f>
        <v>2480.6</v>
      </c>
      <c r="C81" s="13">
        <f>INDEX(Datos!$D$5:$D$204,MATCH(B81,Datos!$C$5:$C$204,0))</f>
        <v>1</v>
      </c>
      <c r="D81" s="7">
        <f t="shared" si="16"/>
        <v>127</v>
      </c>
      <c r="E81" s="6">
        <f t="shared" si="21"/>
        <v>1.2111447881446711</v>
      </c>
      <c r="F81" s="6">
        <f t="shared" si="22"/>
        <v>47.184611905626767</v>
      </c>
      <c r="G81" s="14">
        <f t="shared" si="17"/>
        <v>0.2339551492296745</v>
      </c>
      <c r="H81" s="6">
        <f t="shared" si="18"/>
        <v>7.8162557453812296</v>
      </c>
      <c r="I81" s="6">
        <f t="shared" si="19"/>
        <v>-1.322326406338759</v>
      </c>
      <c r="K81" s="49">
        <f t="shared" si="23"/>
        <v>7.8162557453812296</v>
      </c>
      <c r="L81" s="49">
        <f t="shared" si="24"/>
        <v>-1.322326406338759</v>
      </c>
      <c r="M81" s="15">
        <f t="shared" si="20"/>
        <v>-1.384668683906261</v>
      </c>
    </row>
    <row r="82" spans="1:13" ht="14.5" x14ac:dyDescent="0.35">
      <c r="A82" s="7">
        <v>75</v>
      </c>
      <c r="B82" s="12">
        <f>SMALL(Datos!$C$5:$C$204,A82)</f>
        <v>2505.5</v>
      </c>
      <c r="C82" s="13">
        <f>INDEX(Datos!$D$5:$D$204,MATCH(B82,Datos!$C$5:$C$204,0))</f>
        <v>1</v>
      </c>
      <c r="D82" s="7">
        <f t="shared" si="16"/>
        <v>126</v>
      </c>
      <c r="E82" s="6">
        <f t="shared" si="21"/>
        <v>1.2111447881446713</v>
      </c>
      <c r="F82" s="6">
        <f t="shared" si="22"/>
        <v>48.395756693771439</v>
      </c>
      <c r="G82" s="14">
        <f t="shared" si="17"/>
        <v>0.23999878589706308</v>
      </c>
      <c r="H82" s="6">
        <f t="shared" si="18"/>
        <v>7.826243594399779</v>
      </c>
      <c r="I82" s="6">
        <f t="shared" si="19"/>
        <v>-1.2930399358437716</v>
      </c>
      <c r="K82" s="49">
        <f t="shared" si="23"/>
        <v>7.826243594399779</v>
      </c>
      <c r="L82" s="49">
        <f t="shared" si="24"/>
        <v>-1.2930399358437716</v>
      </c>
      <c r="M82" s="15">
        <f t="shared" si="20"/>
        <v>-1.3656000790148131</v>
      </c>
    </row>
    <row r="83" spans="1:13" ht="14.5" x14ac:dyDescent="0.35">
      <c r="A83" s="7">
        <v>76</v>
      </c>
      <c r="B83" s="12">
        <f>SMALL(Datos!$C$5:$C$204,A83)</f>
        <v>2577.6</v>
      </c>
      <c r="C83" s="13">
        <f>INDEX(Datos!$D$5:$D$204,MATCH(B83,Datos!$C$5:$C$204,0))</f>
        <v>1</v>
      </c>
      <c r="D83" s="7">
        <f t="shared" si="16"/>
        <v>125</v>
      </c>
      <c r="E83" s="6">
        <f t="shared" si="21"/>
        <v>1.2111447881446711</v>
      </c>
      <c r="F83" s="6">
        <f t="shared" si="22"/>
        <v>49.606901481916111</v>
      </c>
      <c r="G83" s="14">
        <f t="shared" si="17"/>
        <v>0.24604242256445166</v>
      </c>
      <c r="H83" s="6">
        <f t="shared" si="18"/>
        <v>7.8546140124227097</v>
      </c>
      <c r="I83" s="6">
        <f t="shared" si="19"/>
        <v>-1.2643628723217009</v>
      </c>
      <c r="K83" s="49">
        <f t="shared" si="23"/>
        <v>7.8546140124227097</v>
      </c>
      <c r="L83" s="49">
        <f t="shared" si="24"/>
        <v>-1.2643628723217009</v>
      </c>
      <c r="M83" s="15">
        <f t="shared" si="20"/>
        <v>-1.3114358349538762</v>
      </c>
    </row>
    <row r="84" spans="1:13" ht="14.5" x14ac:dyDescent="0.35">
      <c r="A84" s="7">
        <v>77</v>
      </c>
      <c r="B84" s="12">
        <f>SMALL(Datos!$C$5:$C$204,A84)</f>
        <v>2587.9</v>
      </c>
      <c r="C84" s="13">
        <f>INDEX(Datos!$D$5:$D$204,MATCH(B84,Datos!$C$5:$C$204,0))</f>
        <v>0</v>
      </c>
      <c r="D84" s="7">
        <f t="shared" si="16"/>
        <v>124</v>
      </c>
      <c r="E84" s="6">
        <f t="shared" si="21"/>
        <v>0</v>
      </c>
      <c r="F84" s="6">
        <f t="shared" si="22"/>
        <v>49.606901481916111</v>
      </c>
      <c r="G84" s="14">
        <f t="shared" si="17"/>
        <v>0</v>
      </c>
      <c r="H84" s="6">
        <f t="shared" si="18"/>
        <v>7.8586020149978992</v>
      </c>
      <c r="I84" s="6">
        <f t="shared" si="19"/>
        <v>0</v>
      </c>
      <c r="K84" s="49" t="e">
        <f t="shared" si="23"/>
        <v>#N/A</v>
      </c>
      <c r="L84" s="49" t="e">
        <f t="shared" si="24"/>
        <v>#N/A</v>
      </c>
      <c r="M84" s="15" t="str">
        <f t="shared" si="20"/>
        <v/>
      </c>
    </row>
    <row r="85" spans="1:13" ht="14.5" x14ac:dyDescent="0.35">
      <c r="A85" s="7">
        <v>78</v>
      </c>
      <c r="B85" s="12">
        <f>SMALL(Datos!$C$5:$C$204,A85)</f>
        <v>2624.6</v>
      </c>
      <c r="C85" s="13">
        <f>INDEX(Datos!$D$5:$D$204,MATCH(B85,Datos!$C$5:$C$204,0))</f>
        <v>0</v>
      </c>
      <c r="D85" s="7">
        <f t="shared" si="16"/>
        <v>123</v>
      </c>
      <c r="E85" s="6">
        <f t="shared" si="21"/>
        <v>0</v>
      </c>
      <c r="F85" s="6">
        <f t="shared" si="22"/>
        <v>49.606901481916111</v>
      </c>
      <c r="G85" s="14">
        <f t="shared" si="17"/>
        <v>0</v>
      </c>
      <c r="H85" s="6">
        <f t="shared" si="18"/>
        <v>7.872683782462186</v>
      </c>
      <c r="I85" s="6">
        <f t="shared" si="19"/>
        <v>0</v>
      </c>
      <c r="K85" s="49" t="e">
        <f t="shared" si="23"/>
        <v>#N/A</v>
      </c>
      <c r="L85" s="49" t="e">
        <f t="shared" si="24"/>
        <v>#N/A</v>
      </c>
      <c r="M85" s="15" t="str">
        <f t="shared" si="20"/>
        <v/>
      </c>
    </row>
    <row r="86" spans="1:13" ht="14.5" x14ac:dyDescent="0.35">
      <c r="A86" s="7">
        <v>79</v>
      </c>
      <c r="B86" s="12">
        <f>SMALL(Datos!$C$5:$C$204,A86)</f>
        <v>2673.1</v>
      </c>
      <c r="C86" s="13">
        <f>INDEX(Datos!$D$5:$D$204,MATCH(B86,Datos!$C$5:$C$204,0))</f>
        <v>0</v>
      </c>
      <c r="D86" s="7">
        <f t="shared" si="16"/>
        <v>122</v>
      </c>
      <c r="E86" s="6">
        <f t="shared" si="21"/>
        <v>0</v>
      </c>
      <c r="F86" s="6">
        <f t="shared" si="22"/>
        <v>49.606901481916111</v>
      </c>
      <c r="G86" s="14">
        <f t="shared" si="17"/>
        <v>0</v>
      </c>
      <c r="H86" s="6">
        <f t="shared" si="18"/>
        <v>7.8909941265876613</v>
      </c>
      <c r="I86" s="6">
        <f t="shared" si="19"/>
        <v>0</v>
      </c>
      <c r="K86" s="49" t="e">
        <f t="shared" si="23"/>
        <v>#N/A</v>
      </c>
      <c r="L86" s="49" t="e">
        <f t="shared" si="24"/>
        <v>#N/A</v>
      </c>
      <c r="M86" s="15" t="str">
        <f t="shared" si="20"/>
        <v/>
      </c>
    </row>
    <row r="87" spans="1:13" ht="14.5" x14ac:dyDescent="0.35">
      <c r="A87" s="7">
        <v>80</v>
      </c>
      <c r="B87" s="12">
        <f>SMALL(Datos!$C$5:$C$204,A87)</f>
        <v>2686.6</v>
      </c>
      <c r="C87" s="13">
        <f>INDEX(Datos!$D$5:$D$204,MATCH(B87,Datos!$C$5:$C$204,0))</f>
        <v>1</v>
      </c>
      <c r="D87" s="7">
        <f t="shared" si="16"/>
        <v>121</v>
      </c>
      <c r="E87" s="6">
        <f t="shared" si="21"/>
        <v>1.2409270370334744</v>
      </c>
      <c r="F87" s="6">
        <f t="shared" si="22"/>
        <v>50.847828518949584</v>
      </c>
      <c r="G87" s="14">
        <f t="shared" si="17"/>
        <v>0.25223467324825144</v>
      </c>
      <c r="H87" s="6">
        <f t="shared" si="18"/>
        <v>7.8960317326289129</v>
      </c>
      <c r="I87" s="6">
        <f t="shared" si="19"/>
        <v>-1.235580146535713</v>
      </c>
      <c r="K87" s="49">
        <f t="shared" si="23"/>
        <v>7.8960317326289129</v>
      </c>
      <c r="L87" s="49">
        <f t="shared" si="24"/>
        <v>-1.235580146535713</v>
      </c>
      <c r="M87" s="15">
        <f t="shared" si="20"/>
        <v>-1.2323619381969397</v>
      </c>
    </row>
    <row r="88" spans="1:13" ht="14.5" x14ac:dyDescent="0.35">
      <c r="A88" s="7">
        <v>81</v>
      </c>
      <c r="B88" s="12">
        <f>SMALL(Datos!$C$5:$C$204,A88)</f>
        <v>2689.4</v>
      </c>
      <c r="C88" s="13">
        <f>INDEX(Datos!$D$5:$D$204,MATCH(B88,Datos!$C$5:$C$204,0))</f>
        <v>0</v>
      </c>
      <c r="D88" s="7">
        <f t="shared" si="16"/>
        <v>120</v>
      </c>
      <c r="E88" s="6">
        <f t="shared" si="21"/>
        <v>0</v>
      </c>
      <c r="F88" s="6">
        <f t="shared" si="22"/>
        <v>50.847828518949584</v>
      </c>
      <c r="G88" s="14">
        <f t="shared" si="17"/>
        <v>0</v>
      </c>
      <c r="H88" s="6">
        <f t="shared" si="18"/>
        <v>7.8970733993897699</v>
      </c>
      <c r="I88" s="6">
        <f t="shared" si="19"/>
        <v>0</v>
      </c>
      <c r="K88" s="49" t="e">
        <f t="shared" si="23"/>
        <v>#N/A</v>
      </c>
      <c r="L88" s="49" t="e">
        <f t="shared" si="24"/>
        <v>#N/A</v>
      </c>
      <c r="M88" s="15" t="str">
        <f t="shared" si="20"/>
        <v/>
      </c>
    </row>
    <row r="89" spans="1:13" ht="14.5" x14ac:dyDescent="0.35">
      <c r="A89" s="7">
        <v>82</v>
      </c>
      <c r="B89" s="12">
        <f>SMALL(Datos!$C$5:$C$204,A89)</f>
        <v>2690.6</v>
      </c>
      <c r="C89" s="13">
        <f>INDEX(Datos!$D$5:$D$204,MATCH(B89,Datos!$C$5:$C$204,0))</f>
        <v>1</v>
      </c>
      <c r="D89" s="7">
        <f t="shared" si="16"/>
        <v>119</v>
      </c>
      <c r="E89" s="6">
        <f t="shared" si="21"/>
        <v>1.2512680956754201</v>
      </c>
      <c r="F89" s="6">
        <f t="shared" si="22"/>
        <v>52.099096614625005</v>
      </c>
      <c r="G89" s="14">
        <f t="shared" si="17"/>
        <v>0.25847852602108284</v>
      </c>
      <c r="H89" s="6">
        <f t="shared" si="18"/>
        <v>7.8975194960514425</v>
      </c>
      <c r="I89" s="6">
        <f t="shared" si="19"/>
        <v>-1.2071406244536118</v>
      </c>
      <c r="K89" s="49">
        <f t="shared" si="23"/>
        <v>7.8975194960514425</v>
      </c>
      <c r="L89" s="49">
        <f t="shared" si="24"/>
        <v>-1.2071406244536118</v>
      </c>
      <c r="M89" s="15">
        <f t="shared" si="20"/>
        <v>-1.2295215295340256</v>
      </c>
    </row>
    <row r="90" spans="1:13" ht="14.5" x14ac:dyDescent="0.35">
      <c r="A90" s="7">
        <v>83</v>
      </c>
      <c r="B90" s="12">
        <f>SMALL(Datos!$C$5:$C$204,A90)</f>
        <v>2732.7</v>
      </c>
      <c r="C90" s="13">
        <f>INDEX(Datos!$D$5:$D$204,MATCH(B90,Datos!$C$5:$C$204,0))</f>
        <v>0</v>
      </c>
      <c r="D90" s="7">
        <f t="shared" si="16"/>
        <v>118</v>
      </c>
      <c r="E90" s="6">
        <f t="shared" si="21"/>
        <v>0</v>
      </c>
      <c r="F90" s="6">
        <f t="shared" si="22"/>
        <v>52.099096614625005</v>
      </c>
      <c r="G90" s="14">
        <f t="shared" si="17"/>
        <v>0</v>
      </c>
      <c r="H90" s="6">
        <f t="shared" si="18"/>
        <v>7.9130454104188734</v>
      </c>
      <c r="I90" s="6">
        <f t="shared" si="19"/>
        <v>0</v>
      </c>
      <c r="K90" s="49" t="e">
        <f t="shared" si="23"/>
        <v>#N/A</v>
      </c>
      <c r="L90" s="49" t="e">
        <f t="shared" si="24"/>
        <v>#N/A</v>
      </c>
      <c r="M90" s="15" t="str">
        <f t="shared" si="20"/>
        <v/>
      </c>
    </row>
    <row r="91" spans="1:13" ht="14.5" x14ac:dyDescent="0.35">
      <c r="A91" s="7">
        <v>84</v>
      </c>
      <c r="B91" s="12">
        <f>SMALL(Datos!$C$5:$C$204,A91)</f>
        <v>2790.3</v>
      </c>
      <c r="C91" s="13">
        <f>INDEX(Datos!$D$5:$D$204,MATCH(B91,Datos!$C$5:$C$204,0))</f>
        <v>1</v>
      </c>
      <c r="D91" s="7">
        <f t="shared" si="16"/>
        <v>117</v>
      </c>
      <c r="E91" s="6">
        <f t="shared" si="21"/>
        <v>1.2618720625879236</v>
      </c>
      <c r="F91" s="6">
        <f t="shared" si="22"/>
        <v>53.360968677212931</v>
      </c>
      <c r="G91" s="14">
        <f t="shared" si="17"/>
        <v>0.26477529280046375</v>
      </c>
      <c r="H91" s="6">
        <f t="shared" si="18"/>
        <v>7.9339043959165307</v>
      </c>
      <c r="I91" s="6">
        <f t="shared" si="19"/>
        <v>-1.1790229811995261</v>
      </c>
      <c r="K91" s="49">
        <f t="shared" si="23"/>
        <v>7.9339043959165307</v>
      </c>
      <c r="L91" s="49">
        <f t="shared" si="24"/>
        <v>-1.1790229811995261</v>
      </c>
      <c r="M91" s="15">
        <f t="shared" si="20"/>
        <v>-1.1600561943799068</v>
      </c>
    </row>
    <row r="92" spans="1:13" ht="14.5" x14ac:dyDescent="0.35">
      <c r="A92" s="7">
        <v>85</v>
      </c>
      <c r="B92" s="12">
        <f>SMALL(Datos!$C$5:$C$204,A92)</f>
        <v>2840.9</v>
      </c>
      <c r="C92" s="13">
        <f>INDEX(Datos!$D$5:$D$204,MATCH(B92,Datos!$C$5:$C$204,0))</f>
        <v>0</v>
      </c>
      <c r="D92" s="7">
        <f t="shared" si="16"/>
        <v>116</v>
      </c>
      <c r="E92" s="6">
        <f t="shared" si="21"/>
        <v>0</v>
      </c>
      <c r="F92" s="6">
        <f t="shared" si="22"/>
        <v>53.360968677212931</v>
      </c>
      <c r="G92" s="14">
        <f t="shared" si="17"/>
        <v>0</v>
      </c>
      <c r="H92" s="6">
        <f t="shared" si="18"/>
        <v>7.9518761823610573</v>
      </c>
      <c r="I92" s="6">
        <f t="shared" si="19"/>
        <v>0</v>
      </c>
      <c r="K92" s="49" t="e">
        <f t="shared" si="23"/>
        <v>#N/A</v>
      </c>
      <c r="L92" s="49" t="e">
        <f t="shared" si="24"/>
        <v>#N/A</v>
      </c>
      <c r="M92" s="15" t="str">
        <f t="shared" si="20"/>
        <v/>
      </c>
    </row>
    <row r="93" spans="1:13" ht="14.5" x14ac:dyDescent="0.35">
      <c r="A93" s="7">
        <v>86</v>
      </c>
      <c r="B93" s="12">
        <f>SMALL(Datos!$C$5:$C$204,A93)</f>
        <v>2871.5</v>
      </c>
      <c r="C93" s="13">
        <f>INDEX(Datos!$D$5:$D$204,MATCH(B93,Datos!$C$5:$C$204,0))</f>
        <v>1</v>
      </c>
      <c r="D93" s="7">
        <f t="shared" si="16"/>
        <v>115</v>
      </c>
      <c r="E93" s="6">
        <f t="shared" si="21"/>
        <v>1.2727502700240265</v>
      </c>
      <c r="F93" s="6">
        <f t="shared" si="22"/>
        <v>54.633718947236957</v>
      </c>
      <c r="G93" s="14">
        <f t="shared" si="17"/>
        <v>0.27112634205208064</v>
      </c>
      <c r="H93" s="6">
        <f t="shared" si="18"/>
        <v>7.962589820304351</v>
      </c>
      <c r="I93" s="6">
        <f t="shared" si="19"/>
        <v>-1.1512068376152582</v>
      </c>
      <c r="K93" s="49">
        <f t="shared" si="23"/>
        <v>7.962589820304351</v>
      </c>
      <c r="L93" s="49">
        <f t="shared" si="24"/>
        <v>-1.1512068376152582</v>
      </c>
      <c r="M93" s="15">
        <f t="shared" si="20"/>
        <v>-1.1052905463631024</v>
      </c>
    </row>
    <row r="94" spans="1:13" ht="14.5" x14ac:dyDescent="0.35">
      <c r="A94" s="7">
        <v>87</v>
      </c>
      <c r="B94" s="12">
        <f>SMALL(Datos!$C$5:$C$204,A94)</f>
        <v>2935.3</v>
      </c>
      <c r="C94" s="13">
        <f>INDEX(Datos!$D$5:$D$204,MATCH(B94,Datos!$C$5:$C$204,0))</f>
        <v>0</v>
      </c>
      <c r="D94" s="7">
        <f t="shared" si="16"/>
        <v>114</v>
      </c>
      <c r="E94" s="6">
        <f t="shared" si="21"/>
        <v>0</v>
      </c>
      <c r="F94" s="6">
        <f t="shared" si="22"/>
        <v>54.633718947236957</v>
      </c>
      <c r="G94" s="14">
        <f t="shared" si="17"/>
        <v>0</v>
      </c>
      <c r="H94" s="6">
        <f t="shared" si="18"/>
        <v>7.9845649416894018</v>
      </c>
      <c r="I94" s="6">
        <f t="shared" si="19"/>
        <v>0</v>
      </c>
      <c r="K94" s="49" t="e">
        <f t="shared" si="23"/>
        <v>#N/A</v>
      </c>
      <c r="L94" s="49" t="e">
        <f t="shared" si="24"/>
        <v>#N/A</v>
      </c>
      <c r="M94" s="15" t="str">
        <f t="shared" si="20"/>
        <v/>
      </c>
    </row>
    <row r="95" spans="1:13" ht="14.5" x14ac:dyDescent="0.35">
      <c r="A95" s="7">
        <v>88</v>
      </c>
      <c r="B95" s="12">
        <f>SMALL(Datos!$C$5:$C$204,A95)</f>
        <v>2953</v>
      </c>
      <c r="C95" s="13">
        <f>INDEX(Datos!$D$5:$D$204,MATCH(B95,Datos!$C$5:$C$204,0))</f>
        <v>0</v>
      </c>
      <c r="D95" s="7">
        <f t="shared" si="16"/>
        <v>113</v>
      </c>
      <c r="E95" s="6">
        <f t="shared" si="21"/>
        <v>0</v>
      </c>
      <c r="F95" s="6">
        <f t="shared" si="22"/>
        <v>54.633718947236957</v>
      </c>
      <c r="G95" s="14">
        <f t="shared" si="17"/>
        <v>0</v>
      </c>
      <c r="H95" s="6">
        <f t="shared" si="18"/>
        <v>7.9905768817439231</v>
      </c>
      <c r="I95" s="6">
        <f t="shared" si="19"/>
        <v>0</v>
      </c>
      <c r="K95" s="49" t="e">
        <f t="shared" si="23"/>
        <v>#N/A</v>
      </c>
      <c r="L95" s="49" t="e">
        <f t="shared" si="24"/>
        <v>#N/A</v>
      </c>
      <c r="M95" s="15" t="str">
        <f t="shared" si="20"/>
        <v/>
      </c>
    </row>
    <row r="96" spans="1:13" ht="14.5" x14ac:dyDescent="0.35">
      <c r="A96" s="7">
        <v>89</v>
      </c>
      <c r="B96" s="12">
        <f>SMALL(Datos!$C$5:$C$204,A96)</f>
        <v>2968.1</v>
      </c>
      <c r="C96" s="13">
        <f>INDEX(Datos!$D$5:$D$204,MATCH(B96,Datos!$C$5:$C$204,0))</f>
        <v>1</v>
      </c>
      <c r="D96" s="7">
        <f t="shared" si="16"/>
        <v>112</v>
      </c>
      <c r="E96" s="6">
        <f t="shared" si="21"/>
        <v>1.2952768234757792</v>
      </c>
      <c r="F96" s="6">
        <f t="shared" si="22"/>
        <v>55.928995770712739</v>
      </c>
      <c r="G96" s="14">
        <f t="shared" si="17"/>
        <v>0.27758979925505362</v>
      </c>
      <c r="H96" s="6">
        <f t="shared" si="18"/>
        <v>7.9956772964420564</v>
      </c>
      <c r="I96" s="6">
        <f t="shared" si="19"/>
        <v>-1.1234312784782052</v>
      </c>
      <c r="K96" s="49">
        <f t="shared" si="23"/>
        <v>7.9956772964420564</v>
      </c>
      <c r="L96" s="49">
        <f t="shared" si="24"/>
        <v>-1.1234312784782052</v>
      </c>
      <c r="M96" s="15">
        <f t="shared" si="20"/>
        <v>-1.0421205877310324</v>
      </c>
    </row>
    <row r="97" spans="1:13" ht="14.5" x14ac:dyDescent="0.35">
      <c r="A97" s="7">
        <v>90</v>
      </c>
      <c r="B97" s="12">
        <f>SMALL(Datos!$C$5:$C$204,A97)</f>
        <v>2986.6</v>
      </c>
      <c r="C97" s="13">
        <f>INDEX(Datos!$D$5:$D$204,MATCH(B97,Datos!$C$5:$C$204,0))</f>
        <v>0</v>
      </c>
      <c r="D97" s="7">
        <f t="shared" si="16"/>
        <v>111</v>
      </c>
      <c r="E97" s="6">
        <f t="shared" si="21"/>
        <v>0</v>
      </c>
      <c r="F97" s="6">
        <f t="shared" si="22"/>
        <v>55.928995770712739</v>
      </c>
      <c r="G97" s="14">
        <f t="shared" si="17"/>
        <v>0</v>
      </c>
      <c r="H97" s="6">
        <f t="shared" si="18"/>
        <v>8.001890895623168</v>
      </c>
      <c r="I97" s="6">
        <f t="shared" si="19"/>
        <v>0</v>
      </c>
      <c r="K97" s="49" t="e">
        <f t="shared" si="23"/>
        <v>#N/A</v>
      </c>
      <c r="L97" s="49" t="e">
        <f t="shared" si="24"/>
        <v>#N/A</v>
      </c>
      <c r="M97" s="15" t="str">
        <f t="shared" si="20"/>
        <v/>
      </c>
    </row>
    <row r="98" spans="1:13" ht="14.5" x14ac:dyDescent="0.35">
      <c r="A98" s="7">
        <v>91</v>
      </c>
      <c r="B98" s="12">
        <f>SMALL(Datos!$C$5:$C$204,A98)</f>
        <v>3033.6</v>
      </c>
      <c r="C98" s="13">
        <f>INDEX(Datos!$D$5:$D$204,MATCH(B98,Datos!$C$5:$C$204,0))</f>
        <v>0</v>
      </c>
      <c r="D98" s="7">
        <f t="shared" si="16"/>
        <v>110</v>
      </c>
      <c r="E98" s="6">
        <f t="shared" si="21"/>
        <v>0</v>
      </c>
      <c r="F98" s="6">
        <f t="shared" si="22"/>
        <v>55.928995770712739</v>
      </c>
      <c r="G98" s="14">
        <f t="shared" si="17"/>
        <v>0</v>
      </c>
      <c r="H98" s="6">
        <f t="shared" si="18"/>
        <v>8.0175053120607025</v>
      </c>
      <c r="I98" s="6">
        <f t="shared" si="19"/>
        <v>0</v>
      </c>
      <c r="K98" s="49" t="e">
        <f t="shared" si="23"/>
        <v>#N/A</v>
      </c>
      <c r="L98" s="49" t="e">
        <f t="shared" si="24"/>
        <v>#N/A</v>
      </c>
      <c r="M98" s="15" t="str">
        <f t="shared" si="20"/>
        <v/>
      </c>
    </row>
    <row r="99" spans="1:13" ht="14.5" x14ac:dyDescent="0.35">
      <c r="A99" s="7">
        <v>92</v>
      </c>
      <c r="B99" s="12">
        <f>SMALL(Datos!$C$5:$C$204,A99)</f>
        <v>3046.4</v>
      </c>
      <c r="C99" s="13">
        <f>INDEX(Datos!$D$5:$D$204,MATCH(B99,Datos!$C$5:$C$204,0))</f>
        <v>1</v>
      </c>
      <c r="D99" s="7">
        <f t="shared" si="16"/>
        <v>109</v>
      </c>
      <c r="E99" s="6">
        <f t="shared" si="21"/>
        <v>1.3188273111753388</v>
      </c>
      <c r="F99" s="6">
        <f t="shared" si="22"/>
        <v>57.247823081888079</v>
      </c>
      <c r="G99" s="14">
        <f t="shared" si="17"/>
        <v>0.28417077386171696</v>
      </c>
      <c r="H99" s="6">
        <f t="shared" si="18"/>
        <v>8.0217158445970469</v>
      </c>
      <c r="I99" s="6">
        <f t="shared" si="19"/>
        <v>-1.0956756504645997</v>
      </c>
      <c r="K99" s="49">
        <f t="shared" si="23"/>
        <v>8.0217158445970469</v>
      </c>
      <c r="L99" s="49">
        <f t="shared" si="24"/>
        <v>-1.0956756504645997</v>
      </c>
      <c r="M99" s="15">
        <f t="shared" si="20"/>
        <v>-0.9924083037555409</v>
      </c>
    </row>
    <row r="100" spans="1:13" ht="14.5" x14ac:dyDescent="0.35">
      <c r="A100" s="7">
        <v>93</v>
      </c>
      <c r="B100" s="12">
        <f>SMALL(Datos!$C$5:$C$204,A100)</f>
        <v>3069.7</v>
      </c>
      <c r="C100" s="13">
        <f>INDEX(Datos!$D$5:$D$204,MATCH(B100,Datos!$C$5:$C$204,0))</f>
        <v>1</v>
      </c>
      <c r="D100" s="7">
        <f t="shared" si="16"/>
        <v>108</v>
      </c>
      <c r="E100" s="6">
        <f t="shared" si="21"/>
        <v>1.3188273111753388</v>
      </c>
      <c r="F100" s="6">
        <f t="shared" si="22"/>
        <v>58.566650393063419</v>
      </c>
      <c r="G100" s="14">
        <f t="shared" si="17"/>
        <v>0.29075174846838037</v>
      </c>
      <c r="H100" s="6">
        <f t="shared" si="18"/>
        <v>8.0293351159366377</v>
      </c>
      <c r="I100" s="6">
        <f t="shared" si="19"/>
        <v>-1.0684235765162562</v>
      </c>
      <c r="K100" s="49">
        <f t="shared" si="23"/>
        <v>8.0293351159366377</v>
      </c>
      <c r="L100" s="49">
        <f t="shared" si="24"/>
        <v>-1.0684235765162562</v>
      </c>
      <c r="M100" s="15">
        <f t="shared" si="20"/>
        <v>-0.97786174078031252</v>
      </c>
    </row>
    <row r="101" spans="1:13" ht="14.5" x14ac:dyDescent="0.35">
      <c r="A101" s="7">
        <v>94</v>
      </c>
      <c r="B101" s="12">
        <f>SMALL(Datos!$C$5:$C$204,A101)</f>
        <v>3079.7</v>
      </c>
      <c r="C101" s="13">
        <f>INDEX(Datos!$D$5:$D$204,MATCH(B101,Datos!$C$5:$C$204,0))</f>
        <v>0</v>
      </c>
      <c r="D101" s="7">
        <f t="shared" si="16"/>
        <v>107</v>
      </c>
      <c r="E101" s="6">
        <f t="shared" si="21"/>
        <v>0</v>
      </c>
      <c r="F101" s="6">
        <f t="shared" si="22"/>
        <v>58.566650393063419</v>
      </c>
      <c r="G101" s="14">
        <f t="shared" si="17"/>
        <v>0</v>
      </c>
      <c r="H101" s="6">
        <f t="shared" si="18"/>
        <v>8.0325874686262768</v>
      </c>
      <c r="I101" s="6">
        <f t="shared" si="19"/>
        <v>0</v>
      </c>
      <c r="K101" s="49" t="e">
        <f t="shared" si="23"/>
        <v>#N/A</v>
      </c>
      <c r="L101" s="49" t="e">
        <f t="shared" si="24"/>
        <v>#N/A</v>
      </c>
      <c r="M101" s="15" t="str">
        <f t="shared" si="20"/>
        <v/>
      </c>
    </row>
    <row r="102" spans="1:13" ht="14.5" x14ac:dyDescent="0.35">
      <c r="A102" s="7">
        <v>95</v>
      </c>
      <c r="B102" s="12">
        <f>SMALL(Datos!$C$5:$C$204,A102)</f>
        <v>3131</v>
      </c>
      <c r="C102" s="13">
        <f>INDEX(Datos!$D$5:$D$204,MATCH(B102,Datos!$C$5:$C$204,0))</f>
        <v>0</v>
      </c>
      <c r="D102" s="7">
        <f t="shared" si="16"/>
        <v>106</v>
      </c>
      <c r="E102" s="6">
        <f t="shared" si="21"/>
        <v>0</v>
      </c>
      <c r="F102" s="6">
        <f t="shared" si="22"/>
        <v>58.566650393063419</v>
      </c>
      <c r="G102" s="14">
        <f t="shared" si="17"/>
        <v>0</v>
      </c>
      <c r="H102" s="6">
        <f t="shared" si="18"/>
        <v>8.049107721326406</v>
      </c>
      <c r="I102" s="6">
        <f t="shared" si="19"/>
        <v>0</v>
      </c>
      <c r="K102" s="49" t="e">
        <f t="shared" si="23"/>
        <v>#N/A</v>
      </c>
      <c r="L102" s="49" t="e">
        <f t="shared" si="24"/>
        <v>#N/A</v>
      </c>
      <c r="M102" s="15" t="str">
        <f t="shared" si="20"/>
        <v/>
      </c>
    </row>
    <row r="103" spans="1:13" ht="14.5" x14ac:dyDescent="0.35">
      <c r="A103" s="7">
        <v>96</v>
      </c>
      <c r="B103" s="12">
        <f>SMALL(Datos!$C$5:$C$204,A103)</f>
        <v>3224.7</v>
      </c>
      <c r="C103" s="13">
        <f>INDEX(Datos!$D$5:$D$204,MATCH(B103,Datos!$C$5:$C$204,0))</f>
        <v>0</v>
      </c>
      <c r="D103" s="7">
        <f t="shared" si="16"/>
        <v>105</v>
      </c>
      <c r="E103" s="6">
        <f t="shared" si="21"/>
        <v>0</v>
      </c>
      <c r="F103" s="6">
        <f t="shared" si="22"/>
        <v>58.566650393063419</v>
      </c>
      <c r="G103" s="14">
        <f t="shared" si="17"/>
        <v>0</v>
      </c>
      <c r="H103" s="6">
        <f t="shared" si="18"/>
        <v>8.0785952016471274</v>
      </c>
      <c r="I103" s="6">
        <f t="shared" si="19"/>
        <v>0</v>
      </c>
      <c r="K103" s="49" t="e">
        <f t="shared" si="23"/>
        <v>#N/A</v>
      </c>
      <c r="L103" s="49" t="e">
        <f t="shared" si="24"/>
        <v>#N/A</v>
      </c>
      <c r="M103" s="15" t="str">
        <f t="shared" si="20"/>
        <v/>
      </c>
    </row>
    <row r="104" spans="1:13" ht="14.5" x14ac:dyDescent="0.35">
      <c r="A104" s="7">
        <v>97</v>
      </c>
      <c r="B104" s="12">
        <f>SMALL(Datos!$C$5:$C$204,A104)</f>
        <v>3257.9</v>
      </c>
      <c r="C104" s="13">
        <f>INDEX(Datos!$D$5:$D$204,MATCH(B104,Datos!$C$5:$C$204,0))</f>
        <v>0</v>
      </c>
      <c r="D104" s="7">
        <f t="shared" ref="D104:D135" si="25">$B$4-A104+1</f>
        <v>104</v>
      </c>
      <c r="E104" s="6">
        <f t="shared" si="21"/>
        <v>0</v>
      </c>
      <c r="F104" s="6">
        <f t="shared" si="22"/>
        <v>58.566650393063419</v>
      </c>
      <c r="G104" s="14">
        <f t="shared" ref="G104:G135" si="26">IF(C104=1,(F104-0.3)/($B$4+0.4),0)</f>
        <v>0</v>
      </c>
      <c r="H104" s="6">
        <f t="shared" ref="H104:H135" si="27">LN(B104)</f>
        <v>8.088838095013827</v>
      </c>
      <c r="I104" s="6">
        <f t="shared" ref="I104:I135" si="28">IF(C104=1,LN(-LN(1-G104)),0)</f>
        <v>0</v>
      </c>
      <c r="K104" s="49" t="e">
        <f t="shared" si="23"/>
        <v>#N/A</v>
      </c>
      <c r="L104" s="49" t="e">
        <f t="shared" si="24"/>
        <v>#N/A</v>
      </c>
      <c r="M104" s="15" t="str">
        <f t="shared" ref="M104:M135" si="29">IF(C104=1,$P$12*H104+$P$13,"")</f>
        <v/>
      </c>
    </row>
    <row r="105" spans="1:13" ht="14.5" x14ac:dyDescent="0.35">
      <c r="A105" s="7">
        <v>98</v>
      </c>
      <c r="B105" s="12">
        <f>SMALL(Datos!$C$5:$C$204,A105)</f>
        <v>3262.9</v>
      </c>
      <c r="C105" s="13">
        <f>INDEX(Datos!$D$5:$D$204,MATCH(B105,Datos!$C$5:$C$204,0))</f>
        <v>1</v>
      </c>
      <c r="D105" s="7">
        <f t="shared" si="25"/>
        <v>103</v>
      </c>
      <c r="E105" s="6">
        <f t="shared" ref="E105:E136" si="30">IF(C105=1,($B$4+1-F104)/(1+D105),0)</f>
        <v>1.3695514385282364</v>
      </c>
      <c r="F105" s="6">
        <f t="shared" ref="F105:F136" si="31">F104+E105</f>
        <v>59.936201831591653</v>
      </c>
      <c r="G105" s="14">
        <f t="shared" si="26"/>
        <v>0.29758583748299228</v>
      </c>
      <c r="H105" s="6">
        <f t="shared" si="27"/>
        <v>8.0903716494795095</v>
      </c>
      <c r="I105" s="6">
        <f t="shared" si="28"/>
        <v>-1.0406300051233761</v>
      </c>
      <c r="K105" s="49">
        <f t="shared" si="23"/>
        <v>8.0903716494795095</v>
      </c>
      <c r="L105" s="49">
        <f t="shared" si="24"/>
        <v>-1.0406300051233761</v>
      </c>
      <c r="M105" s="15">
        <f t="shared" si="29"/>
        <v>-0.86133199149084128</v>
      </c>
    </row>
    <row r="106" spans="1:13" ht="14.5" x14ac:dyDescent="0.35">
      <c r="A106" s="7">
        <v>99</v>
      </c>
      <c r="B106" s="12">
        <f>SMALL(Datos!$C$5:$C$204,A106)</f>
        <v>3289</v>
      </c>
      <c r="C106" s="13">
        <f>INDEX(Datos!$D$5:$D$204,MATCH(B106,Datos!$C$5:$C$204,0))</f>
        <v>0</v>
      </c>
      <c r="D106" s="7">
        <f t="shared" si="25"/>
        <v>102</v>
      </c>
      <c r="E106" s="6">
        <f t="shared" si="30"/>
        <v>0</v>
      </c>
      <c r="F106" s="6">
        <f t="shared" si="31"/>
        <v>59.936201831591653</v>
      </c>
      <c r="G106" s="14">
        <f t="shared" si="26"/>
        <v>0</v>
      </c>
      <c r="H106" s="6">
        <f t="shared" si="27"/>
        <v>8.0983388461890566</v>
      </c>
      <c r="I106" s="6">
        <f t="shared" si="28"/>
        <v>0</v>
      </c>
      <c r="K106" s="49" t="e">
        <f t="shared" si="23"/>
        <v>#N/A</v>
      </c>
      <c r="L106" s="49" t="e">
        <f t="shared" si="24"/>
        <v>#N/A</v>
      </c>
      <c r="M106" s="15" t="str">
        <f t="shared" si="29"/>
        <v/>
      </c>
    </row>
    <row r="107" spans="1:13" ht="14.5" x14ac:dyDescent="0.35">
      <c r="A107" s="7">
        <v>100</v>
      </c>
      <c r="B107" s="12">
        <f>SMALL(Datos!$C$5:$C$204,A107)</f>
        <v>3290.7</v>
      </c>
      <c r="C107" s="13">
        <f>INDEX(Datos!$D$5:$D$204,MATCH(B107,Datos!$C$5:$C$204,0))</f>
        <v>1</v>
      </c>
      <c r="D107" s="7">
        <f t="shared" si="25"/>
        <v>101</v>
      </c>
      <c r="E107" s="6">
        <f t="shared" si="30"/>
        <v>1.3829784134157681</v>
      </c>
      <c r="F107" s="6">
        <f t="shared" si="31"/>
        <v>61.319180245007423</v>
      </c>
      <c r="G107" s="14">
        <f t="shared" si="26"/>
        <v>0.30448692737029653</v>
      </c>
      <c r="H107" s="6">
        <f t="shared" si="27"/>
        <v>8.0988555870853975</v>
      </c>
      <c r="I107" s="6">
        <f t="shared" si="28"/>
        <v>-1.013061931056954</v>
      </c>
      <c r="K107" s="49">
        <f t="shared" si="23"/>
        <v>8.0988555870853975</v>
      </c>
      <c r="L107" s="49">
        <f t="shared" si="24"/>
        <v>-1.013061931056954</v>
      </c>
      <c r="M107" s="15">
        <f t="shared" si="29"/>
        <v>-0.84513462468744471</v>
      </c>
    </row>
    <row r="108" spans="1:13" ht="14.5" x14ac:dyDescent="0.35">
      <c r="A108" s="7">
        <v>101</v>
      </c>
      <c r="B108" s="12">
        <f>SMALL(Datos!$C$5:$C$204,A108)</f>
        <v>3313.9</v>
      </c>
      <c r="C108" s="13">
        <f>INDEX(Datos!$D$5:$D$204,MATCH(B108,Datos!$C$5:$C$204,0))</f>
        <v>1</v>
      </c>
      <c r="D108" s="7">
        <f t="shared" si="25"/>
        <v>100</v>
      </c>
      <c r="E108" s="6">
        <f t="shared" si="30"/>
        <v>1.3829784134157681</v>
      </c>
      <c r="F108" s="6">
        <f t="shared" si="31"/>
        <v>62.702158658423194</v>
      </c>
      <c r="G108" s="14">
        <f t="shared" si="26"/>
        <v>0.31138801725760079</v>
      </c>
      <c r="H108" s="6">
        <f t="shared" si="27"/>
        <v>8.1058810225161455</v>
      </c>
      <c r="I108" s="6">
        <f t="shared" si="28"/>
        <v>-0.98596957082891767</v>
      </c>
      <c r="K108" s="49">
        <f t="shared" si="23"/>
        <v>8.1058810225161455</v>
      </c>
      <c r="L108" s="49">
        <f t="shared" si="24"/>
        <v>-0.98596957082891767</v>
      </c>
      <c r="M108" s="15">
        <f t="shared" si="29"/>
        <v>-0.83172180154899777</v>
      </c>
    </row>
    <row r="109" spans="1:13" ht="14.5" x14ac:dyDescent="0.35">
      <c r="A109" s="7">
        <v>102</v>
      </c>
      <c r="B109" s="12">
        <f>SMALL(Datos!$C$5:$C$204,A109)</f>
        <v>3314.9</v>
      </c>
      <c r="C109" s="13">
        <f>INDEX(Datos!$D$5:$D$204,MATCH(B109,Datos!$C$5:$C$204,0))</f>
        <v>1</v>
      </c>
      <c r="D109" s="7">
        <f t="shared" si="25"/>
        <v>99</v>
      </c>
      <c r="E109" s="6">
        <f t="shared" si="30"/>
        <v>1.3829784134157679</v>
      </c>
      <c r="F109" s="6">
        <f t="shared" si="31"/>
        <v>64.085137071838957</v>
      </c>
      <c r="G109" s="14">
        <f t="shared" si="26"/>
        <v>0.31828910714490499</v>
      </c>
      <c r="H109" s="6">
        <f t="shared" si="27"/>
        <v>8.1061827362524443</v>
      </c>
      <c r="I109" s="6">
        <f t="shared" si="28"/>
        <v>-0.95932970868900602</v>
      </c>
      <c r="K109" s="49">
        <f t="shared" si="23"/>
        <v>8.1061827362524443</v>
      </c>
      <c r="L109" s="49">
        <f t="shared" si="24"/>
        <v>-0.95932970868900602</v>
      </c>
      <c r="M109" s="15">
        <f t="shared" si="29"/>
        <v>-0.83114577561817704</v>
      </c>
    </row>
    <row r="110" spans="1:13" ht="14.5" x14ac:dyDescent="0.35">
      <c r="A110" s="7">
        <v>103</v>
      </c>
      <c r="B110" s="12">
        <f>SMALL(Datos!$C$5:$C$204,A110)</f>
        <v>3325.4</v>
      </c>
      <c r="C110" s="13">
        <f>INDEX(Datos!$D$5:$D$204,MATCH(B110,Datos!$C$5:$C$204,0))</f>
        <v>1</v>
      </c>
      <c r="D110" s="7">
        <f t="shared" si="25"/>
        <v>98</v>
      </c>
      <c r="E110" s="6">
        <f t="shared" si="30"/>
        <v>1.3829784134157679</v>
      </c>
      <c r="F110" s="6">
        <f t="shared" si="31"/>
        <v>65.468115485254728</v>
      </c>
      <c r="G110" s="14">
        <f t="shared" si="26"/>
        <v>0.32519019703220925</v>
      </c>
      <c r="H110" s="6">
        <f t="shared" si="27"/>
        <v>8.1093452466062796</v>
      </c>
      <c r="I110" s="6">
        <f t="shared" si="28"/>
        <v>-0.93312055927151427</v>
      </c>
      <c r="K110" s="49">
        <f t="shared" si="23"/>
        <v>8.1093452466062796</v>
      </c>
      <c r="L110" s="49">
        <f t="shared" si="24"/>
        <v>-0.93312055927151427</v>
      </c>
      <c r="M110" s="15">
        <f t="shared" si="29"/>
        <v>-0.82510797305524264</v>
      </c>
    </row>
    <row r="111" spans="1:13" ht="14.5" x14ac:dyDescent="0.35">
      <c r="A111" s="7">
        <v>104</v>
      </c>
      <c r="B111" s="12">
        <f>SMALL(Datos!$C$5:$C$204,A111)</f>
        <v>3349</v>
      </c>
      <c r="C111" s="13">
        <f>INDEX(Datos!$D$5:$D$204,MATCH(B111,Datos!$C$5:$C$204,0))</f>
        <v>1</v>
      </c>
      <c r="D111" s="7">
        <f t="shared" si="25"/>
        <v>97</v>
      </c>
      <c r="E111" s="6">
        <f t="shared" si="30"/>
        <v>1.3829784134157683</v>
      </c>
      <c r="F111" s="6">
        <f t="shared" si="31"/>
        <v>66.851093898670499</v>
      </c>
      <c r="G111" s="14">
        <f t="shared" si="26"/>
        <v>0.33209128691951345</v>
      </c>
      <c r="H111" s="6">
        <f t="shared" si="27"/>
        <v>8.1164170727942047</v>
      </c>
      <c r="I111" s="6">
        <f t="shared" si="28"/>
        <v>-0.9073216450333228</v>
      </c>
      <c r="K111" s="49">
        <f t="shared" si="23"/>
        <v>8.1164170727942047</v>
      </c>
      <c r="L111" s="49">
        <f t="shared" si="24"/>
        <v>-0.9073216450333228</v>
      </c>
      <c r="M111" s="15">
        <f t="shared" si="29"/>
        <v>-0.81160658159567056</v>
      </c>
    </row>
    <row r="112" spans="1:13" ht="14.5" x14ac:dyDescent="0.35">
      <c r="A112" s="7">
        <v>105</v>
      </c>
      <c r="B112" s="12">
        <f>SMALL(Datos!$C$5:$C$204,A112)</f>
        <v>3379.7</v>
      </c>
      <c r="C112" s="13">
        <f>INDEX(Datos!$D$5:$D$204,MATCH(B112,Datos!$C$5:$C$204,0))</f>
        <v>1</v>
      </c>
      <c r="D112" s="7">
        <f t="shared" si="25"/>
        <v>96</v>
      </c>
      <c r="E112" s="6">
        <f t="shared" si="30"/>
        <v>1.3829784134157679</v>
      </c>
      <c r="F112" s="6">
        <f t="shared" si="31"/>
        <v>68.234072312086269</v>
      </c>
      <c r="G112" s="14">
        <f t="shared" si="26"/>
        <v>0.33899237680681771</v>
      </c>
      <c r="H112" s="6">
        <f t="shared" si="27"/>
        <v>8.1255422271414446</v>
      </c>
      <c r="I112" s="6">
        <f t="shared" si="28"/>
        <v>-0.88191368618297339</v>
      </c>
      <c r="K112" s="49">
        <f t="shared" si="23"/>
        <v>8.1255422271414446</v>
      </c>
      <c r="L112" s="49">
        <f t="shared" si="24"/>
        <v>-0.88191368618297339</v>
      </c>
      <c r="M112" s="15">
        <f t="shared" si="29"/>
        <v>-0.79418501640201988</v>
      </c>
    </row>
    <row r="113" spans="1:13" ht="14.5" x14ac:dyDescent="0.35">
      <c r="A113" s="7">
        <v>106</v>
      </c>
      <c r="B113" s="12">
        <f>SMALL(Datos!$C$5:$C$204,A113)</f>
        <v>3387.5</v>
      </c>
      <c r="C113" s="13">
        <f>INDEX(Datos!$D$5:$D$204,MATCH(B113,Datos!$C$5:$C$204,0))</f>
        <v>1</v>
      </c>
      <c r="D113" s="7">
        <f t="shared" si="25"/>
        <v>95</v>
      </c>
      <c r="E113" s="6">
        <f t="shared" si="30"/>
        <v>1.3829784134157681</v>
      </c>
      <c r="F113" s="6">
        <f t="shared" si="31"/>
        <v>69.61705072550204</v>
      </c>
      <c r="G113" s="14">
        <f t="shared" si="26"/>
        <v>0.34589346669412196</v>
      </c>
      <c r="H113" s="6">
        <f t="shared" si="27"/>
        <v>8.1278474651879566</v>
      </c>
      <c r="I113" s="6">
        <f t="shared" si="28"/>
        <v>-0.85687850158324597</v>
      </c>
      <c r="K113" s="49">
        <f t="shared" si="23"/>
        <v>8.1278474651879566</v>
      </c>
      <c r="L113" s="49">
        <f t="shared" si="24"/>
        <v>-0.85687850158324597</v>
      </c>
      <c r="M113" s="15">
        <f t="shared" si="29"/>
        <v>-0.78978390126621534</v>
      </c>
    </row>
    <row r="114" spans="1:13" ht="14.5" x14ac:dyDescent="0.35">
      <c r="A114" s="7">
        <v>107</v>
      </c>
      <c r="B114" s="12">
        <f>SMALL(Datos!$C$5:$C$204,A114)</f>
        <v>3395</v>
      </c>
      <c r="C114" s="13">
        <f>INDEX(Datos!$D$5:$D$204,MATCH(B114,Datos!$C$5:$C$204,0))</f>
        <v>1</v>
      </c>
      <c r="D114" s="7">
        <f t="shared" si="25"/>
        <v>94</v>
      </c>
      <c r="E114" s="6">
        <f t="shared" si="30"/>
        <v>1.3829784134157679</v>
      </c>
      <c r="F114" s="6">
        <f t="shared" si="31"/>
        <v>71.00002913891781</v>
      </c>
      <c r="G114" s="14">
        <f t="shared" si="26"/>
        <v>0.35279455658142622</v>
      </c>
      <c r="H114" s="6">
        <f t="shared" si="27"/>
        <v>8.1300590399927959</v>
      </c>
      <c r="I114" s="6">
        <f t="shared" si="28"/>
        <v>-0.83219891931908418</v>
      </c>
      <c r="K114" s="49">
        <f t="shared" si="23"/>
        <v>8.1300590399927959</v>
      </c>
      <c r="L114" s="49">
        <f t="shared" si="24"/>
        <v>-0.83219891931908418</v>
      </c>
      <c r="M114" s="15">
        <f t="shared" si="29"/>
        <v>-0.78556160614911441</v>
      </c>
    </row>
    <row r="115" spans="1:13" ht="14.5" x14ac:dyDescent="0.35">
      <c r="A115" s="7">
        <v>108</v>
      </c>
      <c r="B115" s="12">
        <f>SMALL(Datos!$C$5:$C$204,A115)</f>
        <v>3433.4</v>
      </c>
      <c r="C115" s="13">
        <f>INDEX(Datos!$D$5:$D$204,MATCH(B115,Datos!$C$5:$C$204,0))</f>
        <v>0</v>
      </c>
      <c r="D115" s="7">
        <f t="shared" si="25"/>
        <v>93</v>
      </c>
      <c r="E115" s="6">
        <f t="shared" si="30"/>
        <v>0</v>
      </c>
      <c r="F115" s="6">
        <f t="shared" si="31"/>
        <v>71.00002913891781</v>
      </c>
      <c r="G115" s="14">
        <f t="shared" si="26"/>
        <v>0</v>
      </c>
      <c r="H115" s="6">
        <f t="shared" si="27"/>
        <v>8.1413063028368295</v>
      </c>
      <c r="I115" s="6">
        <f t="shared" si="28"/>
        <v>0</v>
      </c>
      <c r="K115" s="49" t="e">
        <f t="shared" si="23"/>
        <v>#N/A</v>
      </c>
      <c r="L115" s="49" t="e">
        <f t="shared" si="24"/>
        <v>#N/A</v>
      </c>
      <c r="M115" s="15" t="str">
        <f t="shared" si="29"/>
        <v/>
      </c>
    </row>
    <row r="116" spans="1:13" ht="14.5" x14ac:dyDescent="0.35">
      <c r="A116" s="7">
        <v>109</v>
      </c>
      <c r="B116" s="12">
        <f>SMALL(Datos!$C$5:$C$204,A116)</f>
        <v>3449.1</v>
      </c>
      <c r="C116" s="13">
        <f>INDEX(Datos!$D$5:$D$204,MATCH(B116,Datos!$C$5:$C$204,0))</f>
        <v>1</v>
      </c>
      <c r="D116" s="7">
        <f t="shared" si="25"/>
        <v>92</v>
      </c>
      <c r="E116" s="6">
        <f t="shared" si="30"/>
        <v>1.3978491490438947</v>
      </c>
      <c r="F116" s="6">
        <f t="shared" si="31"/>
        <v>72.397878287961703</v>
      </c>
      <c r="G116" s="14">
        <f t="shared" si="26"/>
        <v>0.35976985173633586</v>
      </c>
      <c r="H116" s="6">
        <f t="shared" si="27"/>
        <v>8.1458686064278041</v>
      </c>
      <c r="I116" s="6">
        <f t="shared" si="28"/>
        <v>-0.80759876031189937</v>
      </c>
      <c r="K116" s="49">
        <f t="shared" si="23"/>
        <v>8.1458686064278041</v>
      </c>
      <c r="L116" s="49">
        <f t="shared" si="24"/>
        <v>-0.80759876031189937</v>
      </c>
      <c r="M116" s="15">
        <f t="shared" si="29"/>
        <v>-0.75537829287571689</v>
      </c>
    </row>
    <row r="117" spans="1:13" ht="14.5" x14ac:dyDescent="0.35">
      <c r="A117" s="7">
        <v>110</v>
      </c>
      <c r="B117" s="12">
        <f>SMALL(Datos!$C$5:$C$204,A117)</f>
        <v>3453.9</v>
      </c>
      <c r="C117" s="13">
        <f>INDEX(Datos!$D$5:$D$204,MATCH(B117,Datos!$C$5:$C$204,0))</f>
        <v>1</v>
      </c>
      <c r="D117" s="7">
        <f t="shared" si="25"/>
        <v>91</v>
      </c>
      <c r="E117" s="6">
        <f t="shared" si="30"/>
        <v>1.3978491490438945</v>
      </c>
      <c r="F117" s="6">
        <f t="shared" si="31"/>
        <v>73.795727437005596</v>
      </c>
      <c r="G117" s="14">
        <f t="shared" si="26"/>
        <v>0.36674514689124549</v>
      </c>
      <c r="H117" s="6">
        <f t="shared" si="27"/>
        <v>8.1472593063477277</v>
      </c>
      <c r="I117" s="6">
        <f t="shared" si="28"/>
        <v>-0.78332941289005431</v>
      </c>
      <c r="K117" s="49">
        <f t="shared" si="23"/>
        <v>8.1472593063477277</v>
      </c>
      <c r="L117" s="49">
        <f t="shared" si="24"/>
        <v>-0.78332941289005431</v>
      </c>
      <c r="M117" s="15">
        <f t="shared" si="29"/>
        <v>-0.75272319594279935</v>
      </c>
    </row>
    <row r="118" spans="1:13" ht="14.5" x14ac:dyDescent="0.35">
      <c r="A118" s="7">
        <v>111</v>
      </c>
      <c r="B118" s="12">
        <f>SMALL(Datos!$C$5:$C$204,A118)</f>
        <v>3454.9</v>
      </c>
      <c r="C118" s="13">
        <f>INDEX(Datos!$D$5:$D$204,MATCH(B118,Datos!$C$5:$C$204,0))</f>
        <v>1</v>
      </c>
      <c r="D118" s="7">
        <f t="shared" si="25"/>
        <v>90</v>
      </c>
      <c r="E118" s="6">
        <f t="shared" si="30"/>
        <v>1.3978491490438945</v>
      </c>
      <c r="F118" s="6">
        <f t="shared" si="31"/>
        <v>75.193576586049488</v>
      </c>
      <c r="G118" s="14">
        <f t="shared" si="26"/>
        <v>0.37372044204615512</v>
      </c>
      <c r="H118" s="6">
        <f t="shared" si="27"/>
        <v>8.1475487922228389</v>
      </c>
      <c r="I118" s="6">
        <f t="shared" si="28"/>
        <v>-0.75937581314785152</v>
      </c>
      <c r="K118" s="49">
        <f t="shared" si="23"/>
        <v>8.1475487922228389</v>
      </c>
      <c r="L118" s="49">
        <f t="shared" si="24"/>
        <v>-0.75937581314785152</v>
      </c>
      <c r="M118" s="15">
        <f t="shared" si="29"/>
        <v>-0.75217051520404432</v>
      </c>
    </row>
    <row r="119" spans="1:13" ht="14.5" x14ac:dyDescent="0.35">
      <c r="A119" s="7">
        <v>112</v>
      </c>
      <c r="B119" s="12">
        <f>SMALL(Datos!$C$5:$C$204,A119)</f>
        <v>3468.4</v>
      </c>
      <c r="C119" s="13">
        <f>INDEX(Datos!$D$5:$D$204,MATCH(B119,Datos!$C$5:$C$204,0))</f>
        <v>0</v>
      </c>
      <c r="D119" s="7">
        <f t="shared" si="25"/>
        <v>89</v>
      </c>
      <c r="E119" s="6">
        <f t="shared" si="30"/>
        <v>0</v>
      </c>
      <c r="F119" s="6">
        <f t="shared" si="31"/>
        <v>75.193576586049488</v>
      </c>
      <c r="G119" s="14">
        <f t="shared" si="26"/>
        <v>0</v>
      </c>
      <c r="H119" s="6">
        <f t="shared" si="27"/>
        <v>8.1514486715030046</v>
      </c>
      <c r="I119" s="6">
        <f t="shared" si="28"/>
        <v>0</v>
      </c>
      <c r="K119" s="49" t="e">
        <f t="shared" si="23"/>
        <v>#N/A</v>
      </c>
      <c r="L119" s="49" t="e">
        <f t="shared" si="24"/>
        <v>#N/A</v>
      </c>
      <c r="M119" s="15" t="str">
        <f t="shared" si="29"/>
        <v/>
      </c>
    </row>
    <row r="120" spans="1:13" ht="14.5" x14ac:dyDescent="0.35">
      <c r="A120" s="7">
        <v>113</v>
      </c>
      <c r="B120" s="12">
        <f>SMALL(Datos!$C$5:$C$204,A120)</f>
        <v>3470.3</v>
      </c>
      <c r="C120" s="13">
        <f>INDEX(Datos!$D$5:$D$204,MATCH(B120,Datos!$C$5:$C$204,0))</f>
        <v>1</v>
      </c>
      <c r="D120" s="7">
        <f t="shared" si="25"/>
        <v>88</v>
      </c>
      <c r="E120" s="6">
        <f t="shared" si="30"/>
        <v>1.4135553192578709</v>
      </c>
      <c r="F120" s="6">
        <f t="shared" si="31"/>
        <v>76.607131905307355</v>
      </c>
      <c r="G120" s="14">
        <f t="shared" si="26"/>
        <v>0.38077411130392891</v>
      </c>
      <c r="H120" s="6">
        <f t="shared" si="27"/>
        <v>8.1519963245352702</v>
      </c>
      <c r="I120" s="6">
        <f t="shared" si="28"/>
        <v>-0.7354595608390202</v>
      </c>
      <c r="K120" s="49">
        <f t="shared" si="23"/>
        <v>8.1519963245352702</v>
      </c>
      <c r="L120" s="49">
        <f t="shared" si="24"/>
        <v>-0.7354595608390202</v>
      </c>
      <c r="M120" s="15">
        <f t="shared" si="29"/>
        <v>-0.74367937399333961</v>
      </c>
    </row>
    <row r="121" spans="1:13" ht="14.5" x14ac:dyDescent="0.35">
      <c r="A121" s="7">
        <v>114</v>
      </c>
      <c r="B121" s="12">
        <f>SMALL(Datos!$C$5:$C$204,A121)</f>
        <v>3509.4</v>
      </c>
      <c r="C121" s="13">
        <f>INDEX(Datos!$D$5:$D$204,MATCH(B121,Datos!$C$5:$C$204,0))</f>
        <v>1</v>
      </c>
      <c r="D121" s="7">
        <f t="shared" si="25"/>
        <v>87</v>
      </c>
      <c r="E121" s="6">
        <f t="shared" si="30"/>
        <v>1.4135553192578709</v>
      </c>
      <c r="F121" s="6">
        <f t="shared" si="31"/>
        <v>78.020687224565222</v>
      </c>
      <c r="G121" s="14">
        <f t="shared" si="26"/>
        <v>0.3878277805617027</v>
      </c>
      <c r="H121" s="6">
        <f t="shared" si="27"/>
        <v>8.1632003616770348</v>
      </c>
      <c r="I121" s="6">
        <f t="shared" si="28"/>
        <v>-0.71183749794113249</v>
      </c>
      <c r="K121" s="49">
        <f t="shared" si="23"/>
        <v>8.1632003616770348</v>
      </c>
      <c r="L121" s="49">
        <f t="shared" si="24"/>
        <v>-0.71183749794113249</v>
      </c>
      <c r="M121" s="15">
        <f t="shared" si="29"/>
        <v>-0.72228884665871007</v>
      </c>
    </row>
    <row r="122" spans="1:13" ht="14.5" x14ac:dyDescent="0.35">
      <c r="A122" s="7">
        <v>115</v>
      </c>
      <c r="B122" s="12">
        <f>SMALL(Datos!$C$5:$C$204,A122)</f>
        <v>3591.9</v>
      </c>
      <c r="C122" s="13">
        <f>INDEX(Datos!$D$5:$D$204,MATCH(B122,Datos!$C$5:$C$204,0))</f>
        <v>1</v>
      </c>
      <c r="D122" s="7">
        <f t="shared" si="25"/>
        <v>86</v>
      </c>
      <c r="E122" s="6">
        <f t="shared" si="30"/>
        <v>1.4135553192578709</v>
      </c>
      <c r="F122" s="6">
        <f t="shared" si="31"/>
        <v>79.434242543823089</v>
      </c>
      <c r="G122" s="14">
        <f t="shared" si="26"/>
        <v>0.39488144981947648</v>
      </c>
      <c r="H122" s="6">
        <f t="shared" si="27"/>
        <v>8.1864365893909081</v>
      </c>
      <c r="I122" s="6">
        <f t="shared" si="28"/>
        <v>-0.68849623412745131</v>
      </c>
      <c r="K122" s="49">
        <f t="shared" si="23"/>
        <v>8.1864365893909081</v>
      </c>
      <c r="L122" s="49">
        <f t="shared" si="24"/>
        <v>-0.68849623412745131</v>
      </c>
      <c r="M122" s="15">
        <f t="shared" si="29"/>
        <v>-0.67792669774950376</v>
      </c>
    </row>
    <row r="123" spans="1:13" ht="14.5" x14ac:dyDescent="0.35">
      <c r="A123" s="7">
        <v>116</v>
      </c>
      <c r="B123" s="12">
        <f>SMALL(Datos!$C$5:$C$204,A123)</f>
        <v>3629.9</v>
      </c>
      <c r="C123" s="13">
        <f>INDEX(Datos!$D$5:$D$204,MATCH(B123,Datos!$C$5:$C$204,0))</f>
        <v>1</v>
      </c>
      <c r="D123" s="7">
        <f t="shared" si="25"/>
        <v>85</v>
      </c>
      <c r="E123" s="6">
        <f t="shared" si="30"/>
        <v>1.4135553192578711</v>
      </c>
      <c r="F123" s="6">
        <f t="shared" si="31"/>
        <v>80.847797863080956</v>
      </c>
      <c r="G123" s="14">
        <f t="shared" si="26"/>
        <v>0.40193511907725027</v>
      </c>
      <c r="H123" s="6">
        <f t="shared" si="27"/>
        <v>8.196960378670072</v>
      </c>
      <c r="I123" s="6">
        <f t="shared" si="28"/>
        <v>-0.66542300314490843</v>
      </c>
      <c r="K123" s="49">
        <f t="shared" si="23"/>
        <v>8.196960378670072</v>
      </c>
      <c r="L123" s="49">
        <f t="shared" si="24"/>
        <v>-0.66542300314490843</v>
      </c>
      <c r="M123" s="15">
        <f t="shared" si="29"/>
        <v>-0.65783488625410058</v>
      </c>
    </row>
    <row r="124" spans="1:13" ht="14.5" x14ac:dyDescent="0.35">
      <c r="A124" s="7">
        <v>117</v>
      </c>
      <c r="B124" s="12">
        <f>SMALL(Datos!$C$5:$C$204,A124)</f>
        <v>3637.7</v>
      </c>
      <c r="C124" s="13">
        <f>INDEX(Datos!$D$5:$D$204,MATCH(B124,Datos!$C$5:$C$204,0))</f>
        <v>1</v>
      </c>
      <c r="D124" s="7">
        <f t="shared" si="25"/>
        <v>84</v>
      </c>
      <c r="E124" s="6">
        <f t="shared" si="30"/>
        <v>1.4135553192578711</v>
      </c>
      <c r="F124" s="6">
        <f t="shared" si="31"/>
        <v>82.261353182338823</v>
      </c>
      <c r="G124" s="14">
        <f t="shared" si="26"/>
        <v>0.40898878833502406</v>
      </c>
      <c r="H124" s="6">
        <f t="shared" si="27"/>
        <v>8.1991068927861175</v>
      </c>
      <c r="I124" s="6">
        <f t="shared" si="28"/>
        <v>-0.64260561558360463</v>
      </c>
      <c r="K124" s="49">
        <f t="shared" si="23"/>
        <v>8.1991068927861175</v>
      </c>
      <c r="L124" s="49">
        <f t="shared" si="24"/>
        <v>-0.64260561558360463</v>
      </c>
      <c r="M124" s="15">
        <f t="shared" si="29"/>
        <v>-0.65373680372434073</v>
      </c>
    </row>
    <row r="125" spans="1:13" ht="14.5" x14ac:dyDescent="0.35">
      <c r="A125" s="7">
        <v>118</v>
      </c>
      <c r="B125" s="12">
        <f>SMALL(Datos!$C$5:$C$204,A125)</f>
        <v>3640.6</v>
      </c>
      <c r="C125" s="13">
        <f>INDEX(Datos!$D$5:$D$204,MATCH(B125,Datos!$C$5:$C$204,0))</f>
        <v>0</v>
      </c>
      <c r="D125" s="7">
        <f t="shared" si="25"/>
        <v>83</v>
      </c>
      <c r="E125" s="6">
        <f t="shared" si="30"/>
        <v>0</v>
      </c>
      <c r="F125" s="6">
        <f t="shared" si="31"/>
        <v>82.261353182338823</v>
      </c>
      <c r="G125" s="14">
        <f t="shared" si="26"/>
        <v>0</v>
      </c>
      <c r="H125" s="6">
        <f t="shared" si="27"/>
        <v>8.1999037822117984</v>
      </c>
      <c r="I125" s="6">
        <f t="shared" si="28"/>
        <v>0</v>
      </c>
      <c r="K125" s="49" t="e">
        <f t="shared" si="23"/>
        <v>#N/A</v>
      </c>
      <c r="L125" s="49" t="e">
        <f t="shared" si="24"/>
        <v>#N/A</v>
      </c>
      <c r="M125" s="15" t="str">
        <f t="shared" si="29"/>
        <v/>
      </c>
    </row>
    <row r="126" spans="1:13" ht="14.5" x14ac:dyDescent="0.35">
      <c r="A126" s="7">
        <v>119</v>
      </c>
      <c r="B126" s="12">
        <f>SMALL(Datos!$C$5:$C$204,A126)</f>
        <v>3678.5</v>
      </c>
      <c r="C126" s="13">
        <f>INDEX(Datos!$D$5:$D$204,MATCH(B126,Datos!$C$5:$C$204,0))</f>
        <v>1</v>
      </c>
      <c r="D126" s="7">
        <f t="shared" si="25"/>
        <v>82</v>
      </c>
      <c r="E126" s="6">
        <f t="shared" si="30"/>
        <v>1.4305861062368816</v>
      </c>
      <c r="F126" s="6">
        <f t="shared" si="31"/>
        <v>83.691939288575711</v>
      </c>
      <c r="G126" s="14">
        <f t="shared" si="26"/>
        <v>0.41612744155975906</v>
      </c>
      <c r="H126" s="6">
        <f t="shared" si="27"/>
        <v>8.2102603393723186</v>
      </c>
      <c r="I126" s="6">
        <f t="shared" si="28"/>
        <v>-0.61976189181946628</v>
      </c>
      <c r="K126" s="49">
        <f t="shared" si="23"/>
        <v>8.2102603393723186</v>
      </c>
      <c r="L126" s="49">
        <f t="shared" si="24"/>
        <v>-0.61976189181946628</v>
      </c>
      <c r="M126" s="15">
        <f t="shared" si="29"/>
        <v>-0.63244286288331075</v>
      </c>
    </row>
    <row r="127" spans="1:13" ht="14.5" x14ac:dyDescent="0.35">
      <c r="A127" s="7">
        <v>120</v>
      </c>
      <c r="B127" s="12">
        <f>SMALL(Datos!$C$5:$C$204,A127)</f>
        <v>3692</v>
      </c>
      <c r="C127" s="13">
        <f>INDEX(Datos!$D$5:$D$204,MATCH(B127,Datos!$C$5:$C$204,0))</f>
        <v>1</v>
      </c>
      <c r="D127" s="7">
        <f t="shared" si="25"/>
        <v>81</v>
      </c>
      <c r="E127" s="6">
        <f t="shared" si="30"/>
        <v>1.4305861062368816</v>
      </c>
      <c r="F127" s="6">
        <f t="shared" si="31"/>
        <v>85.122525394812598</v>
      </c>
      <c r="G127" s="14">
        <f t="shared" si="26"/>
        <v>0.42326609478449401</v>
      </c>
      <c r="H127" s="6">
        <f t="shared" si="27"/>
        <v>8.2139235956227434</v>
      </c>
      <c r="I127" s="6">
        <f t="shared" si="28"/>
        <v>-0.59715670799647735</v>
      </c>
      <c r="K127" s="49">
        <f t="shared" si="23"/>
        <v>8.2139235956227434</v>
      </c>
      <c r="L127" s="49">
        <f t="shared" si="24"/>
        <v>-0.59715670799647735</v>
      </c>
      <c r="M127" s="15">
        <f t="shared" si="29"/>
        <v>-0.62544904610396657</v>
      </c>
    </row>
    <row r="128" spans="1:13" ht="14.5" x14ac:dyDescent="0.35">
      <c r="A128" s="7">
        <v>121</v>
      </c>
      <c r="B128" s="12">
        <f>SMALL(Datos!$C$5:$C$204,A128)</f>
        <v>3746</v>
      </c>
      <c r="C128" s="13">
        <f>INDEX(Datos!$D$5:$D$204,MATCH(B128,Datos!$C$5:$C$204,0))</f>
        <v>1</v>
      </c>
      <c r="D128" s="7">
        <f t="shared" si="25"/>
        <v>80</v>
      </c>
      <c r="E128" s="6">
        <f t="shared" si="30"/>
        <v>1.4305861062368814</v>
      </c>
      <c r="F128" s="6">
        <f t="shared" si="31"/>
        <v>86.553111501049486</v>
      </c>
      <c r="G128" s="14">
        <f t="shared" si="26"/>
        <v>0.43040474800922895</v>
      </c>
      <c r="H128" s="6">
        <f t="shared" si="27"/>
        <v>8.228443883004033</v>
      </c>
      <c r="I128" s="6">
        <f t="shared" si="28"/>
        <v>-0.57477897462114058</v>
      </c>
      <c r="K128" s="49">
        <f t="shared" si="23"/>
        <v>8.228443883004033</v>
      </c>
      <c r="L128" s="49">
        <f t="shared" si="24"/>
        <v>-0.57477897462114058</v>
      </c>
      <c r="M128" s="15">
        <f t="shared" si="29"/>
        <v>-0.59772719904061411</v>
      </c>
    </row>
    <row r="129" spans="1:13" ht="14.5" x14ac:dyDescent="0.35">
      <c r="A129" s="7">
        <v>122</v>
      </c>
      <c r="B129" s="12">
        <f>SMALL(Datos!$C$5:$C$204,A129)</f>
        <v>3759.1</v>
      </c>
      <c r="C129" s="13">
        <f>INDEX(Datos!$D$5:$D$204,MATCH(B129,Datos!$C$5:$C$204,0))</f>
        <v>1</v>
      </c>
      <c r="D129" s="7">
        <f t="shared" si="25"/>
        <v>79</v>
      </c>
      <c r="E129" s="6">
        <f t="shared" si="30"/>
        <v>1.4305861062368814</v>
      </c>
      <c r="F129" s="6">
        <f t="shared" si="31"/>
        <v>87.983697607286373</v>
      </c>
      <c r="G129" s="14">
        <f t="shared" si="26"/>
        <v>0.43754340123396396</v>
      </c>
      <c r="H129" s="6">
        <f t="shared" si="27"/>
        <v>8.231934846030228</v>
      </c>
      <c r="I129" s="6">
        <f t="shared" si="28"/>
        <v>-0.55261804450158114</v>
      </c>
      <c r="K129" s="49">
        <f t="shared" si="23"/>
        <v>8.231934846030228</v>
      </c>
      <c r="L129" s="49">
        <f t="shared" si="24"/>
        <v>-0.55261804450158114</v>
      </c>
      <c r="M129" s="15">
        <f t="shared" si="29"/>
        <v>-0.59106232109606971</v>
      </c>
    </row>
    <row r="130" spans="1:13" ht="14.5" x14ac:dyDescent="0.35">
      <c r="A130" s="7">
        <v>123</v>
      </c>
      <c r="B130" s="12">
        <f>SMALL(Datos!$C$5:$C$204,A130)</f>
        <v>3811.3</v>
      </c>
      <c r="C130" s="13">
        <f>INDEX(Datos!$D$5:$D$204,MATCH(B130,Datos!$C$5:$C$204,0))</f>
        <v>0</v>
      </c>
      <c r="D130" s="7">
        <f t="shared" si="25"/>
        <v>78</v>
      </c>
      <c r="E130" s="6">
        <f t="shared" si="30"/>
        <v>0</v>
      </c>
      <c r="F130" s="6">
        <f t="shared" si="31"/>
        <v>87.983697607286373</v>
      </c>
      <c r="G130" s="14">
        <f t="shared" si="26"/>
        <v>0</v>
      </c>
      <c r="H130" s="6">
        <f t="shared" si="27"/>
        <v>8.2457256172718392</v>
      </c>
      <c r="I130" s="6">
        <f t="shared" si="28"/>
        <v>0</v>
      </c>
      <c r="K130" s="49" t="e">
        <f t="shared" si="23"/>
        <v>#N/A</v>
      </c>
      <c r="L130" s="49" t="e">
        <f t="shared" si="24"/>
        <v>#N/A</v>
      </c>
      <c r="M130" s="15" t="str">
        <f t="shared" si="29"/>
        <v/>
      </c>
    </row>
    <row r="131" spans="1:13" ht="14.5" x14ac:dyDescent="0.35">
      <c r="A131" s="7">
        <v>124</v>
      </c>
      <c r="B131" s="12">
        <f>SMALL(Datos!$C$5:$C$204,A131)</f>
        <v>3856.7</v>
      </c>
      <c r="C131" s="13">
        <f>INDEX(Datos!$D$5:$D$204,MATCH(B131,Datos!$C$5:$C$204,0))</f>
        <v>1</v>
      </c>
      <c r="D131" s="7">
        <f t="shared" si="25"/>
        <v>77</v>
      </c>
      <c r="E131" s="6">
        <f t="shared" si="30"/>
        <v>1.4489269537527387</v>
      </c>
      <c r="F131" s="6">
        <f t="shared" si="31"/>
        <v>89.432624561039106</v>
      </c>
      <c r="G131" s="14">
        <f t="shared" si="26"/>
        <v>0.44477357565388775</v>
      </c>
      <c r="H131" s="6">
        <f t="shared" si="27"/>
        <v>8.2575671745246133</v>
      </c>
      <c r="I131" s="6">
        <f t="shared" si="28"/>
        <v>-0.53038351072761902</v>
      </c>
      <c r="K131" s="49">
        <f t="shared" si="23"/>
        <v>8.2575671745246133</v>
      </c>
      <c r="L131" s="49">
        <f t="shared" si="24"/>
        <v>-0.53038351072761902</v>
      </c>
      <c r="M131" s="15">
        <f t="shared" si="29"/>
        <v>-0.54212558370651642</v>
      </c>
    </row>
    <row r="132" spans="1:13" ht="14.5" x14ac:dyDescent="0.35">
      <c r="A132" s="7">
        <v>125</v>
      </c>
      <c r="B132" s="12">
        <f>SMALL(Datos!$C$5:$C$204,A132)</f>
        <v>3869.5</v>
      </c>
      <c r="C132" s="13">
        <f>INDEX(Datos!$D$5:$D$204,MATCH(B132,Datos!$C$5:$C$204,0))</f>
        <v>1</v>
      </c>
      <c r="D132" s="7">
        <f t="shared" si="25"/>
        <v>76</v>
      </c>
      <c r="E132" s="6">
        <f t="shared" si="30"/>
        <v>1.4489269537527389</v>
      </c>
      <c r="F132" s="6">
        <f t="shared" si="31"/>
        <v>90.881551514791838</v>
      </c>
      <c r="G132" s="14">
        <f t="shared" si="26"/>
        <v>0.45200375007381155</v>
      </c>
      <c r="H132" s="6">
        <f t="shared" si="27"/>
        <v>8.2608805787105144</v>
      </c>
      <c r="I132" s="6">
        <f t="shared" si="28"/>
        <v>-0.50835063032741168</v>
      </c>
      <c r="K132" s="49">
        <f t="shared" si="23"/>
        <v>8.2608805787105144</v>
      </c>
      <c r="L132" s="49">
        <f t="shared" si="24"/>
        <v>-0.50835063032741168</v>
      </c>
      <c r="M132" s="15">
        <f t="shared" si="29"/>
        <v>-0.53579969760738955</v>
      </c>
    </row>
    <row r="133" spans="1:13" ht="14.5" x14ac:dyDescent="0.35">
      <c r="A133" s="7">
        <v>126</v>
      </c>
      <c r="B133" s="12">
        <f>SMALL(Datos!$C$5:$C$204,A133)</f>
        <v>3871</v>
      </c>
      <c r="C133" s="13">
        <f>INDEX(Datos!$D$5:$D$204,MATCH(B133,Datos!$C$5:$C$204,0))</f>
        <v>1</v>
      </c>
      <c r="D133" s="7">
        <f t="shared" si="25"/>
        <v>75</v>
      </c>
      <c r="E133" s="6">
        <f t="shared" si="30"/>
        <v>1.4489269537527389</v>
      </c>
      <c r="F133" s="6">
        <f t="shared" si="31"/>
        <v>92.33047846854457</v>
      </c>
      <c r="G133" s="14">
        <f t="shared" si="26"/>
        <v>0.4592339244937354</v>
      </c>
      <c r="H133" s="6">
        <f t="shared" si="27"/>
        <v>8.2612681505776475</v>
      </c>
      <c r="I133" s="6">
        <f t="shared" si="28"/>
        <v>-0.48650952688792393</v>
      </c>
      <c r="K133" s="49">
        <f t="shared" si="23"/>
        <v>8.2612681505776475</v>
      </c>
      <c r="L133" s="49">
        <f t="shared" si="24"/>
        <v>-0.48650952688792393</v>
      </c>
      <c r="M133" s="15">
        <f t="shared" si="29"/>
        <v>-0.5350597530219563</v>
      </c>
    </row>
    <row r="134" spans="1:13" ht="14.5" x14ac:dyDescent="0.35">
      <c r="A134" s="7">
        <v>127</v>
      </c>
      <c r="B134" s="12">
        <f>SMALL(Datos!$C$5:$C$204,A134)</f>
        <v>3877.4</v>
      </c>
      <c r="C134" s="13">
        <f>INDEX(Datos!$D$5:$D$204,MATCH(B134,Datos!$C$5:$C$204,0))</f>
        <v>1</v>
      </c>
      <c r="D134" s="7">
        <f t="shared" si="25"/>
        <v>74</v>
      </c>
      <c r="E134" s="6">
        <f t="shared" si="30"/>
        <v>1.4489269537527392</v>
      </c>
      <c r="F134" s="6">
        <f t="shared" si="31"/>
        <v>93.779405422297316</v>
      </c>
      <c r="G134" s="14">
        <f t="shared" si="26"/>
        <v>0.46646409891365925</v>
      </c>
      <c r="H134" s="6">
        <f t="shared" si="27"/>
        <v>8.262920104905108</v>
      </c>
      <c r="I134" s="6">
        <f t="shared" si="28"/>
        <v>-0.4648506614235291</v>
      </c>
      <c r="K134" s="49">
        <f t="shared" si="23"/>
        <v>8.262920104905108</v>
      </c>
      <c r="L134" s="49">
        <f t="shared" si="24"/>
        <v>-0.4648506614235291</v>
      </c>
      <c r="M134" s="15">
        <f t="shared" si="29"/>
        <v>-0.53190587431288172</v>
      </c>
    </row>
    <row r="135" spans="1:13" ht="14.5" x14ac:dyDescent="0.35">
      <c r="A135" s="7">
        <v>128</v>
      </c>
      <c r="B135" s="12">
        <f>SMALL(Datos!$C$5:$C$204,A135)</f>
        <v>3890.5</v>
      </c>
      <c r="C135" s="13">
        <f>INDEX(Datos!$D$5:$D$204,MATCH(B135,Datos!$C$5:$C$204,0))</f>
        <v>1</v>
      </c>
      <c r="D135" s="7">
        <f t="shared" si="25"/>
        <v>73</v>
      </c>
      <c r="E135" s="6">
        <f t="shared" si="30"/>
        <v>1.4489269537527389</v>
      </c>
      <c r="F135" s="6">
        <f t="shared" si="31"/>
        <v>95.228332376050048</v>
      </c>
      <c r="G135" s="14">
        <f t="shared" si="26"/>
        <v>0.47369427333358305</v>
      </c>
      <c r="H135" s="6">
        <f t="shared" si="27"/>
        <v>8.2662929630569852</v>
      </c>
      <c r="I135" s="6">
        <f t="shared" si="28"/>
        <v>-0.44336480531254729</v>
      </c>
      <c r="K135" s="49">
        <f t="shared" si="23"/>
        <v>8.2662929630569852</v>
      </c>
      <c r="L135" s="49">
        <f t="shared" si="24"/>
        <v>-0.44336480531254729</v>
      </c>
      <c r="M135" s="15">
        <f t="shared" si="29"/>
        <v>-0.52546647987133532</v>
      </c>
    </row>
    <row r="136" spans="1:13" ht="14.5" x14ac:dyDescent="0.35">
      <c r="A136" s="7">
        <v>129</v>
      </c>
      <c r="B136" s="12">
        <f>SMALL(Datos!$C$5:$C$204,A136)</f>
        <v>3944</v>
      </c>
      <c r="C136" s="13">
        <f>INDEX(Datos!$D$5:$D$204,MATCH(B136,Datos!$C$5:$C$204,0))</f>
        <v>1</v>
      </c>
      <c r="D136" s="7">
        <f t="shared" ref="D136:D167" si="32">$B$4-A136+1</f>
        <v>72</v>
      </c>
      <c r="E136" s="6">
        <f t="shared" si="30"/>
        <v>1.4489269537527392</v>
      </c>
      <c r="F136" s="6">
        <f t="shared" si="31"/>
        <v>96.67725932980278</v>
      </c>
      <c r="G136" s="14">
        <f t="shared" ref="G136:G167" si="33">IF(C136=1,(F136-0.3)/($B$4+0.4),0)</f>
        <v>0.4809244477535069</v>
      </c>
      <c r="H136" s="6">
        <f t="shared" ref="H136:H167" si="34">LN(B136)</f>
        <v>8.2799507157225261</v>
      </c>
      <c r="I136" s="6">
        <f t="shared" ref="I136:I167" si="35">IF(C136=1,LN(-LN(1-G136)),0)</f>
        <v>-0.42204301487604429</v>
      </c>
      <c r="K136" s="49">
        <f t="shared" si="23"/>
        <v>8.2799507157225261</v>
      </c>
      <c r="L136" s="49">
        <f t="shared" si="24"/>
        <v>-0.42204301487604429</v>
      </c>
      <c r="M136" s="15">
        <f t="shared" ref="M136:M167" si="36">IF(C136=1,$P$12*H136+$P$13,"")</f>
        <v>-0.49939136712176868</v>
      </c>
    </row>
    <row r="137" spans="1:13" ht="14.5" x14ac:dyDescent="0.35">
      <c r="A137" s="7">
        <v>130</v>
      </c>
      <c r="B137" s="12">
        <f>SMALL(Datos!$C$5:$C$204,A137)</f>
        <v>3955.9</v>
      </c>
      <c r="C137" s="13">
        <f>INDEX(Datos!$D$5:$D$204,MATCH(B137,Datos!$C$5:$C$204,0))</f>
        <v>0</v>
      </c>
      <c r="D137" s="7">
        <f t="shared" si="32"/>
        <v>71</v>
      </c>
      <c r="E137" s="6">
        <f t="shared" ref="E137:E168" si="37">IF(C137=1,($B$4+1-F136)/(1+D137),0)</f>
        <v>0</v>
      </c>
      <c r="F137" s="6">
        <f t="shared" ref="F137:F168" si="38">F136+E137</f>
        <v>96.67725932980278</v>
      </c>
      <c r="G137" s="14">
        <f t="shared" si="33"/>
        <v>0</v>
      </c>
      <c r="H137" s="6">
        <f t="shared" si="34"/>
        <v>8.2829634143644615</v>
      </c>
      <c r="I137" s="6">
        <f t="shared" si="35"/>
        <v>0</v>
      </c>
      <c r="K137" s="49" t="e">
        <f t="shared" ref="K137:K200" si="39">IF(C137=1,H137,NA())</f>
        <v>#N/A</v>
      </c>
      <c r="L137" s="49" t="e">
        <f t="shared" ref="L137:L200" si="40">IF(C137=1,I137,NA())</f>
        <v>#N/A</v>
      </c>
      <c r="M137" s="15" t="str">
        <f t="shared" si="36"/>
        <v/>
      </c>
    </row>
    <row r="138" spans="1:13" ht="14.5" x14ac:dyDescent="0.35">
      <c r="A138" s="7">
        <v>131</v>
      </c>
      <c r="B138" s="12">
        <f>SMALL(Datos!$C$5:$C$204,A138)</f>
        <v>4030.6</v>
      </c>
      <c r="C138" s="13">
        <f>INDEX(Datos!$D$5:$D$204,MATCH(B138,Datos!$C$5:$C$204,0))</f>
        <v>0</v>
      </c>
      <c r="D138" s="7">
        <f t="shared" si="32"/>
        <v>70</v>
      </c>
      <c r="E138" s="6">
        <f t="shared" si="37"/>
        <v>0</v>
      </c>
      <c r="F138" s="6">
        <f t="shared" si="38"/>
        <v>96.67725932980278</v>
      </c>
      <c r="G138" s="14">
        <f t="shared" si="33"/>
        <v>0</v>
      </c>
      <c r="H138" s="6">
        <f t="shared" si="34"/>
        <v>8.3016705272333891</v>
      </c>
      <c r="I138" s="6">
        <f t="shared" si="35"/>
        <v>0</v>
      </c>
      <c r="K138" s="49" t="e">
        <f t="shared" si="39"/>
        <v>#N/A</v>
      </c>
      <c r="L138" s="49" t="e">
        <f t="shared" si="40"/>
        <v>#N/A</v>
      </c>
      <c r="M138" s="15" t="str">
        <f t="shared" si="36"/>
        <v/>
      </c>
    </row>
    <row r="139" spans="1:13" ht="14.5" x14ac:dyDescent="0.35">
      <c r="A139" s="7">
        <v>132</v>
      </c>
      <c r="B139" s="12">
        <f>SMALL(Datos!$C$5:$C$204,A139)</f>
        <v>4042.5</v>
      </c>
      <c r="C139" s="13">
        <f>INDEX(Datos!$D$5:$D$204,MATCH(B139,Datos!$C$5:$C$204,0))</f>
        <v>1</v>
      </c>
      <c r="D139" s="7">
        <f t="shared" si="32"/>
        <v>69</v>
      </c>
      <c r="E139" s="6">
        <f t="shared" si="37"/>
        <v>1.4903248667171032</v>
      </c>
      <c r="F139" s="6">
        <f t="shared" si="38"/>
        <v>98.167584196519883</v>
      </c>
      <c r="G139" s="14">
        <f t="shared" si="33"/>
        <v>0.48836119858542854</v>
      </c>
      <c r="H139" s="6">
        <f t="shared" si="34"/>
        <v>8.3046185914512627</v>
      </c>
      <c r="I139" s="6">
        <f t="shared" si="35"/>
        <v>-0.40027405165393715</v>
      </c>
      <c r="K139" s="49">
        <f t="shared" si="39"/>
        <v>8.3046185914512627</v>
      </c>
      <c r="L139" s="49">
        <f t="shared" si="40"/>
        <v>-0.40027405165393715</v>
      </c>
      <c r="M139" s="15">
        <f t="shared" si="36"/>
        <v>-0.45229594398220918</v>
      </c>
    </row>
    <row r="140" spans="1:13" ht="14.5" x14ac:dyDescent="0.35">
      <c r="A140" s="7">
        <v>133</v>
      </c>
      <c r="B140" s="12">
        <f>SMALL(Datos!$C$5:$C$204,A140)</f>
        <v>4045.9</v>
      </c>
      <c r="C140" s="13">
        <f>INDEX(Datos!$D$5:$D$204,MATCH(B140,Datos!$C$5:$C$204,0))</f>
        <v>0</v>
      </c>
      <c r="D140" s="7">
        <f t="shared" si="32"/>
        <v>68</v>
      </c>
      <c r="E140" s="6">
        <f t="shared" si="37"/>
        <v>0</v>
      </c>
      <c r="F140" s="6">
        <f t="shared" si="38"/>
        <v>98.167584196519883</v>
      </c>
      <c r="G140" s="14">
        <f t="shared" si="33"/>
        <v>0</v>
      </c>
      <c r="H140" s="6">
        <f t="shared" si="34"/>
        <v>8.30545930165359</v>
      </c>
      <c r="I140" s="6">
        <f t="shared" si="35"/>
        <v>0</v>
      </c>
      <c r="K140" s="49" t="e">
        <f t="shared" si="39"/>
        <v>#N/A</v>
      </c>
      <c r="L140" s="49" t="e">
        <f t="shared" si="40"/>
        <v>#N/A</v>
      </c>
      <c r="M140" s="15" t="str">
        <f t="shared" si="36"/>
        <v/>
      </c>
    </row>
    <row r="141" spans="1:13" ht="14.5" x14ac:dyDescent="0.35">
      <c r="A141" s="7">
        <v>134</v>
      </c>
      <c r="B141" s="12">
        <f>SMALL(Datos!$C$5:$C$204,A141)</f>
        <v>4112.6000000000004</v>
      </c>
      <c r="C141" s="13">
        <f>INDEX(Datos!$D$5:$D$204,MATCH(B141,Datos!$C$5:$C$204,0))</f>
        <v>1</v>
      </c>
      <c r="D141" s="7">
        <f t="shared" si="32"/>
        <v>67</v>
      </c>
      <c r="E141" s="6">
        <f t="shared" si="37"/>
        <v>1.5122414088747076</v>
      </c>
      <c r="F141" s="6">
        <f t="shared" si="38"/>
        <v>99.679825605394583</v>
      </c>
      <c r="G141" s="14">
        <f t="shared" si="33"/>
        <v>0.49590731340017258</v>
      </c>
      <c r="H141" s="6">
        <f t="shared" si="34"/>
        <v>8.3218107108874175</v>
      </c>
      <c r="I141" s="6">
        <f t="shared" si="35"/>
        <v>-0.3783435563147447</v>
      </c>
      <c r="K141" s="49">
        <f t="shared" si="39"/>
        <v>8.3218107108874175</v>
      </c>
      <c r="L141" s="49">
        <f t="shared" si="40"/>
        <v>-0.3783435563147447</v>
      </c>
      <c r="M141" s="15">
        <f t="shared" si="36"/>
        <v>-0.4194730877129782</v>
      </c>
    </row>
    <row r="142" spans="1:13" ht="14.5" x14ac:dyDescent="0.35">
      <c r="A142" s="7">
        <v>135</v>
      </c>
      <c r="B142" s="12">
        <f>SMALL(Datos!$C$5:$C$204,A142)</f>
        <v>4118.5</v>
      </c>
      <c r="C142" s="13">
        <f>INDEX(Datos!$D$5:$D$204,MATCH(B142,Datos!$C$5:$C$204,0))</f>
        <v>1</v>
      </c>
      <c r="D142" s="7">
        <f t="shared" si="32"/>
        <v>66</v>
      </c>
      <c r="E142" s="6">
        <f t="shared" si="37"/>
        <v>1.5122414088747078</v>
      </c>
      <c r="F142" s="6">
        <f t="shared" si="38"/>
        <v>101.1920670142693</v>
      </c>
      <c r="G142" s="14">
        <f t="shared" si="33"/>
        <v>0.50345342821491668</v>
      </c>
      <c r="H142" s="6">
        <f t="shared" si="34"/>
        <v>8.3232442983813026</v>
      </c>
      <c r="I142" s="6">
        <f t="shared" si="35"/>
        <v>-0.35656352196852698</v>
      </c>
      <c r="K142" s="49">
        <f t="shared" si="39"/>
        <v>8.3232442983813026</v>
      </c>
      <c r="L142" s="49">
        <f t="shared" si="40"/>
        <v>-0.35656352196852698</v>
      </c>
      <c r="M142" s="15">
        <f t="shared" si="36"/>
        <v>-0.41673611066742566</v>
      </c>
    </row>
    <row r="143" spans="1:13" ht="14.5" x14ac:dyDescent="0.35">
      <c r="A143" s="7">
        <v>136</v>
      </c>
      <c r="B143" s="12">
        <f>SMALL(Datos!$C$5:$C$204,A143)</f>
        <v>4211.8</v>
      </c>
      <c r="C143" s="13">
        <f>INDEX(Datos!$D$5:$D$204,MATCH(B143,Datos!$C$5:$C$204,0))</f>
        <v>0</v>
      </c>
      <c r="D143" s="7">
        <f t="shared" si="32"/>
        <v>65</v>
      </c>
      <c r="E143" s="6">
        <f t="shared" si="37"/>
        <v>0</v>
      </c>
      <c r="F143" s="6">
        <f t="shared" si="38"/>
        <v>101.1920670142693</v>
      </c>
      <c r="G143" s="14">
        <f t="shared" si="33"/>
        <v>0</v>
      </c>
      <c r="H143" s="6">
        <f t="shared" si="34"/>
        <v>8.3456453887456785</v>
      </c>
      <c r="I143" s="6">
        <f t="shared" si="35"/>
        <v>0</v>
      </c>
      <c r="K143" s="49" t="e">
        <f t="shared" si="39"/>
        <v>#N/A</v>
      </c>
      <c r="L143" s="49" t="e">
        <f t="shared" si="40"/>
        <v>#N/A</v>
      </c>
      <c r="M143" s="15" t="str">
        <f t="shared" si="36"/>
        <v/>
      </c>
    </row>
    <row r="144" spans="1:13" ht="14.5" x14ac:dyDescent="0.35">
      <c r="A144" s="7">
        <v>137</v>
      </c>
      <c r="B144" s="12">
        <f>SMALL(Datos!$C$5:$C$204,A144)</f>
        <v>4227.1000000000004</v>
      </c>
      <c r="C144" s="13">
        <f>INDEX(Datos!$D$5:$D$204,MATCH(B144,Datos!$C$5:$C$204,0))</f>
        <v>1</v>
      </c>
      <c r="D144" s="7">
        <f t="shared" si="32"/>
        <v>64</v>
      </c>
      <c r="E144" s="6">
        <f t="shared" si="37"/>
        <v>1.5355066613189339</v>
      </c>
      <c r="F144" s="6">
        <f t="shared" si="38"/>
        <v>102.72757367558823</v>
      </c>
      <c r="G144" s="14">
        <f t="shared" si="33"/>
        <v>0.51111563710373364</v>
      </c>
      <c r="H144" s="6">
        <f t="shared" si="34"/>
        <v>8.3492714577272213</v>
      </c>
      <c r="I144" s="6">
        <f t="shared" si="35"/>
        <v>-0.33459299167477374</v>
      </c>
      <c r="K144" s="49">
        <f t="shared" si="39"/>
        <v>8.3492714577272213</v>
      </c>
      <c r="L144" s="49">
        <f t="shared" si="40"/>
        <v>-0.33459299167477374</v>
      </c>
      <c r="M144" s="15">
        <f t="shared" si="36"/>
        <v>-0.36704556998220284</v>
      </c>
    </row>
    <row r="145" spans="1:13" ht="14.5" x14ac:dyDescent="0.35">
      <c r="A145" s="7">
        <v>138</v>
      </c>
      <c r="B145" s="12">
        <f>SMALL(Datos!$C$5:$C$204,A145)</f>
        <v>4231.7</v>
      </c>
      <c r="C145" s="13">
        <f>INDEX(Datos!$D$5:$D$204,MATCH(B145,Datos!$C$5:$C$204,0))</f>
        <v>1</v>
      </c>
      <c r="D145" s="7">
        <f t="shared" si="32"/>
        <v>63</v>
      </c>
      <c r="E145" s="6">
        <f t="shared" si="37"/>
        <v>1.5355066613189339</v>
      </c>
      <c r="F145" s="6">
        <f t="shared" si="38"/>
        <v>104.26308033690717</v>
      </c>
      <c r="G145" s="14">
        <f t="shared" si="33"/>
        <v>0.51877784599255072</v>
      </c>
      <c r="H145" s="6">
        <f t="shared" si="34"/>
        <v>8.3503590825566203</v>
      </c>
      <c r="I145" s="6">
        <f t="shared" si="35"/>
        <v>-0.31275887446235462</v>
      </c>
      <c r="K145" s="49">
        <f t="shared" si="39"/>
        <v>8.3503590825566203</v>
      </c>
      <c r="L145" s="49">
        <f t="shared" si="40"/>
        <v>-0.31275887446235462</v>
      </c>
      <c r="M145" s="15">
        <f t="shared" si="36"/>
        <v>-0.36496909805081579</v>
      </c>
    </row>
    <row r="146" spans="1:13" ht="14.5" x14ac:dyDescent="0.35">
      <c r="A146" s="7">
        <v>139</v>
      </c>
      <c r="B146" s="12">
        <f>SMALL(Datos!$C$5:$C$204,A146)</f>
        <v>4265.7</v>
      </c>
      <c r="C146" s="13">
        <f>INDEX(Datos!$D$5:$D$204,MATCH(B146,Datos!$C$5:$C$204,0))</f>
        <v>0</v>
      </c>
      <c r="D146" s="7">
        <f t="shared" si="32"/>
        <v>62</v>
      </c>
      <c r="E146" s="6">
        <f t="shared" si="37"/>
        <v>0</v>
      </c>
      <c r="F146" s="6">
        <f t="shared" si="38"/>
        <v>104.26308033690717</v>
      </c>
      <c r="G146" s="14">
        <f t="shared" si="33"/>
        <v>0</v>
      </c>
      <c r="H146" s="6">
        <f t="shared" si="34"/>
        <v>8.3583615730704377</v>
      </c>
      <c r="I146" s="6">
        <f t="shared" si="35"/>
        <v>0</v>
      </c>
      <c r="K146" s="49" t="e">
        <f t="shared" si="39"/>
        <v>#N/A</v>
      </c>
      <c r="L146" s="49" t="e">
        <f t="shared" si="40"/>
        <v>#N/A</v>
      </c>
      <c r="M146" s="15" t="str">
        <f t="shared" si="36"/>
        <v/>
      </c>
    </row>
    <row r="147" spans="1:13" ht="14.5" x14ac:dyDescent="0.35">
      <c r="A147" s="7">
        <v>140</v>
      </c>
      <c r="B147" s="12">
        <f>SMALL(Datos!$C$5:$C$204,A147)</f>
        <v>4301.7</v>
      </c>
      <c r="C147" s="13">
        <f>INDEX(Datos!$D$5:$D$204,MATCH(B147,Datos!$C$5:$C$204,0))</f>
        <v>0</v>
      </c>
      <c r="D147" s="7">
        <f t="shared" si="32"/>
        <v>61</v>
      </c>
      <c r="E147" s="6">
        <f t="shared" si="37"/>
        <v>0</v>
      </c>
      <c r="F147" s="6">
        <f t="shared" si="38"/>
        <v>104.26308033690717</v>
      </c>
      <c r="G147" s="14">
        <f t="shared" si="33"/>
        <v>0</v>
      </c>
      <c r="H147" s="6">
        <f t="shared" si="34"/>
        <v>8.3667655723891023</v>
      </c>
      <c r="I147" s="6">
        <f t="shared" si="35"/>
        <v>0</v>
      </c>
      <c r="K147" s="49" t="e">
        <f t="shared" si="39"/>
        <v>#N/A</v>
      </c>
      <c r="L147" s="49" t="e">
        <f t="shared" si="40"/>
        <v>#N/A</v>
      </c>
      <c r="M147" s="15" t="str">
        <f t="shared" si="36"/>
        <v/>
      </c>
    </row>
    <row r="148" spans="1:13" ht="14.5" x14ac:dyDescent="0.35">
      <c r="A148" s="7">
        <v>141</v>
      </c>
      <c r="B148" s="12">
        <f>SMALL(Datos!$C$5:$C$204,A148)</f>
        <v>4302.3999999999996</v>
      </c>
      <c r="C148" s="13">
        <f>INDEX(Datos!$D$5:$D$204,MATCH(B148,Datos!$C$5:$C$204,0))</f>
        <v>1</v>
      </c>
      <c r="D148" s="7">
        <f t="shared" si="32"/>
        <v>60</v>
      </c>
      <c r="E148" s="6">
        <f t="shared" si="37"/>
        <v>1.5858511420179153</v>
      </c>
      <c r="F148" s="6">
        <f t="shared" si="38"/>
        <v>105.84893147892508</v>
      </c>
      <c r="G148" s="14">
        <f t="shared" si="33"/>
        <v>0.5266912748449355</v>
      </c>
      <c r="H148" s="6">
        <f t="shared" si="34"/>
        <v>8.3669282855146001</v>
      </c>
      <c r="I148" s="6">
        <f t="shared" si="35"/>
        <v>-0.29034239796118766</v>
      </c>
      <c r="K148" s="49">
        <f t="shared" si="39"/>
        <v>8.3669282855146001</v>
      </c>
      <c r="L148" s="49">
        <f t="shared" si="40"/>
        <v>-0.29034239796118766</v>
      </c>
      <c r="M148" s="15">
        <f t="shared" si="36"/>
        <v>-0.3333355016693389</v>
      </c>
    </row>
    <row r="149" spans="1:13" ht="14.5" x14ac:dyDescent="0.35">
      <c r="A149" s="7">
        <v>142</v>
      </c>
      <c r="B149" s="12">
        <f>SMALL(Datos!$C$5:$C$204,A149)</f>
        <v>4387</v>
      </c>
      <c r="C149" s="13">
        <f>INDEX(Datos!$D$5:$D$204,MATCH(B149,Datos!$C$5:$C$204,0))</f>
        <v>1</v>
      </c>
      <c r="D149" s="7">
        <f t="shared" si="32"/>
        <v>59</v>
      </c>
      <c r="E149" s="6">
        <f t="shared" si="37"/>
        <v>1.5858511420179153</v>
      </c>
      <c r="F149" s="6">
        <f t="shared" si="38"/>
        <v>107.434782620943</v>
      </c>
      <c r="G149" s="14">
        <f t="shared" si="33"/>
        <v>0.53460470369732038</v>
      </c>
      <c r="H149" s="6">
        <f t="shared" si="34"/>
        <v>8.3864009011662137</v>
      </c>
      <c r="I149" s="6">
        <f t="shared" si="35"/>
        <v>-0.26805183262899723</v>
      </c>
      <c r="K149" s="49">
        <f t="shared" si="39"/>
        <v>8.3864009011662137</v>
      </c>
      <c r="L149" s="49">
        <f t="shared" si="40"/>
        <v>-0.26805183262899723</v>
      </c>
      <c r="M149" s="15">
        <f t="shared" si="36"/>
        <v>-0.29615876688149356</v>
      </c>
    </row>
    <row r="150" spans="1:13" ht="14.5" x14ac:dyDescent="0.35">
      <c r="A150" s="7">
        <v>143</v>
      </c>
      <c r="B150" s="12">
        <f>SMALL(Datos!$C$5:$C$204,A150)</f>
        <v>4487.2</v>
      </c>
      <c r="C150" s="13">
        <f>INDEX(Datos!$D$5:$D$204,MATCH(B150,Datos!$C$5:$C$204,0))</f>
        <v>0</v>
      </c>
      <c r="D150" s="7">
        <f t="shared" si="32"/>
        <v>58</v>
      </c>
      <c r="E150" s="6">
        <f t="shared" si="37"/>
        <v>0</v>
      </c>
      <c r="F150" s="6">
        <f t="shared" si="38"/>
        <v>107.434782620943</v>
      </c>
      <c r="G150" s="14">
        <f t="shared" si="33"/>
        <v>0</v>
      </c>
      <c r="H150" s="6">
        <f t="shared" si="34"/>
        <v>8.4089841781941264</v>
      </c>
      <c r="I150" s="6">
        <f t="shared" si="35"/>
        <v>0</v>
      </c>
      <c r="K150" s="49" t="e">
        <f t="shared" si="39"/>
        <v>#N/A</v>
      </c>
      <c r="L150" s="49" t="e">
        <f t="shared" si="40"/>
        <v>#N/A</v>
      </c>
      <c r="M150" s="15" t="str">
        <f t="shared" si="36"/>
        <v/>
      </c>
    </row>
    <row r="151" spans="1:13" ht="14.5" x14ac:dyDescent="0.35">
      <c r="A151" s="7">
        <v>144</v>
      </c>
      <c r="B151" s="12">
        <f>SMALL(Datos!$C$5:$C$204,A151)</f>
        <v>4531.3999999999996</v>
      </c>
      <c r="C151" s="13">
        <f>INDEX(Datos!$D$5:$D$204,MATCH(B151,Datos!$C$5:$C$204,0))</f>
        <v>1</v>
      </c>
      <c r="D151" s="7">
        <f t="shared" si="32"/>
        <v>57</v>
      </c>
      <c r="E151" s="6">
        <f t="shared" si="37"/>
        <v>1.6131934030871897</v>
      </c>
      <c r="F151" s="6">
        <f t="shared" si="38"/>
        <v>109.04797602403019</v>
      </c>
      <c r="G151" s="14">
        <f t="shared" si="33"/>
        <v>0.54265457097819458</v>
      </c>
      <c r="H151" s="6">
        <f t="shared" si="34"/>
        <v>8.4187862215033533</v>
      </c>
      <c r="I151" s="6">
        <f t="shared" si="35"/>
        <v>-0.24549612991949399</v>
      </c>
      <c r="K151" s="49">
        <f t="shared" si="39"/>
        <v>8.4187862215033533</v>
      </c>
      <c r="L151" s="49">
        <f t="shared" si="40"/>
        <v>-0.24549612991949399</v>
      </c>
      <c r="M151" s="15">
        <f t="shared" si="36"/>
        <v>-0.23432935029289581</v>
      </c>
    </row>
    <row r="152" spans="1:13" ht="14.5" x14ac:dyDescent="0.35">
      <c r="A152" s="7">
        <v>145</v>
      </c>
      <c r="B152" s="12">
        <f>SMALL(Datos!$C$5:$C$204,A152)</f>
        <v>4533.2</v>
      </c>
      <c r="C152" s="13">
        <f>INDEX(Datos!$D$5:$D$204,MATCH(B152,Datos!$C$5:$C$204,0))</f>
        <v>1</v>
      </c>
      <c r="D152" s="7">
        <f t="shared" si="32"/>
        <v>56</v>
      </c>
      <c r="E152" s="6">
        <f t="shared" si="37"/>
        <v>1.6131934030871897</v>
      </c>
      <c r="F152" s="6">
        <f t="shared" si="38"/>
        <v>110.66116942711739</v>
      </c>
      <c r="G152" s="14">
        <f t="shared" si="33"/>
        <v>0.55070443825906878</v>
      </c>
      <c r="H152" s="6">
        <f t="shared" si="34"/>
        <v>8.4191833708587929</v>
      </c>
      <c r="I152" s="6">
        <f t="shared" si="35"/>
        <v>-0.22305062923313054</v>
      </c>
      <c r="K152" s="49">
        <f t="shared" si="39"/>
        <v>8.4191833708587929</v>
      </c>
      <c r="L152" s="49">
        <f t="shared" si="40"/>
        <v>-0.22305062923313054</v>
      </c>
      <c r="M152" s="15">
        <f t="shared" si="36"/>
        <v>-0.23357112055517248</v>
      </c>
    </row>
    <row r="153" spans="1:13" ht="14.5" x14ac:dyDescent="0.35">
      <c r="A153" s="7">
        <v>146</v>
      </c>
      <c r="B153" s="12">
        <f>SMALL(Datos!$C$5:$C$204,A153)</f>
        <v>4583.6000000000004</v>
      </c>
      <c r="C153" s="13">
        <f>INDEX(Datos!$D$5:$D$204,MATCH(B153,Datos!$C$5:$C$204,0))</f>
        <v>1</v>
      </c>
      <c r="D153" s="7">
        <f t="shared" si="32"/>
        <v>55</v>
      </c>
      <c r="E153" s="6">
        <f t="shared" si="37"/>
        <v>1.6131934030871895</v>
      </c>
      <c r="F153" s="6">
        <f t="shared" si="38"/>
        <v>112.27436283020458</v>
      </c>
      <c r="G153" s="14">
        <f t="shared" si="33"/>
        <v>0.55875430553994299</v>
      </c>
      <c r="H153" s="6">
        <f t="shared" si="34"/>
        <v>8.4302399945522932</v>
      </c>
      <c r="I153" s="6">
        <f t="shared" si="35"/>
        <v>-0.20070539471102447</v>
      </c>
      <c r="K153" s="49">
        <f t="shared" si="39"/>
        <v>8.4302399945522932</v>
      </c>
      <c r="L153" s="49">
        <f t="shared" si="40"/>
        <v>-0.20070539471102447</v>
      </c>
      <c r="M153" s="15">
        <f t="shared" si="36"/>
        <v>-0.21246203207643788</v>
      </c>
    </row>
    <row r="154" spans="1:13" ht="14.5" x14ac:dyDescent="0.35">
      <c r="A154" s="7">
        <v>147</v>
      </c>
      <c r="B154" s="12">
        <f>SMALL(Datos!$C$5:$C$204,A154)</f>
        <v>4618</v>
      </c>
      <c r="C154" s="13">
        <f>INDEX(Datos!$D$5:$D$204,MATCH(B154,Datos!$C$5:$C$204,0))</f>
        <v>1</v>
      </c>
      <c r="D154" s="7">
        <f t="shared" si="32"/>
        <v>54</v>
      </c>
      <c r="E154" s="6">
        <f t="shared" si="37"/>
        <v>1.6131934030871895</v>
      </c>
      <c r="F154" s="6">
        <f t="shared" si="38"/>
        <v>113.88755623329178</v>
      </c>
      <c r="G154" s="14">
        <f t="shared" si="33"/>
        <v>0.56680417282081719</v>
      </c>
      <c r="H154" s="6">
        <f t="shared" si="34"/>
        <v>8.4377169899144402</v>
      </c>
      <c r="I154" s="6">
        <f t="shared" si="35"/>
        <v>-0.17845058294750316</v>
      </c>
      <c r="K154" s="49">
        <f t="shared" si="39"/>
        <v>8.4377169899144402</v>
      </c>
      <c r="L154" s="49">
        <f t="shared" si="40"/>
        <v>-0.17845058294750316</v>
      </c>
      <c r="M154" s="15">
        <f t="shared" si="36"/>
        <v>-0.19818709959886505</v>
      </c>
    </row>
    <row r="155" spans="1:13" ht="14.5" x14ac:dyDescent="0.35">
      <c r="A155" s="7">
        <v>148</v>
      </c>
      <c r="B155" s="12">
        <f>SMALL(Datos!$C$5:$C$204,A155)</f>
        <v>4625</v>
      </c>
      <c r="C155" s="13">
        <f>INDEX(Datos!$D$5:$D$204,MATCH(B155,Datos!$C$5:$C$204,0))</f>
        <v>0</v>
      </c>
      <c r="D155" s="7">
        <f t="shared" si="32"/>
        <v>53</v>
      </c>
      <c r="E155" s="6">
        <f t="shared" si="37"/>
        <v>0</v>
      </c>
      <c r="F155" s="6">
        <f t="shared" si="38"/>
        <v>113.88755623329178</v>
      </c>
      <c r="G155" s="14">
        <f t="shared" si="33"/>
        <v>0</v>
      </c>
      <c r="H155" s="6">
        <f t="shared" si="34"/>
        <v>8.4392316499465263</v>
      </c>
      <c r="I155" s="6">
        <f t="shared" si="35"/>
        <v>0</v>
      </c>
      <c r="K155" s="49" t="e">
        <f t="shared" si="39"/>
        <v>#N/A</v>
      </c>
      <c r="L155" s="49" t="e">
        <f t="shared" si="40"/>
        <v>#N/A</v>
      </c>
      <c r="M155" s="15" t="str">
        <f t="shared" si="36"/>
        <v/>
      </c>
    </row>
    <row r="156" spans="1:13" ht="14.5" x14ac:dyDescent="0.35">
      <c r="A156" s="7">
        <v>149</v>
      </c>
      <c r="B156" s="12">
        <f>SMALL(Datos!$C$5:$C$204,A156)</f>
        <v>4660.7</v>
      </c>
      <c r="C156" s="13">
        <f>INDEX(Datos!$D$5:$D$204,MATCH(B156,Datos!$C$5:$C$204,0))</f>
        <v>0</v>
      </c>
      <c r="D156" s="7">
        <f t="shared" si="32"/>
        <v>52</v>
      </c>
      <c r="E156" s="6">
        <f t="shared" si="37"/>
        <v>0</v>
      </c>
      <c r="F156" s="6">
        <f t="shared" si="38"/>
        <v>113.88755623329178</v>
      </c>
      <c r="G156" s="14">
        <f t="shared" si="33"/>
        <v>0</v>
      </c>
      <c r="H156" s="6">
        <f t="shared" si="34"/>
        <v>8.4469209304308848</v>
      </c>
      <c r="I156" s="6">
        <f t="shared" si="35"/>
        <v>0</v>
      </c>
      <c r="K156" s="49" t="e">
        <f t="shared" si="39"/>
        <v>#N/A</v>
      </c>
      <c r="L156" s="49" t="e">
        <f t="shared" si="40"/>
        <v>#N/A</v>
      </c>
      <c r="M156" s="15" t="str">
        <f t="shared" si="36"/>
        <v/>
      </c>
    </row>
    <row r="157" spans="1:13" ht="14.5" x14ac:dyDescent="0.35">
      <c r="A157" s="7">
        <v>150</v>
      </c>
      <c r="B157" s="12">
        <f>SMALL(Datos!$C$5:$C$204,A157)</f>
        <v>4669.2</v>
      </c>
      <c r="C157" s="13">
        <f>INDEX(Datos!$D$5:$D$204,MATCH(B157,Datos!$C$5:$C$204,0))</f>
        <v>1</v>
      </c>
      <c r="D157" s="7">
        <f t="shared" si="32"/>
        <v>51</v>
      </c>
      <c r="E157" s="6">
        <f t="shared" si="37"/>
        <v>1.6752393032059274</v>
      </c>
      <c r="F157" s="6">
        <f t="shared" si="38"/>
        <v>115.5627955364977</v>
      </c>
      <c r="G157" s="14">
        <f t="shared" si="33"/>
        <v>0.57516365038172501</v>
      </c>
      <c r="H157" s="6">
        <f t="shared" si="34"/>
        <v>8.4487430297785089</v>
      </c>
      <c r="I157" s="6">
        <f t="shared" si="35"/>
        <v>-0.15542504022336845</v>
      </c>
      <c r="K157" s="49">
        <f t="shared" si="39"/>
        <v>8.4487430297785089</v>
      </c>
      <c r="L157" s="49">
        <f t="shared" si="40"/>
        <v>-0.15542504022336845</v>
      </c>
      <c r="M157" s="15">
        <f t="shared" si="36"/>
        <v>-0.17713640116571838</v>
      </c>
    </row>
    <row r="158" spans="1:13" ht="14.5" x14ac:dyDescent="0.35">
      <c r="A158" s="7">
        <v>151</v>
      </c>
      <c r="B158" s="12">
        <f>SMALL(Datos!$C$5:$C$204,A158)</f>
        <v>4729.8</v>
      </c>
      <c r="C158" s="13">
        <f>INDEX(Datos!$D$5:$D$204,MATCH(B158,Datos!$C$5:$C$204,0))</f>
        <v>1</v>
      </c>
      <c r="D158" s="7">
        <f t="shared" si="32"/>
        <v>50</v>
      </c>
      <c r="E158" s="6">
        <f t="shared" si="37"/>
        <v>1.6752393032059274</v>
      </c>
      <c r="F158" s="6">
        <f t="shared" si="38"/>
        <v>117.23803483970363</v>
      </c>
      <c r="G158" s="14">
        <f t="shared" si="33"/>
        <v>0.58352312794263284</v>
      </c>
      <c r="H158" s="6">
        <f t="shared" si="34"/>
        <v>8.461638197293917</v>
      </c>
      <c r="I158" s="6">
        <f t="shared" si="35"/>
        <v>-0.13247555228750046</v>
      </c>
      <c r="K158" s="49">
        <f t="shared" si="39"/>
        <v>8.461638197293917</v>
      </c>
      <c r="L158" s="49">
        <f t="shared" si="40"/>
        <v>-0.13247555228750046</v>
      </c>
      <c r="M158" s="15">
        <f t="shared" si="36"/>
        <v>-0.15251720098521204</v>
      </c>
    </row>
    <row r="159" spans="1:13" ht="14.5" x14ac:dyDescent="0.35">
      <c r="A159" s="7">
        <v>152</v>
      </c>
      <c r="B159" s="12">
        <f>SMALL(Datos!$C$5:$C$204,A159)</f>
        <v>4776.7</v>
      </c>
      <c r="C159" s="13">
        <f>INDEX(Datos!$D$5:$D$204,MATCH(B159,Datos!$C$5:$C$204,0))</f>
        <v>1</v>
      </c>
      <c r="D159" s="7">
        <f t="shared" si="32"/>
        <v>49</v>
      </c>
      <c r="E159" s="6">
        <f t="shared" si="37"/>
        <v>1.6752393032059274</v>
      </c>
      <c r="F159" s="6">
        <f t="shared" si="38"/>
        <v>118.91327414290956</v>
      </c>
      <c r="G159" s="14">
        <f t="shared" si="33"/>
        <v>0.59188260550354066</v>
      </c>
      <c r="H159" s="6">
        <f t="shared" si="34"/>
        <v>8.4715052104968205</v>
      </c>
      <c r="I159" s="6">
        <f t="shared" si="35"/>
        <v>-0.10959121428272627</v>
      </c>
      <c r="K159" s="49">
        <f t="shared" si="39"/>
        <v>8.4715052104968205</v>
      </c>
      <c r="L159" s="49">
        <f t="shared" si="40"/>
        <v>-0.10959121428272627</v>
      </c>
      <c r="M159" s="15">
        <f t="shared" si="36"/>
        <v>-0.13367929345622898</v>
      </c>
    </row>
    <row r="160" spans="1:13" ht="14.5" x14ac:dyDescent="0.35">
      <c r="A160" s="7">
        <v>153</v>
      </c>
      <c r="B160" s="12">
        <f>SMALL(Datos!$C$5:$C$204,A160)</f>
        <v>4805.7</v>
      </c>
      <c r="C160" s="13">
        <f>INDEX(Datos!$D$5:$D$204,MATCH(B160,Datos!$C$5:$C$204,0))</f>
        <v>0</v>
      </c>
      <c r="D160" s="7">
        <f t="shared" si="32"/>
        <v>48</v>
      </c>
      <c r="E160" s="6">
        <f t="shared" si="37"/>
        <v>0</v>
      </c>
      <c r="F160" s="6">
        <f t="shared" si="38"/>
        <v>118.91327414290956</v>
      </c>
      <c r="G160" s="14">
        <f t="shared" si="33"/>
        <v>0</v>
      </c>
      <c r="H160" s="6">
        <f t="shared" si="34"/>
        <v>8.477557992375548</v>
      </c>
      <c r="I160" s="6">
        <f t="shared" si="35"/>
        <v>0</v>
      </c>
      <c r="K160" s="49" t="e">
        <f t="shared" si="39"/>
        <v>#N/A</v>
      </c>
      <c r="L160" s="49" t="e">
        <f t="shared" si="40"/>
        <v>#N/A</v>
      </c>
      <c r="M160" s="15" t="str">
        <f t="shared" si="36"/>
        <v/>
      </c>
    </row>
    <row r="161" spans="1:13" ht="14.5" x14ac:dyDescent="0.35">
      <c r="A161" s="7">
        <v>154</v>
      </c>
      <c r="B161" s="12">
        <f>SMALL(Datos!$C$5:$C$204,A161)</f>
        <v>4825.8999999999996</v>
      </c>
      <c r="C161" s="13">
        <f>INDEX(Datos!$D$5:$D$204,MATCH(B161,Datos!$C$5:$C$204,0))</f>
        <v>1</v>
      </c>
      <c r="D161" s="7">
        <f t="shared" si="32"/>
        <v>47</v>
      </c>
      <c r="E161" s="6">
        <f t="shared" si="37"/>
        <v>1.7101401220227175</v>
      </c>
      <c r="F161" s="6">
        <f t="shared" si="38"/>
        <v>120.62341426493228</v>
      </c>
      <c r="G161" s="14">
        <f t="shared" si="33"/>
        <v>0.60041623884696749</v>
      </c>
      <c r="H161" s="6">
        <f t="shared" si="34"/>
        <v>8.4817525248762191</v>
      </c>
      <c r="I161" s="6">
        <f t="shared" si="35"/>
        <v>-8.6285962942053318E-2</v>
      </c>
      <c r="K161" s="49">
        <f t="shared" si="39"/>
        <v>8.4817525248762191</v>
      </c>
      <c r="L161" s="49">
        <f t="shared" si="40"/>
        <v>-8.6285962942053318E-2</v>
      </c>
      <c r="M161" s="15">
        <f t="shared" si="36"/>
        <v>-0.11411532240137134</v>
      </c>
    </row>
    <row r="162" spans="1:13" ht="14.5" x14ac:dyDescent="0.35">
      <c r="A162" s="7">
        <v>155</v>
      </c>
      <c r="B162" s="12">
        <f>SMALL(Datos!$C$5:$C$204,A162)</f>
        <v>4830</v>
      </c>
      <c r="C162" s="13">
        <f>INDEX(Datos!$D$5:$D$204,MATCH(B162,Datos!$C$5:$C$204,0))</f>
        <v>0</v>
      </c>
      <c r="D162" s="7">
        <f t="shared" si="32"/>
        <v>46</v>
      </c>
      <c r="E162" s="6">
        <f t="shared" si="37"/>
        <v>0</v>
      </c>
      <c r="F162" s="6">
        <f t="shared" si="38"/>
        <v>120.62341426493228</v>
      </c>
      <c r="G162" s="14">
        <f t="shared" si="33"/>
        <v>0</v>
      </c>
      <c r="H162" s="6">
        <f t="shared" si="34"/>
        <v>8.482601746646619</v>
      </c>
      <c r="I162" s="6">
        <f t="shared" si="35"/>
        <v>0</v>
      </c>
      <c r="K162" s="49" t="e">
        <f t="shared" si="39"/>
        <v>#N/A</v>
      </c>
      <c r="L162" s="49" t="e">
        <f t="shared" si="40"/>
        <v>#N/A</v>
      </c>
      <c r="M162" s="15" t="str">
        <f t="shared" si="36"/>
        <v/>
      </c>
    </row>
    <row r="163" spans="1:13" ht="14.5" x14ac:dyDescent="0.35">
      <c r="A163" s="7">
        <v>156</v>
      </c>
      <c r="B163" s="12">
        <f>SMALL(Datos!$C$5:$C$204,A163)</f>
        <v>4848.8999999999996</v>
      </c>
      <c r="C163" s="13">
        <f>INDEX(Datos!$D$5:$D$204,MATCH(B163,Datos!$C$5:$C$204,0))</f>
        <v>0</v>
      </c>
      <c r="D163" s="7">
        <f t="shared" si="32"/>
        <v>45</v>
      </c>
      <c r="E163" s="6">
        <f t="shared" si="37"/>
        <v>0</v>
      </c>
      <c r="F163" s="6">
        <f t="shared" si="38"/>
        <v>120.62341426493228</v>
      </c>
      <c r="G163" s="14">
        <f t="shared" si="33"/>
        <v>0</v>
      </c>
      <c r="H163" s="6">
        <f t="shared" si="34"/>
        <v>8.4865071540838724</v>
      </c>
      <c r="I163" s="6">
        <f t="shared" si="35"/>
        <v>0</v>
      </c>
      <c r="K163" s="49" t="e">
        <f t="shared" si="39"/>
        <v>#N/A</v>
      </c>
      <c r="L163" s="49" t="e">
        <f t="shared" si="40"/>
        <v>#N/A</v>
      </c>
      <c r="M163" s="15" t="str">
        <f t="shared" si="36"/>
        <v/>
      </c>
    </row>
    <row r="164" spans="1:13" ht="14.5" x14ac:dyDescent="0.35">
      <c r="A164" s="7">
        <v>157</v>
      </c>
      <c r="B164" s="12">
        <f>SMALL(Datos!$C$5:$C$204,A164)</f>
        <v>4855.8</v>
      </c>
      <c r="C164" s="13">
        <f>INDEX(Datos!$D$5:$D$204,MATCH(B164,Datos!$C$5:$C$204,0))</f>
        <v>1</v>
      </c>
      <c r="D164" s="7">
        <f t="shared" si="32"/>
        <v>44</v>
      </c>
      <c r="E164" s="6">
        <f t="shared" si="37"/>
        <v>1.7861463496681715</v>
      </c>
      <c r="F164" s="6">
        <f t="shared" si="38"/>
        <v>122.40956061460045</v>
      </c>
      <c r="G164" s="14">
        <f t="shared" si="33"/>
        <v>0.60932914478343536</v>
      </c>
      <c r="H164" s="6">
        <f t="shared" si="34"/>
        <v>8.4879291457297104</v>
      </c>
      <c r="I164" s="6">
        <f t="shared" si="35"/>
        <v>-6.1992563744186428E-2</v>
      </c>
      <c r="K164" s="49">
        <f t="shared" si="39"/>
        <v>8.4879291457297104</v>
      </c>
      <c r="L164" s="49">
        <f t="shared" si="40"/>
        <v>-6.1992563744186428E-2</v>
      </c>
      <c r="M164" s="15">
        <f t="shared" si="36"/>
        <v>-0.10232303935816844</v>
      </c>
    </row>
    <row r="165" spans="1:13" ht="14.5" x14ac:dyDescent="0.35">
      <c r="A165" s="7">
        <v>158</v>
      </c>
      <c r="B165" s="12">
        <f>SMALL(Datos!$C$5:$C$204,A165)</f>
        <v>4920.8</v>
      </c>
      <c r="C165" s="13">
        <f>INDEX(Datos!$D$5:$D$204,MATCH(B165,Datos!$C$5:$C$204,0))</f>
        <v>0</v>
      </c>
      <c r="D165" s="7">
        <f t="shared" si="32"/>
        <v>43</v>
      </c>
      <c r="E165" s="6">
        <f t="shared" si="37"/>
        <v>0</v>
      </c>
      <c r="F165" s="6">
        <f t="shared" si="38"/>
        <v>122.40956061460045</v>
      </c>
      <c r="G165" s="14">
        <f t="shared" si="33"/>
        <v>0</v>
      </c>
      <c r="H165" s="6">
        <f t="shared" si="34"/>
        <v>8.5012263978941593</v>
      </c>
      <c r="I165" s="6">
        <f t="shared" si="35"/>
        <v>0</v>
      </c>
      <c r="K165" s="49" t="e">
        <f t="shared" si="39"/>
        <v>#N/A</v>
      </c>
      <c r="L165" s="49" t="e">
        <f t="shared" si="40"/>
        <v>#N/A</v>
      </c>
      <c r="M165" s="15" t="str">
        <f t="shared" si="36"/>
        <v/>
      </c>
    </row>
    <row r="166" spans="1:13" ht="14.5" x14ac:dyDescent="0.35">
      <c r="A166" s="7">
        <v>159</v>
      </c>
      <c r="B166" s="12">
        <f>SMALL(Datos!$C$5:$C$204,A166)</f>
        <v>5061.8</v>
      </c>
      <c r="C166" s="13">
        <f>INDEX(Datos!$D$5:$D$204,MATCH(B166,Datos!$C$5:$C$204,0))</f>
        <v>1</v>
      </c>
      <c r="D166" s="7">
        <f t="shared" si="32"/>
        <v>42</v>
      </c>
      <c r="E166" s="6">
        <f t="shared" si="37"/>
        <v>1.827684636869757</v>
      </c>
      <c r="F166" s="6">
        <f t="shared" si="38"/>
        <v>124.23724525147021</v>
      </c>
      <c r="G166" s="14">
        <f t="shared" si="33"/>
        <v>0.61844932760214677</v>
      </c>
      <c r="H166" s="6">
        <f t="shared" si="34"/>
        <v>8.5294774302494574</v>
      </c>
      <c r="I166" s="6">
        <f t="shared" si="35"/>
        <v>-3.7170738301275937E-2</v>
      </c>
      <c r="K166" s="49">
        <f t="shared" si="39"/>
        <v>8.5294774302494574</v>
      </c>
      <c r="L166" s="49">
        <f t="shared" si="40"/>
        <v>-3.7170738301275937E-2</v>
      </c>
      <c r="M166" s="15">
        <f t="shared" si="36"/>
        <v>-2.2999871781930636E-2</v>
      </c>
    </row>
    <row r="167" spans="1:13" ht="14.5" x14ac:dyDescent="0.35">
      <c r="A167" s="7">
        <v>160</v>
      </c>
      <c r="B167" s="12">
        <f>SMALL(Datos!$C$5:$C$204,A167)</f>
        <v>5102</v>
      </c>
      <c r="C167" s="13">
        <f>INDEX(Datos!$D$5:$D$204,MATCH(B167,Datos!$C$5:$C$204,0))</f>
        <v>1</v>
      </c>
      <c r="D167" s="7">
        <f t="shared" si="32"/>
        <v>41</v>
      </c>
      <c r="E167" s="6">
        <f t="shared" si="37"/>
        <v>1.8276846368697568</v>
      </c>
      <c r="F167" s="6">
        <f t="shared" si="38"/>
        <v>126.06492988833998</v>
      </c>
      <c r="G167" s="14">
        <f t="shared" si="33"/>
        <v>0.62756951042085818</v>
      </c>
      <c r="H167" s="6">
        <f t="shared" si="34"/>
        <v>8.5373878987017573</v>
      </c>
      <c r="I167" s="6">
        <f t="shared" si="35"/>
        <v>-1.2371346779179809E-2</v>
      </c>
      <c r="K167" s="49">
        <f t="shared" si="39"/>
        <v>8.5373878987017573</v>
      </c>
      <c r="L167" s="49">
        <f t="shared" si="40"/>
        <v>-1.2371346779179809E-2</v>
      </c>
      <c r="M167" s="15">
        <f t="shared" si="36"/>
        <v>-7.8973610067869515E-3</v>
      </c>
    </row>
    <row r="168" spans="1:13" ht="14.5" x14ac:dyDescent="0.35">
      <c r="A168" s="7">
        <v>161</v>
      </c>
      <c r="B168" s="12">
        <f>SMALL(Datos!$C$5:$C$204,A168)</f>
        <v>5177</v>
      </c>
      <c r="C168" s="13">
        <f>INDEX(Datos!$D$5:$D$204,MATCH(B168,Datos!$C$5:$C$204,0))</f>
        <v>1</v>
      </c>
      <c r="D168" s="7">
        <f t="shared" ref="D168:D199" si="41">$B$4-A168+1</f>
        <v>40</v>
      </c>
      <c r="E168" s="6">
        <f t="shared" si="37"/>
        <v>1.8276846368697568</v>
      </c>
      <c r="F168" s="6">
        <f t="shared" si="38"/>
        <v>127.89261452520974</v>
      </c>
      <c r="G168" s="14">
        <f t="shared" ref="G168:G199" si="42">IF(C168=1,(F168-0.3)/($B$4+0.4),0)</f>
        <v>0.63668969323956959</v>
      </c>
      <c r="H168" s="6">
        <f t="shared" ref="H168:H199" si="43">LN(B168)</f>
        <v>8.5519810169019017</v>
      </c>
      <c r="I168" s="6">
        <f t="shared" ref="I168:I199" si="44">IF(C168=1,LN(-LN(1-G168)),0)</f>
        <v>1.2420515378392328E-2</v>
      </c>
      <c r="K168" s="49">
        <f t="shared" si="39"/>
        <v>8.5519810169019017</v>
      </c>
      <c r="L168" s="49">
        <f t="shared" si="40"/>
        <v>1.2420515378392328E-2</v>
      </c>
      <c r="M168" s="15">
        <f t="shared" ref="M168:M199" si="45">IF(C168=1,$P$12*H168+$P$13,"")</f>
        <v>1.9963533223389618E-2</v>
      </c>
    </row>
    <row r="169" spans="1:13" ht="14.5" x14ac:dyDescent="0.35">
      <c r="A169" s="7">
        <v>162</v>
      </c>
      <c r="B169" s="12">
        <f>SMALL(Datos!$C$5:$C$204,A169)</f>
        <v>5202.6000000000004</v>
      </c>
      <c r="C169" s="13">
        <f>INDEX(Datos!$D$5:$D$204,MATCH(B169,Datos!$C$5:$C$204,0))</f>
        <v>0</v>
      </c>
      <c r="D169" s="7">
        <f t="shared" si="41"/>
        <v>39</v>
      </c>
      <c r="E169" s="6">
        <f t="shared" ref="E169:E200" si="46">IF(C169=1,($B$4+1-F168)/(1+D169),0)</f>
        <v>0</v>
      </c>
      <c r="F169" s="6">
        <f t="shared" ref="F169:F200" si="47">F168+E169</f>
        <v>127.89261452520974</v>
      </c>
      <c r="G169" s="14">
        <f t="shared" si="42"/>
        <v>0</v>
      </c>
      <c r="H169" s="6">
        <f t="shared" si="43"/>
        <v>8.5569137796111701</v>
      </c>
      <c r="I169" s="6">
        <f t="shared" si="44"/>
        <v>0</v>
      </c>
      <c r="K169" s="49" t="e">
        <f t="shared" si="39"/>
        <v>#N/A</v>
      </c>
      <c r="L169" s="49" t="e">
        <f t="shared" si="40"/>
        <v>#N/A</v>
      </c>
      <c r="M169" s="15" t="str">
        <f t="shared" si="45"/>
        <v/>
      </c>
    </row>
    <row r="170" spans="1:13" ht="14.5" x14ac:dyDescent="0.35">
      <c r="A170" s="7">
        <v>163</v>
      </c>
      <c r="B170" s="12">
        <f>SMALL(Datos!$C$5:$C$204,A170)</f>
        <v>5211.8999999999996</v>
      </c>
      <c r="C170" s="13">
        <f>INDEX(Datos!$D$5:$D$204,MATCH(B170,Datos!$C$5:$C$204,0))</f>
        <v>0</v>
      </c>
      <c r="D170" s="7">
        <f t="shared" si="41"/>
        <v>38</v>
      </c>
      <c r="E170" s="6">
        <f t="shared" si="46"/>
        <v>0</v>
      </c>
      <c r="F170" s="6">
        <f t="shared" si="47"/>
        <v>127.89261452520974</v>
      </c>
      <c r="G170" s="14">
        <f t="shared" si="42"/>
        <v>0</v>
      </c>
      <c r="H170" s="6">
        <f t="shared" si="43"/>
        <v>8.5586997515679641</v>
      </c>
      <c r="I170" s="6">
        <f t="shared" si="44"/>
        <v>0</v>
      </c>
      <c r="K170" s="49" t="e">
        <f t="shared" si="39"/>
        <v>#N/A</v>
      </c>
      <c r="L170" s="49" t="e">
        <f t="shared" si="40"/>
        <v>#N/A</v>
      </c>
      <c r="M170" s="15" t="str">
        <f t="shared" si="45"/>
        <v/>
      </c>
    </row>
    <row r="171" spans="1:13" ht="14.5" x14ac:dyDescent="0.35">
      <c r="A171" s="7">
        <v>164</v>
      </c>
      <c r="B171" s="12">
        <f>SMALL(Datos!$C$5:$C$204,A171)</f>
        <v>5277.4</v>
      </c>
      <c r="C171" s="13">
        <f>INDEX(Datos!$D$5:$D$204,MATCH(B171,Datos!$C$5:$C$204,0))</f>
        <v>1</v>
      </c>
      <c r="D171" s="7">
        <f t="shared" si="41"/>
        <v>37</v>
      </c>
      <c r="E171" s="6">
        <f t="shared" si="46"/>
        <v>1.9238785651260595</v>
      </c>
      <c r="F171" s="6">
        <f t="shared" si="47"/>
        <v>129.8164930903358</v>
      </c>
      <c r="G171" s="14">
        <f t="shared" si="42"/>
        <v>0.64628988568031831</v>
      </c>
      <c r="H171" s="6">
        <f t="shared" si="43"/>
        <v>8.5711888311772491</v>
      </c>
      <c r="I171" s="6">
        <f t="shared" si="44"/>
        <v>3.8525844308349037E-2</v>
      </c>
      <c r="K171" s="49">
        <f t="shared" si="39"/>
        <v>8.5711888311772491</v>
      </c>
      <c r="L171" s="49">
        <f t="shared" si="40"/>
        <v>3.8525844308349037E-2</v>
      </c>
      <c r="M171" s="15">
        <f t="shared" si="45"/>
        <v>5.6634714432146183E-2</v>
      </c>
    </row>
    <row r="172" spans="1:13" ht="14.5" x14ac:dyDescent="0.35">
      <c r="A172" s="7">
        <v>165</v>
      </c>
      <c r="B172" s="12">
        <f>SMALL(Datos!$C$5:$C$204,A172)</f>
        <v>5368.1</v>
      </c>
      <c r="C172" s="13">
        <f>INDEX(Datos!$D$5:$D$204,MATCH(B172,Datos!$C$5:$C$204,0))</f>
        <v>1</v>
      </c>
      <c r="D172" s="7">
        <f t="shared" si="41"/>
        <v>36</v>
      </c>
      <c r="E172" s="6">
        <f t="shared" si="46"/>
        <v>1.9238785651260595</v>
      </c>
      <c r="F172" s="6">
        <f t="shared" si="47"/>
        <v>131.74037165546184</v>
      </c>
      <c r="G172" s="14">
        <f t="shared" si="42"/>
        <v>0.65589007812106703</v>
      </c>
      <c r="H172" s="6">
        <f t="shared" si="43"/>
        <v>8.5882293073900726</v>
      </c>
      <c r="I172" s="6">
        <f t="shared" si="44"/>
        <v>6.4658013034205097E-2</v>
      </c>
      <c r="K172" s="49">
        <f t="shared" si="39"/>
        <v>8.5882293073900726</v>
      </c>
      <c r="L172" s="49">
        <f t="shared" si="40"/>
        <v>6.4658013034205097E-2</v>
      </c>
      <c r="M172" s="15">
        <f t="shared" si="45"/>
        <v>8.9168056442119337E-2</v>
      </c>
    </row>
    <row r="173" spans="1:13" ht="14.5" x14ac:dyDescent="0.35">
      <c r="A173" s="7">
        <v>166</v>
      </c>
      <c r="B173" s="12">
        <f>SMALL(Datos!$C$5:$C$204,A173)</f>
        <v>5388.6</v>
      </c>
      <c r="C173" s="13">
        <f>INDEX(Datos!$D$5:$D$204,MATCH(B173,Datos!$C$5:$C$204,0))</f>
        <v>1</v>
      </c>
      <c r="D173" s="7">
        <f t="shared" si="41"/>
        <v>35</v>
      </c>
      <c r="E173" s="6">
        <f t="shared" si="46"/>
        <v>1.9238785651260599</v>
      </c>
      <c r="F173" s="6">
        <f t="shared" si="47"/>
        <v>133.66425022058792</v>
      </c>
      <c r="G173" s="14">
        <f t="shared" si="42"/>
        <v>0.66549027056181587</v>
      </c>
      <c r="H173" s="6">
        <f t="shared" si="43"/>
        <v>8.5920408899049594</v>
      </c>
      <c r="I173" s="6">
        <f t="shared" si="44"/>
        <v>9.0835924622700306E-2</v>
      </c>
      <c r="K173" s="49">
        <f t="shared" si="39"/>
        <v>8.5920408899049594</v>
      </c>
      <c r="L173" s="49">
        <f t="shared" si="40"/>
        <v>9.0835924622700306E-2</v>
      </c>
      <c r="M173" s="15">
        <f t="shared" si="45"/>
        <v>9.6445054808089736E-2</v>
      </c>
    </row>
    <row r="174" spans="1:13" ht="14.5" x14ac:dyDescent="0.35">
      <c r="A174" s="7">
        <v>167</v>
      </c>
      <c r="B174" s="12">
        <f>SMALL(Datos!$C$5:$C$204,A174)</f>
        <v>5553.6</v>
      </c>
      <c r="C174" s="13">
        <f>INDEX(Datos!$D$5:$D$204,MATCH(B174,Datos!$C$5:$C$204,0))</f>
        <v>1</v>
      </c>
      <c r="D174" s="7">
        <f t="shared" si="41"/>
        <v>34</v>
      </c>
      <c r="E174" s="6">
        <f t="shared" si="46"/>
        <v>1.9238785651260595</v>
      </c>
      <c r="F174" s="6">
        <f t="shared" si="47"/>
        <v>135.58812878571396</v>
      </c>
      <c r="G174" s="14">
        <f t="shared" si="42"/>
        <v>0.67509046300256459</v>
      </c>
      <c r="H174" s="6">
        <f t="shared" si="43"/>
        <v>8.6222016451075216</v>
      </c>
      <c r="I174" s="6">
        <f t="shared" si="44"/>
        <v>0.11707921745534776</v>
      </c>
      <c r="K174" s="49">
        <f t="shared" si="39"/>
        <v>8.6222016451075216</v>
      </c>
      <c r="L174" s="49">
        <f t="shared" si="40"/>
        <v>0.11707921745534776</v>
      </c>
      <c r="M174" s="15">
        <f t="shared" si="45"/>
        <v>0.15402737539756117</v>
      </c>
    </row>
    <row r="175" spans="1:13" ht="14.5" x14ac:dyDescent="0.35">
      <c r="A175" s="7">
        <v>168</v>
      </c>
      <c r="B175" s="12">
        <f>SMALL(Datos!$C$5:$C$204,A175)</f>
        <v>5578.7</v>
      </c>
      <c r="C175" s="13">
        <f>INDEX(Datos!$D$5:$D$204,MATCH(B175,Datos!$C$5:$C$204,0))</f>
        <v>1</v>
      </c>
      <c r="D175" s="7">
        <f t="shared" si="41"/>
        <v>33</v>
      </c>
      <c r="E175" s="6">
        <f t="shared" si="46"/>
        <v>1.9238785651260599</v>
      </c>
      <c r="F175" s="6">
        <f t="shared" si="47"/>
        <v>137.51200735084001</v>
      </c>
      <c r="G175" s="14">
        <f t="shared" si="42"/>
        <v>0.68469065544331331</v>
      </c>
      <c r="H175" s="6">
        <f t="shared" si="43"/>
        <v>8.6267110533220919</v>
      </c>
      <c r="I175" s="6">
        <f t="shared" si="44"/>
        <v>0.1434083954002672</v>
      </c>
      <c r="K175" s="49">
        <f t="shared" si="39"/>
        <v>8.6267110533220919</v>
      </c>
      <c r="L175" s="49">
        <f t="shared" si="40"/>
        <v>0.1434083954002672</v>
      </c>
      <c r="M175" s="15">
        <f t="shared" si="45"/>
        <v>0.16263664886356821</v>
      </c>
    </row>
    <row r="176" spans="1:13" ht="14.5" x14ac:dyDescent="0.35">
      <c r="A176" s="7">
        <v>169</v>
      </c>
      <c r="B176" s="12">
        <f>SMALL(Datos!$C$5:$C$204,A176)</f>
        <v>5595.9</v>
      </c>
      <c r="C176" s="13">
        <f>INDEX(Datos!$D$5:$D$204,MATCH(B176,Datos!$C$5:$C$204,0))</f>
        <v>1</v>
      </c>
      <c r="D176" s="7">
        <f t="shared" si="41"/>
        <v>32</v>
      </c>
      <c r="E176" s="6">
        <f t="shared" si="46"/>
        <v>1.9238785651260604</v>
      </c>
      <c r="F176" s="6">
        <f t="shared" si="47"/>
        <v>139.43588591596608</v>
      </c>
      <c r="G176" s="14">
        <f t="shared" si="42"/>
        <v>0.69429084788406226</v>
      </c>
      <c r="H176" s="6">
        <f t="shared" si="43"/>
        <v>8.6297894657186269</v>
      </c>
      <c r="I176" s="6">
        <f t="shared" si="44"/>
        <v>0.16984497384277655</v>
      </c>
      <c r="K176" s="49">
        <f t="shared" si="39"/>
        <v>8.6297894657186269</v>
      </c>
      <c r="L176" s="49">
        <f t="shared" si="40"/>
        <v>0.16984497384277655</v>
      </c>
      <c r="M176" s="15">
        <f t="shared" si="45"/>
        <v>0.16851389326058097</v>
      </c>
    </row>
    <row r="177" spans="1:13" ht="14.5" x14ac:dyDescent="0.35">
      <c r="A177" s="7">
        <v>170</v>
      </c>
      <c r="B177" s="12">
        <f>SMALL(Datos!$C$5:$C$204,A177)</f>
        <v>5633.6</v>
      </c>
      <c r="C177" s="13">
        <f>INDEX(Datos!$D$5:$D$204,MATCH(B177,Datos!$C$5:$C$204,0))</f>
        <v>1</v>
      </c>
      <c r="D177" s="7">
        <f t="shared" si="41"/>
        <v>31</v>
      </c>
      <c r="E177" s="6">
        <f t="shared" si="46"/>
        <v>1.9238785651260599</v>
      </c>
      <c r="F177" s="6">
        <f t="shared" si="47"/>
        <v>141.35976448109216</v>
      </c>
      <c r="G177" s="14">
        <f t="shared" si="42"/>
        <v>0.70389104032481109</v>
      </c>
      <c r="H177" s="6">
        <f t="shared" si="43"/>
        <v>8.6365039484007884</v>
      </c>
      <c r="I177" s="6">
        <f t="shared" si="44"/>
        <v>0.19641164479001394</v>
      </c>
      <c r="K177" s="49">
        <f t="shared" si="39"/>
        <v>8.6365039484007884</v>
      </c>
      <c r="L177" s="49">
        <f t="shared" si="40"/>
        <v>0.19641164479001394</v>
      </c>
      <c r="M177" s="15">
        <f t="shared" si="45"/>
        <v>0.18133305152767321</v>
      </c>
    </row>
    <row r="178" spans="1:13" ht="14.5" x14ac:dyDescent="0.35">
      <c r="A178" s="7">
        <v>171</v>
      </c>
      <c r="B178" s="12">
        <f>SMALL(Datos!$C$5:$C$204,A178)</f>
        <v>5669.4</v>
      </c>
      <c r="C178" s="13">
        <f>INDEX(Datos!$D$5:$D$204,MATCH(B178,Datos!$C$5:$C$204,0))</f>
        <v>1</v>
      </c>
      <c r="D178" s="7">
        <f t="shared" si="41"/>
        <v>30</v>
      </c>
      <c r="E178" s="6">
        <f t="shared" si="46"/>
        <v>1.9238785651260595</v>
      </c>
      <c r="F178" s="6">
        <f t="shared" si="47"/>
        <v>143.2836430462182</v>
      </c>
      <c r="G178" s="14">
        <f t="shared" si="42"/>
        <v>0.71349123276555981</v>
      </c>
      <c r="H178" s="6">
        <f t="shared" si="43"/>
        <v>8.642838571016636</v>
      </c>
      <c r="I178" s="6">
        <f t="shared" si="44"/>
        <v>0.22313246495533115</v>
      </c>
      <c r="K178" s="49">
        <f t="shared" si="39"/>
        <v>8.642838571016636</v>
      </c>
      <c r="L178" s="49">
        <f t="shared" si="40"/>
        <v>0.22313246495533115</v>
      </c>
      <c r="M178" s="15">
        <f t="shared" si="45"/>
        <v>0.1934269884277704</v>
      </c>
    </row>
    <row r="179" spans="1:13" ht="14.5" x14ac:dyDescent="0.35">
      <c r="A179" s="7">
        <v>172</v>
      </c>
      <c r="B179" s="12">
        <f>SMALL(Datos!$C$5:$C$204,A179)</f>
        <v>5693.9</v>
      </c>
      <c r="C179" s="13">
        <f>INDEX(Datos!$D$5:$D$204,MATCH(B179,Datos!$C$5:$C$204,0))</f>
        <v>0</v>
      </c>
      <c r="D179" s="7">
        <f t="shared" si="41"/>
        <v>29</v>
      </c>
      <c r="E179" s="6">
        <f t="shared" si="46"/>
        <v>0</v>
      </c>
      <c r="F179" s="6">
        <f t="shared" si="47"/>
        <v>143.2836430462182</v>
      </c>
      <c r="G179" s="14">
        <f t="shared" si="42"/>
        <v>0</v>
      </c>
      <c r="H179" s="6">
        <f t="shared" si="43"/>
        <v>8.6471507053374328</v>
      </c>
      <c r="I179" s="6">
        <f t="shared" si="44"/>
        <v>0</v>
      </c>
      <c r="K179" s="49" t="e">
        <f t="shared" si="39"/>
        <v>#N/A</v>
      </c>
      <c r="L179" s="49" t="e">
        <f t="shared" si="40"/>
        <v>#N/A</v>
      </c>
      <c r="M179" s="15" t="str">
        <f t="shared" si="45"/>
        <v/>
      </c>
    </row>
    <row r="180" spans="1:13" ht="14.5" x14ac:dyDescent="0.35">
      <c r="A180" s="7">
        <v>173</v>
      </c>
      <c r="B180" s="12">
        <f>SMALL(Datos!$C$5:$C$204,A180)</f>
        <v>5722.6</v>
      </c>
      <c r="C180" s="13">
        <f>INDEX(Datos!$D$5:$D$204,MATCH(B180,Datos!$C$5:$C$204,0))</f>
        <v>1</v>
      </c>
      <c r="D180" s="7">
        <f t="shared" si="41"/>
        <v>28</v>
      </c>
      <c r="E180" s="6">
        <f t="shared" si="46"/>
        <v>1.9902192053028207</v>
      </c>
      <c r="F180" s="6">
        <f t="shared" si="47"/>
        <v>145.27386225152102</v>
      </c>
      <c r="G180" s="14">
        <f t="shared" si="42"/>
        <v>0.7234224663249551</v>
      </c>
      <c r="H180" s="6">
        <f t="shared" si="43"/>
        <v>8.6521785265538984</v>
      </c>
      <c r="I180" s="6">
        <f t="shared" si="44"/>
        <v>0.25096421178937445</v>
      </c>
      <c r="K180" s="49">
        <f t="shared" si="39"/>
        <v>8.6521785265538984</v>
      </c>
      <c r="L180" s="49">
        <f t="shared" si="40"/>
        <v>0.25096421178937445</v>
      </c>
      <c r="M180" s="15">
        <f t="shared" si="45"/>
        <v>0.21125864782840509</v>
      </c>
    </row>
    <row r="181" spans="1:13" ht="14.5" x14ac:dyDescent="0.35">
      <c r="A181" s="7">
        <v>174</v>
      </c>
      <c r="B181" s="12">
        <f>SMALL(Datos!$C$5:$C$204,A181)</f>
        <v>5728.9</v>
      </c>
      <c r="C181" s="13">
        <f>INDEX(Datos!$D$5:$D$204,MATCH(B181,Datos!$C$5:$C$204,0))</f>
        <v>1</v>
      </c>
      <c r="D181" s="7">
        <f t="shared" si="41"/>
        <v>27</v>
      </c>
      <c r="E181" s="6">
        <f t="shared" si="46"/>
        <v>1.9902192053028205</v>
      </c>
      <c r="F181" s="6">
        <f t="shared" si="47"/>
        <v>147.26408145682385</v>
      </c>
      <c r="G181" s="14">
        <f t="shared" si="42"/>
        <v>0.7333536998843504</v>
      </c>
      <c r="H181" s="6">
        <f t="shared" si="43"/>
        <v>8.653278819202999</v>
      </c>
      <c r="I181" s="6">
        <f t="shared" si="44"/>
        <v>0.2790188176906902</v>
      </c>
      <c r="K181" s="49">
        <f t="shared" si="39"/>
        <v>8.653278819202999</v>
      </c>
      <c r="L181" s="49">
        <f t="shared" si="40"/>
        <v>0.2790188176906902</v>
      </c>
      <c r="M181" s="15">
        <f t="shared" si="45"/>
        <v>0.21335930491199662</v>
      </c>
    </row>
    <row r="182" spans="1:13" ht="14.5" x14ac:dyDescent="0.35">
      <c r="A182" s="7">
        <v>175</v>
      </c>
      <c r="B182" s="12">
        <f>SMALL(Datos!$C$5:$C$204,A182)</f>
        <v>5766.2</v>
      </c>
      <c r="C182" s="13">
        <f>INDEX(Datos!$D$5:$D$204,MATCH(B182,Datos!$C$5:$C$204,0))</f>
        <v>1</v>
      </c>
      <c r="D182" s="7">
        <f t="shared" si="41"/>
        <v>26</v>
      </c>
      <c r="E182" s="6">
        <f t="shared" si="46"/>
        <v>1.9902192053028205</v>
      </c>
      <c r="F182" s="6">
        <f t="shared" si="47"/>
        <v>149.25430066212667</v>
      </c>
      <c r="G182" s="14">
        <f t="shared" si="42"/>
        <v>0.7432849334437458</v>
      </c>
      <c r="H182" s="6">
        <f t="shared" si="43"/>
        <v>8.6597685636876758</v>
      </c>
      <c r="I182" s="6">
        <f t="shared" si="44"/>
        <v>0.30732917264057058</v>
      </c>
      <c r="K182" s="49">
        <f t="shared" si="39"/>
        <v>8.6597685636876758</v>
      </c>
      <c r="L182" s="49">
        <f t="shared" si="40"/>
        <v>0.30732917264057058</v>
      </c>
      <c r="M182" s="15">
        <f t="shared" si="45"/>
        <v>0.22574939743291367</v>
      </c>
    </row>
    <row r="183" spans="1:13" ht="14.5" x14ac:dyDescent="0.35">
      <c r="A183" s="7">
        <v>176</v>
      </c>
      <c r="B183" s="12">
        <f>SMALL(Datos!$C$5:$C$204,A183)</f>
        <v>5793.4</v>
      </c>
      <c r="C183" s="13">
        <f>INDEX(Datos!$D$5:$D$204,MATCH(B183,Datos!$C$5:$C$204,0))</f>
        <v>0</v>
      </c>
      <c r="D183" s="7">
        <f t="shared" si="41"/>
        <v>25</v>
      </c>
      <c r="E183" s="6">
        <f t="shared" si="46"/>
        <v>0</v>
      </c>
      <c r="F183" s="6">
        <f t="shared" si="47"/>
        <v>149.25430066212667</v>
      </c>
      <c r="G183" s="14">
        <f t="shared" si="42"/>
        <v>0</v>
      </c>
      <c r="H183" s="6">
        <f t="shared" si="43"/>
        <v>8.6644746175649239</v>
      </c>
      <c r="I183" s="6">
        <f t="shared" si="44"/>
        <v>0</v>
      </c>
      <c r="K183" s="49" t="e">
        <f t="shared" si="39"/>
        <v>#N/A</v>
      </c>
      <c r="L183" s="49" t="e">
        <f t="shared" si="40"/>
        <v>#N/A</v>
      </c>
      <c r="M183" s="15" t="str">
        <f t="shared" si="45"/>
        <v/>
      </c>
    </row>
    <row r="184" spans="1:13" ht="14.5" x14ac:dyDescent="0.35">
      <c r="A184" s="7">
        <v>177</v>
      </c>
      <c r="B184" s="12">
        <f>SMALL(Datos!$C$5:$C$204,A184)</f>
        <v>5854</v>
      </c>
      <c r="C184" s="13">
        <f>INDEX(Datos!$D$5:$D$204,MATCH(B184,Datos!$C$5:$C$204,0))</f>
        <v>1</v>
      </c>
      <c r="D184" s="7">
        <f t="shared" si="41"/>
        <v>24</v>
      </c>
      <c r="E184" s="6">
        <f t="shared" si="46"/>
        <v>2.0698279735149332</v>
      </c>
      <c r="F184" s="6">
        <f t="shared" si="47"/>
        <v>151.32412863564161</v>
      </c>
      <c r="G184" s="14">
        <f t="shared" si="42"/>
        <v>0.75361341634551693</v>
      </c>
      <c r="H184" s="6">
        <f t="shared" si="43"/>
        <v>8.6748804672518318</v>
      </c>
      <c r="I184" s="6">
        <f t="shared" si="44"/>
        <v>0.33708169247911829</v>
      </c>
      <c r="K184" s="49">
        <f t="shared" si="39"/>
        <v>8.6748804672518318</v>
      </c>
      <c r="L184" s="49">
        <f t="shared" si="40"/>
        <v>0.33708169247911829</v>
      </c>
      <c r="M184" s="15">
        <f t="shared" si="45"/>
        <v>0.25460074647587305</v>
      </c>
    </row>
    <row r="185" spans="1:13" ht="14.5" x14ac:dyDescent="0.35">
      <c r="A185" s="7">
        <v>178</v>
      </c>
      <c r="B185" s="12">
        <f>SMALL(Datos!$C$5:$C$204,A185)</f>
        <v>5855.8</v>
      </c>
      <c r="C185" s="13">
        <f>INDEX(Datos!$D$5:$D$204,MATCH(B185,Datos!$C$5:$C$204,0))</f>
        <v>1</v>
      </c>
      <c r="D185" s="7">
        <f t="shared" si="41"/>
        <v>23</v>
      </c>
      <c r="E185" s="6">
        <f t="shared" si="46"/>
        <v>2.0698279735149328</v>
      </c>
      <c r="F185" s="6">
        <f t="shared" si="47"/>
        <v>153.39395660915653</v>
      </c>
      <c r="G185" s="14">
        <f t="shared" si="42"/>
        <v>0.76394189924728806</v>
      </c>
      <c r="H185" s="6">
        <f t="shared" si="43"/>
        <v>8.6751879020524552</v>
      </c>
      <c r="I185" s="6">
        <f t="shared" si="44"/>
        <v>0.36719354917288943</v>
      </c>
      <c r="K185" s="49">
        <f t="shared" si="39"/>
        <v>8.6751879020524552</v>
      </c>
      <c r="L185" s="49">
        <f t="shared" si="40"/>
        <v>0.36719354917288943</v>
      </c>
      <c r="M185" s="15">
        <f t="shared" si="45"/>
        <v>0.25518769495017324</v>
      </c>
    </row>
    <row r="186" spans="1:13" ht="14.5" x14ac:dyDescent="0.35">
      <c r="A186" s="7">
        <v>179</v>
      </c>
      <c r="B186" s="12">
        <f>SMALL(Datos!$C$5:$C$204,A186)</f>
        <v>5960.9</v>
      </c>
      <c r="C186" s="13">
        <f>INDEX(Datos!$D$5:$D$204,MATCH(B186,Datos!$C$5:$C$204,0))</f>
        <v>1</v>
      </c>
      <c r="D186" s="7">
        <f t="shared" si="41"/>
        <v>22</v>
      </c>
      <c r="E186" s="6">
        <f t="shared" si="46"/>
        <v>2.0698279735149332</v>
      </c>
      <c r="F186" s="6">
        <f t="shared" si="47"/>
        <v>155.46378458267148</v>
      </c>
      <c r="G186" s="14">
        <f t="shared" si="42"/>
        <v>0.77427038214905919</v>
      </c>
      <c r="H186" s="6">
        <f t="shared" si="43"/>
        <v>8.6929767553704398</v>
      </c>
      <c r="I186" s="6">
        <f t="shared" si="44"/>
        <v>0.39771339246630039</v>
      </c>
      <c r="K186" s="49">
        <f t="shared" si="39"/>
        <v>8.6929767553704398</v>
      </c>
      <c r="L186" s="49">
        <f t="shared" si="40"/>
        <v>0.39771339246630039</v>
      </c>
      <c r="M186" s="15">
        <f t="shared" si="45"/>
        <v>0.28914982380920762</v>
      </c>
    </row>
    <row r="187" spans="1:13" ht="14.5" x14ac:dyDescent="0.35">
      <c r="A187" s="7">
        <v>180</v>
      </c>
      <c r="B187" s="12">
        <f>SMALL(Datos!$C$5:$C$204,A187)</f>
        <v>6036.1</v>
      </c>
      <c r="C187" s="13">
        <f>INDEX(Datos!$D$5:$D$204,MATCH(B187,Datos!$C$5:$C$204,0))</f>
        <v>1</v>
      </c>
      <c r="D187" s="7">
        <f t="shared" si="41"/>
        <v>21</v>
      </c>
      <c r="E187" s="6">
        <f t="shared" si="46"/>
        <v>2.0698279735149328</v>
      </c>
      <c r="F187" s="6">
        <f t="shared" si="47"/>
        <v>157.53361255618643</v>
      </c>
      <c r="G187" s="14">
        <f t="shared" si="42"/>
        <v>0.78459886505083043</v>
      </c>
      <c r="H187" s="6">
        <f t="shared" si="43"/>
        <v>8.7055133870135926</v>
      </c>
      <c r="I187" s="6">
        <f t="shared" si="44"/>
        <v>0.4286953480458382</v>
      </c>
      <c r="K187" s="49">
        <f t="shared" si="39"/>
        <v>8.7055133870135926</v>
      </c>
      <c r="L187" s="49">
        <f t="shared" si="40"/>
        <v>0.4286953480458382</v>
      </c>
      <c r="M187" s="15">
        <f t="shared" si="45"/>
        <v>0.31308451435458551</v>
      </c>
    </row>
    <row r="188" spans="1:13" ht="14.5" x14ac:dyDescent="0.35">
      <c r="A188" s="7">
        <v>181</v>
      </c>
      <c r="B188" s="12">
        <f>SMALL(Datos!$C$5:$C$204,A188)</f>
        <v>6049.4</v>
      </c>
      <c r="C188" s="13">
        <f>INDEX(Datos!$D$5:$D$204,MATCH(B188,Datos!$C$5:$C$204,0))</f>
        <v>1</v>
      </c>
      <c r="D188" s="7">
        <f t="shared" si="41"/>
        <v>20</v>
      </c>
      <c r="E188" s="6">
        <f t="shared" si="46"/>
        <v>2.0698279735149319</v>
      </c>
      <c r="F188" s="6">
        <f t="shared" si="47"/>
        <v>159.60344052970134</v>
      </c>
      <c r="G188" s="14">
        <f t="shared" si="42"/>
        <v>0.79492734795260145</v>
      </c>
      <c r="H188" s="6">
        <f t="shared" si="43"/>
        <v>8.7077143725531467</v>
      </c>
      <c r="I188" s="6">
        <f t="shared" si="44"/>
        <v>0.46020008263262085</v>
      </c>
      <c r="K188" s="49">
        <f t="shared" si="39"/>
        <v>8.7077143725531467</v>
      </c>
      <c r="L188" s="49">
        <f t="shared" si="40"/>
        <v>0.46020008263262085</v>
      </c>
      <c r="M188" s="15">
        <f t="shared" si="45"/>
        <v>0.31728659265468551</v>
      </c>
    </row>
    <row r="189" spans="1:13" ht="14.5" x14ac:dyDescent="0.35">
      <c r="A189" s="7">
        <v>182</v>
      </c>
      <c r="B189" s="12">
        <f>SMALL(Datos!$C$5:$C$204,A189)</f>
        <v>6133</v>
      </c>
      <c r="C189" s="13">
        <f>INDEX(Datos!$D$5:$D$204,MATCH(B189,Datos!$C$5:$C$204,0))</f>
        <v>0</v>
      </c>
      <c r="D189" s="7">
        <f t="shared" si="41"/>
        <v>19</v>
      </c>
      <c r="E189" s="6">
        <f t="shared" si="46"/>
        <v>0</v>
      </c>
      <c r="F189" s="6">
        <f t="shared" si="47"/>
        <v>159.60344052970134</v>
      </c>
      <c r="G189" s="14">
        <f t="shared" si="42"/>
        <v>0</v>
      </c>
      <c r="H189" s="6">
        <f t="shared" si="43"/>
        <v>8.7214393056259834</v>
      </c>
      <c r="I189" s="6">
        <f t="shared" si="44"/>
        <v>0</v>
      </c>
      <c r="K189" s="49" t="e">
        <f t="shared" si="39"/>
        <v>#N/A</v>
      </c>
      <c r="L189" s="49" t="e">
        <f t="shared" si="40"/>
        <v>#N/A</v>
      </c>
      <c r="M189" s="15" t="str">
        <f t="shared" si="45"/>
        <v/>
      </c>
    </row>
    <row r="190" spans="1:13" ht="14.5" x14ac:dyDescent="0.35">
      <c r="A190" s="7">
        <v>183</v>
      </c>
      <c r="B190" s="12">
        <f>SMALL(Datos!$C$5:$C$204,A190)</f>
        <v>6198.9</v>
      </c>
      <c r="C190" s="13">
        <f>INDEX(Datos!$D$5:$D$204,MATCH(B190,Datos!$C$5:$C$204,0))</f>
        <v>0</v>
      </c>
      <c r="D190" s="7">
        <f t="shared" si="41"/>
        <v>18</v>
      </c>
      <c r="E190" s="6">
        <f t="shared" si="46"/>
        <v>0</v>
      </c>
      <c r="F190" s="6">
        <f t="shared" si="47"/>
        <v>159.60344052970134</v>
      </c>
      <c r="G190" s="14">
        <f t="shared" si="42"/>
        <v>0</v>
      </c>
      <c r="H190" s="6">
        <f t="shared" si="43"/>
        <v>8.7321271359376684</v>
      </c>
      <c r="I190" s="6">
        <f t="shared" si="44"/>
        <v>0</v>
      </c>
      <c r="K190" s="49" t="e">
        <f t="shared" si="39"/>
        <v>#N/A</v>
      </c>
      <c r="L190" s="49" t="e">
        <f t="shared" si="40"/>
        <v>#N/A</v>
      </c>
      <c r="M190" s="15" t="str">
        <f t="shared" si="45"/>
        <v/>
      </c>
    </row>
    <row r="191" spans="1:13" ht="14.5" x14ac:dyDescent="0.35">
      <c r="A191" s="7">
        <v>184</v>
      </c>
      <c r="B191" s="12">
        <f>SMALL(Datos!$C$5:$C$204,A191)</f>
        <v>6264.4</v>
      </c>
      <c r="C191" s="13">
        <f>INDEX(Datos!$D$5:$D$204,MATCH(B191,Datos!$C$5:$C$204,0))</f>
        <v>0</v>
      </c>
      <c r="D191" s="7">
        <f t="shared" si="41"/>
        <v>17</v>
      </c>
      <c r="E191" s="6">
        <f t="shared" si="46"/>
        <v>0</v>
      </c>
      <c r="F191" s="6">
        <f t="shared" si="47"/>
        <v>159.60344052970134</v>
      </c>
      <c r="G191" s="14">
        <f t="shared" si="42"/>
        <v>0</v>
      </c>
      <c r="H191" s="6">
        <f t="shared" si="43"/>
        <v>8.7426380925922782</v>
      </c>
      <c r="I191" s="6">
        <f t="shared" si="44"/>
        <v>0</v>
      </c>
      <c r="K191" s="49" t="e">
        <f t="shared" si="39"/>
        <v>#N/A</v>
      </c>
      <c r="L191" s="49" t="e">
        <f t="shared" si="40"/>
        <v>#N/A</v>
      </c>
      <c r="M191" s="15" t="str">
        <f t="shared" si="45"/>
        <v/>
      </c>
    </row>
    <row r="192" spans="1:13" ht="14.5" x14ac:dyDescent="0.35">
      <c r="A192" s="7">
        <v>185</v>
      </c>
      <c r="B192" s="12">
        <f>SMALL(Datos!$C$5:$C$204,A192)</f>
        <v>6276.6</v>
      </c>
      <c r="C192" s="13">
        <f>INDEX(Datos!$D$5:$D$204,MATCH(B192,Datos!$C$5:$C$204,0))</f>
        <v>1</v>
      </c>
      <c r="D192" s="7">
        <f t="shared" si="41"/>
        <v>16</v>
      </c>
      <c r="E192" s="6">
        <f t="shared" si="46"/>
        <v>2.4350917335469795</v>
      </c>
      <c r="F192" s="6">
        <f t="shared" si="47"/>
        <v>162.03853226324833</v>
      </c>
      <c r="G192" s="14">
        <f t="shared" si="42"/>
        <v>0.80707850430762629</v>
      </c>
      <c r="H192" s="6">
        <f t="shared" si="43"/>
        <v>8.7445837115777696</v>
      </c>
      <c r="I192" s="6">
        <f t="shared" si="44"/>
        <v>0.49802723115571057</v>
      </c>
      <c r="K192" s="49">
        <f t="shared" si="39"/>
        <v>8.7445837115777696</v>
      </c>
      <c r="L192" s="49">
        <f t="shared" si="40"/>
        <v>0.49802723115571057</v>
      </c>
      <c r="M192" s="15">
        <f t="shared" si="45"/>
        <v>0.38767680952357253</v>
      </c>
    </row>
    <row r="193" spans="1:13" ht="14.5" x14ac:dyDescent="0.35">
      <c r="A193" s="7">
        <v>186</v>
      </c>
      <c r="B193" s="12">
        <f>SMALL(Datos!$C$5:$C$204,A193)</f>
        <v>6280.4</v>
      </c>
      <c r="C193" s="13">
        <f>INDEX(Datos!$D$5:$D$204,MATCH(B193,Datos!$C$5:$C$204,0))</f>
        <v>1</v>
      </c>
      <c r="D193" s="7">
        <f t="shared" si="41"/>
        <v>15</v>
      </c>
      <c r="E193" s="6">
        <f t="shared" si="46"/>
        <v>2.4350917335469795</v>
      </c>
      <c r="F193" s="6">
        <f t="shared" si="47"/>
        <v>164.47362399679531</v>
      </c>
      <c r="G193" s="14">
        <f t="shared" si="42"/>
        <v>0.81922966066265113</v>
      </c>
      <c r="H193" s="6">
        <f t="shared" si="43"/>
        <v>8.7451889517013672</v>
      </c>
      <c r="I193" s="6">
        <f t="shared" si="44"/>
        <v>0.53680203446347041</v>
      </c>
      <c r="K193" s="49">
        <f t="shared" si="39"/>
        <v>8.7451889517013672</v>
      </c>
      <c r="L193" s="49">
        <f t="shared" si="40"/>
        <v>0.53680203446347041</v>
      </c>
      <c r="M193" s="15">
        <f t="shared" si="45"/>
        <v>0.38883232206285001</v>
      </c>
    </row>
    <row r="194" spans="1:13" ht="14.5" x14ac:dyDescent="0.35">
      <c r="A194" s="7">
        <v>187</v>
      </c>
      <c r="B194" s="12">
        <f>SMALL(Datos!$C$5:$C$204,A194)</f>
        <v>6618.6</v>
      </c>
      <c r="C194" s="13">
        <f>INDEX(Datos!$D$5:$D$204,MATCH(B194,Datos!$C$5:$C$204,0))</f>
        <v>0</v>
      </c>
      <c r="D194" s="7">
        <f t="shared" si="41"/>
        <v>14</v>
      </c>
      <c r="E194" s="6">
        <f t="shared" si="46"/>
        <v>0</v>
      </c>
      <c r="F194" s="6">
        <f t="shared" si="47"/>
        <v>164.47362399679531</v>
      </c>
      <c r="G194" s="14">
        <f t="shared" si="42"/>
        <v>0</v>
      </c>
      <c r="H194" s="6">
        <f t="shared" si="43"/>
        <v>8.7976391462033909</v>
      </c>
      <c r="I194" s="6">
        <f t="shared" si="44"/>
        <v>0</v>
      </c>
      <c r="K194" s="49" t="e">
        <f t="shared" si="39"/>
        <v>#N/A</v>
      </c>
      <c r="L194" s="49" t="e">
        <f t="shared" si="40"/>
        <v>#N/A</v>
      </c>
      <c r="M194" s="15" t="str">
        <f t="shared" si="45"/>
        <v/>
      </c>
    </row>
    <row r="195" spans="1:13" ht="14.5" x14ac:dyDescent="0.35">
      <c r="A195" s="7">
        <v>188</v>
      </c>
      <c r="B195" s="12">
        <f>SMALL(Datos!$C$5:$C$204,A195)</f>
        <v>6816.2</v>
      </c>
      <c r="C195" s="13">
        <f>INDEX(Datos!$D$5:$D$204,MATCH(B195,Datos!$C$5:$C$204,0))</f>
        <v>1</v>
      </c>
      <c r="D195" s="7">
        <f t="shared" si="41"/>
        <v>13</v>
      </c>
      <c r="E195" s="6">
        <f t="shared" si="46"/>
        <v>2.6090268573717634</v>
      </c>
      <c r="F195" s="6">
        <f t="shared" si="47"/>
        <v>167.08265085416707</v>
      </c>
      <c r="G195" s="14">
        <f t="shared" si="42"/>
        <v>0.83224875675732068</v>
      </c>
      <c r="H195" s="6">
        <f t="shared" si="43"/>
        <v>8.8270574108016664</v>
      </c>
      <c r="I195" s="6">
        <f t="shared" si="44"/>
        <v>0.57957139617651965</v>
      </c>
      <c r="K195" s="49">
        <f t="shared" si="39"/>
        <v>8.8270574108016664</v>
      </c>
      <c r="L195" s="49">
        <f t="shared" si="40"/>
        <v>0.57957139617651965</v>
      </c>
      <c r="M195" s="15">
        <f t="shared" si="45"/>
        <v>0.5451339738755685</v>
      </c>
    </row>
    <row r="196" spans="1:13" ht="14.5" x14ac:dyDescent="0.35">
      <c r="A196" s="7">
        <v>189</v>
      </c>
      <c r="B196" s="12">
        <f>SMALL(Datos!$C$5:$C$204,A196)</f>
        <v>7132.8</v>
      </c>
      <c r="C196" s="13">
        <f>INDEX(Datos!$D$5:$D$204,MATCH(B196,Datos!$C$5:$C$204,0))</f>
        <v>1</v>
      </c>
      <c r="D196" s="7">
        <f t="shared" si="41"/>
        <v>12</v>
      </c>
      <c r="E196" s="6">
        <f t="shared" si="46"/>
        <v>2.6090268573717639</v>
      </c>
      <c r="F196" s="6">
        <f t="shared" si="47"/>
        <v>169.69167771153883</v>
      </c>
      <c r="G196" s="14">
        <f t="shared" si="42"/>
        <v>0.84526785285199013</v>
      </c>
      <c r="H196" s="6">
        <f t="shared" si="43"/>
        <v>8.8724591431915503</v>
      </c>
      <c r="I196" s="6">
        <f t="shared" si="44"/>
        <v>0.6238291168305018</v>
      </c>
      <c r="K196" s="49">
        <f t="shared" si="39"/>
        <v>8.8724591431915503</v>
      </c>
      <c r="L196" s="49">
        <f t="shared" si="40"/>
        <v>0.6238291168305018</v>
      </c>
      <c r="M196" s="15">
        <f t="shared" si="45"/>
        <v>0.6318140683305522</v>
      </c>
    </row>
    <row r="197" spans="1:13" ht="14.5" x14ac:dyDescent="0.35">
      <c r="A197" s="7">
        <v>190</v>
      </c>
      <c r="B197" s="12">
        <f>SMALL(Datos!$C$5:$C$204,A197)</f>
        <v>7267</v>
      </c>
      <c r="C197" s="13">
        <f>INDEX(Datos!$D$5:$D$204,MATCH(B197,Datos!$C$5:$C$204,0))</f>
        <v>1</v>
      </c>
      <c r="D197" s="7">
        <f t="shared" si="41"/>
        <v>11</v>
      </c>
      <c r="E197" s="6">
        <f t="shared" si="46"/>
        <v>2.6090268573717643</v>
      </c>
      <c r="F197" s="6">
        <f t="shared" si="47"/>
        <v>172.30070456891059</v>
      </c>
      <c r="G197" s="14">
        <f t="shared" si="42"/>
        <v>0.85828694894665958</v>
      </c>
      <c r="H197" s="6">
        <f t="shared" si="43"/>
        <v>8.8910988306166363</v>
      </c>
      <c r="I197" s="6">
        <f t="shared" si="44"/>
        <v>0.66985349348865031</v>
      </c>
      <c r="K197" s="49">
        <f t="shared" si="39"/>
        <v>8.8910988306166363</v>
      </c>
      <c r="L197" s="49">
        <f t="shared" si="40"/>
        <v>0.66985349348865031</v>
      </c>
      <c r="M197" s="15">
        <f t="shared" si="45"/>
        <v>0.66740059293148946</v>
      </c>
    </row>
    <row r="198" spans="1:13" ht="14.5" x14ac:dyDescent="0.35">
      <c r="A198" s="7">
        <v>191</v>
      </c>
      <c r="B198" s="12">
        <f>SMALL(Datos!$C$5:$C$204,A198)</f>
        <v>7354.4</v>
      </c>
      <c r="C198" s="13">
        <f>INDEX(Datos!$D$5:$D$204,MATCH(B198,Datos!$C$5:$C$204,0))</f>
        <v>1</v>
      </c>
      <c r="D198" s="7">
        <f t="shared" si="41"/>
        <v>10</v>
      </c>
      <c r="E198" s="6">
        <f t="shared" si="46"/>
        <v>2.6090268573717648</v>
      </c>
      <c r="F198" s="6">
        <f t="shared" si="47"/>
        <v>174.90973142628235</v>
      </c>
      <c r="G198" s="14">
        <f t="shared" si="42"/>
        <v>0.87130604504132902</v>
      </c>
      <c r="H198" s="6">
        <f t="shared" si="43"/>
        <v>8.9030540525495443</v>
      </c>
      <c r="I198" s="6">
        <f t="shared" si="44"/>
        <v>0.71799496915930128</v>
      </c>
      <c r="K198" s="49">
        <f t="shared" si="39"/>
        <v>8.9030540525495443</v>
      </c>
      <c r="L198" s="49">
        <f t="shared" si="40"/>
        <v>0.71799496915930128</v>
      </c>
      <c r="M198" s="15">
        <f t="shared" si="45"/>
        <v>0.69022526749403212</v>
      </c>
    </row>
    <row r="199" spans="1:13" ht="14.5" x14ac:dyDescent="0.35">
      <c r="A199" s="7">
        <v>192</v>
      </c>
      <c r="B199" s="12">
        <f>SMALL(Datos!$C$5:$C$204,A199)</f>
        <v>7492.8</v>
      </c>
      <c r="C199" s="13">
        <f>INDEX(Datos!$D$5:$D$204,MATCH(B199,Datos!$C$5:$C$204,0))</f>
        <v>0</v>
      </c>
      <c r="D199" s="7">
        <f t="shared" si="41"/>
        <v>9</v>
      </c>
      <c r="E199" s="6">
        <f t="shared" si="46"/>
        <v>0</v>
      </c>
      <c r="F199" s="6">
        <f t="shared" si="47"/>
        <v>174.90973142628235</v>
      </c>
      <c r="G199" s="14">
        <f t="shared" si="42"/>
        <v>0</v>
      </c>
      <c r="H199" s="6">
        <f t="shared" si="43"/>
        <v>8.921697838429278</v>
      </c>
      <c r="I199" s="6">
        <f t="shared" si="44"/>
        <v>0</v>
      </c>
      <c r="K199" s="49" t="e">
        <f t="shared" si="39"/>
        <v>#N/A</v>
      </c>
      <c r="L199" s="49" t="e">
        <f t="shared" si="40"/>
        <v>#N/A</v>
      </c>
      <c r="M199" s="15" t="str">
        <f t="shared" si="45"/>
        <v/>
      </c>
    </row>
    <row r="200" spans="1:13" ht="14.5" x14ac:dyDescent="0.35">
      <c r="A200" s="7">
        <v>193</v>
      </c>
      <c r="B200" s="12">
        <f>SMALL(Datos!$C$5:$C$204,A200)</f>
        <v>7523.3</v>
      </c>
      <c r="C200" s="13">
        <f>INDEX(Datos!$D$5:$D$204,MATCH(B200,Datos!$C$5:$C$204,0))</f>
        <v>0</v>
      </c>
      <c r="D200" s="7">
        <f t="shared" ref="D200:D207" si="48">$B$4-A200+1</f>
        <v>8</v>
      </c>
      <c r="E200" s="6">
        <f t="shared" si="46"/>
        <v>0</v>
      </c>
      <c r="F200" s="6">
        <f t="shared" si="47"/>
        <v>174.90973142628235</v>
      </c>
      <c r="G200" s="14">
        <f t="shared" ref="G200:G207" si="49">IF(C200=1,(F200-0.3)/($B$4+0.4),0)</f>
        <v>0</v>
      </c>
      <c r="H200" s="6">
        <f t="shared" ref="H200:H207" si="50">LN(B200)</f>
        <v>8.9257601504734883</v>
      </c>
      <c r="I200" s="6">
        <f t="shared" ref="I200:I207" si="51">IF(C200=1,LN(-LN(1-G200)),0)</f>
        <v>0</v>
      </c>
      <c r="K200" s="49" t="e">
        <f t="shared" si="39"/>
        <v>#N/A</v>
      </c>
      <c r="L200" s="49" t="e">
        <f t="shared" si="40"/>
        <v>#N/A</v>
      </c>
      <c r="M200" s="15" t="str">
        <f t="shared" ref="M200:M207" si="52">IF(C200=1,$P$12*H200+$P$13,"")</f>
        <v/>
      </c>
    </row>
    <row r="201" spans="1:13" ht="14.5" x14ac:dyDescent="0.35">
      <c r="A201" s="7">
        <v>194</v>
      </c>
      <c r="B201" s="12">
        <f>SMALL(Datos!$C$5:$C$204,A201)</f>
        <v>7613.7</v>
      </c>
      <c r="C201" s="13">
        <f>INDEX(Datos!$D$5:$D$204,MATCH(B201,Datos!$C$5:$C$204,0))</f>
        <v>0</v>
      </c>
      <c r="D201" s="7">
        <f t="shared" si="48"/>
        <v>7</v>
      </c>
      <c r="E201" s="6">
        <f t="shared" ref="E201:E207" si="53">IF(C201=1,($B$4+1-F200)/(1+D201),0)</f>
        <v>0</v>
      </c>
      <c r="F201" s="6">
        <f t="shared" ref="F201:F207" si="54">F200+E201</f>
        <v>174.90973142628235</v>
      </c>
      <c r="G201" s="14">
        <f t="shared" si="49"/>
        <v>0</v>
      </c>
      <c r="H201" s="6">
        <f t="shared" si="50"/>
        <v>8.9377045350629682</v>
      </c>
      <c r="I201" s="6">
        <f t="shared" si="51"/>
        <v>0</v>
      </c>
      <c r="K201" s="49" t="e">
        <f t="shared" ref="K201:K207" si="55">IF(C201=1,H201,NA())</f>
        <v>#N/A</v>
      </c>
      <c r="L201" s="49" t="e">
        <f t="shared" ref="L201:L207" si="56">IF(C201=1,I201,NA())</f>
        <v>#N/A</v>
      </c>
      <c r="M201" s="15" t="str">
        <f t="shared" si="52"/>
        <v/>
      </c>
    </row>
    <row r="202" spans="1:13" ht="14.5" x14ac:dyDescent="0.35">
      <c r="A202" s="7">
        <v>195</v>
      </c>
      <c r="B202" s="12">
        <f>SMALL(Datos!$C$5:$C$204,A202)</f>
        <v>7937.4</v>
      </c>
      <c r="C202" s="13">
        <f>INDEX(Datos!$D$5:$D$204,MATCH(B202,Datos!$C$5:$C$204,0))</f>
        <v>1</v>
      </c>
      <c r="D202" s="7">
        <f t="shared" si="48"/>
        <v>6</v>
      </c>
      <c r="E202" s="6">
        <f t="shared" si="53"/>
        <v>3.7271812248168072</v>
      </c>
      <c r="F202" s="6">
        <f t="shared" si="54"/>
        <v>178.63691265109915</v>
      </c>
      <c r="G202" s="14">
        <f t="shared" si="49"/>
        <v>0.88990475374799971</v>
      </c>
      <c r="H202" s="6">
        <f t="shared" si="50"/>
        <v>8.9793410446963886</v>
      </c>
      <c r="I202" s="6">
        <f t="shared" si="51"/>
        <v>0.79136649419403704</v>
      </c>
      <c r="K202" s="49">
        <f t="shared" si="55"/>
        <v>8.9793410446963886</v>
      </c>
      <c r="L202" s="49">
        <f t="shared" si="56"/>
        <v>0.79136649419403704</v>
      </c>
      <c r="M202" s="15">
        <f t="shared" si="52"/>
        <v>0.83587089238319123</v>
      </c>
    </row>
    <row r="203" spans="1:13" ht="14.5" x14ac:dyDescent="0.35">
      <c r="A203" s="7">
        <v>196</v>
      </c>
      <c r="B203" s="12">
        <f>SMALL(Datos!$C$5:$C$204,A203)</f>
        <v>8053.9</v>
      </c>
      <c r="C203" s="13">
        <f>INDEX(Datos!$D$5:$D$204,MATCH(B203,Datos!$C$5:$C$204,0))</f>
        <v>0</v>
      </c>
      <c r="D203" s="7">
        <f t="shared" si="48"/>
        <v>5</v>
      </c>
      <c r="E203" s="6">
        <f t="shared" si="53"/>
        <v>0</v>
      </c>
      <c r="F203" s="6">
        <f t="shared" si="54"/>
        <v>178.63691265109915</v>
      </c>
      <c r="G203" s="14">
        <f t="shared" si="49"/>
        <v>0</v>
      </c>
      <c r="H203" s="6">
        <f t="shared" si="50"/>
        <v>8.9939117251436045</v>
      </c>
      <c r="I203" s="6">
        <f t="shared" si="51"/>
        <v>0</v>
      </c>
      <c r="K203" s="49" t="e">
        <f t="shared" si="55"/>
        <v>#N/A</v>
      </c>
      <c r="L203" s="49" t="e">
        <f t="shared" si="56"/>
        <v>#N/A</v>
      </c>
      <c r="M203" s="15" t="str">
        <f t="shared" si="52"/>
        <v/>
      </c>
    </row>
    <row r="204" spans="1:13" ht="14.5" x14ac:dyDescent="0.35">
      <c r="A204" s="7">
        <v>197</v>
      </c>
      <c r="B204" s="12">
        <f>SMALL(Datos!$C$5:$C$204,A204)</f>
        <v>8102.4</v>
      </c>
      <c r="C204" s="13">
        <f>INDEX(Datos!$D$5:$D$204,MATCH(B204,Datos!$C$5:$C$204,0))</f>
        <v>1</v>
      </c>
      <c r="D204" s="7">
        <f t="shared" si="48"/>
        <v>4</v>
      </c>
      <c r="E204" s="6">
        <f t="shared" si="53"/>
        <v>4.4726174697801699</v>
      </c>
      <c r="F204" s="6">
        <f t="shared" si="54"/>
        <v>183.10953012087933</v>
      </c>
      <c r="G204" s="14">
        <f t="shared" si="49"/>
        <v>0.91222320419600456</v>
      </c>
      <c r="H204" s="6">
        <f t="shared" si="50"/>
        <v>8.9999155930697476</v>
      </c>
      <c r="I204" s="6">
        <f t="shared" si="51"/>
        <v>0.88910784127862519</v>
      </c>
      <c r="K204" s="49">
        <f t="shared" si="55"/>
        <v>8.9999155930697476</v>
      </c>
      <c r="L204" s="49">
        <f t="shared" si="56"/>
        <v>0.88910784127862519</v>
      </c>
      <c r="M204" s="15">
        <f t="shared" si="52"/>
        <v>0.87515141544906072</v>
      </c>
    </row>
    <row r="205" spans="1:13" ht="14.5" x14ac:dyDescent="0.35">
      <c r="A205" s="7">
        <v>198</v>
      </c>
      <c r="B205" s="12">
        <f>SMALL(Datos!$C$5:$C$204,A205)</f>
        <v>8605.7999999999993</v>
      </c>
      <c r="C205" s="13">
        <f>INDEX(Datos!$D$5:$D$204,MATCH(B205,Datos!$C$5:$C$204,0))</f>
        <v>0</v>
      </c>
      <c r="D205" s="7">
        <f t="shared" si="48"/>
        <v>3</v>
      </c>
      <c r="E205" s="6">
        <f t="shared" si="53"/>
        <v>0</v>
      </c>
      <c r="F205" s="6">
        <f t="shared" si="54"/>
        <v>183.10953012087933</v>
      </c>
      <c r="G205" s="14">
        <f t="shared" si="49"/>
        <v>0</v>
      </c>
      <c r="H205" s="6">
        <f t="shared" si="50"/>
        <v>9.0601916735282231</v>
      </c>
      <c r="I205" s="6">
        <f t="shared" si="51"/>
        <v>0</v>
      </c>
      <c r="K205" s="49" t="e">
        <f t="shared" si="55"/>
        <v>#N/A</v>
      </c>
      <c r="L205" s="49" t="e">
        <f t="shared" si="56"/>
        <v>#N/A</v>
      </c>
      <c r="M205" s="15" t="str">
        <f t="shared" si="52"/>
        <v/>
      </c>
    </row>
    <row r="206" spans="1:13" ht="14.5" x14ac:dyDescent="0.35">
      <c r="A206" s="7">
        <v>199</v>
      </c>
      <c r="B206" s="12">
        <f>SMALL(Datos!$C$5:$C$204,A206)</f>
        <v>8811.7000000000007</v>
      </c>
      <c r="C206" s="13">
        <f>INDEX(Datos!$D$5:$D$204,MATCH(B206,Datos!$C$5:$C$204,0))</f>
        <v>0</v>
      </c>
      <c r="D206" s="7">
        <f t="shared" si="48"/>
        <v>2</v>
      </c>
      <c r="E206" s="6">
        <f t="shared" si="53"/>
        <v>0</v>
      </c>
      <c r="F206" s="6">
        <f t="shared" si="54"/>
        <v>183.10953012087933</v>
      </c>
      <c r="G206" s="14">
        <f t="shared" si="49"/>
        <v>0</v>
      </c>
      <c r="H206" s="6">
        <f t="shared" si="50"/>
        <v>9.0838356628579131</v>
      </c>
      <c r="I206" s="6">
        <f t="shared" si="51"/>
        <v>0</v>
      </c>
      <c r="K206" s="49" t="e">
        <f t="shared" si="55"/>
        <v>#N/A</v>
      </c>
      <c r="L206" s="49" t="e">
        <f t="shared" si="56"/>
        <v>#N/A</v>
      </c>
      <c r="M206" s="15" t="str">
        <f t="shared" si="52"/>
        <v/>
      </c>
    </row>
    <row r="207" spans="1:13" ht="14.5" x14ac:dyDescent="0.35">
      <c r="A207" s="7">
        <v>200</v>
      </c>
      <c r="B207" s="12">
        <f>SMALL(Datos!$C$5:$C$204,A207)</f>
        <v>9165.7000000000007</v>
      </c>
      <c r="C207" s="13">
        <f>INDEX(Datos!$D$5:$D$204,MATCH(B207,Datos!$C$5:$C$204,0))</f>
        <v>0</v>
      </c>
      <c r="D207" s="7">
        <f t="shared" si="48"/>
        <v>1</v>
      </c>
      <c r="E207" s="6">
        <f t="shared" si="53"/>
        <v>0</v>
      </c>
      <c r="F207" s="6">
        <f t="shared" si="54"/>
        <v>183.10953012087933</v>
      </c>
      <c r="G207" s="14">
        <f t="shared" si="49"/>
        <v>0</v>
      </c>
      <c r="H207" s="6">
        <f t="shared" si="50"/>
        <v>9.1232235348803776</v>
      </c>
      <c r="I207" s="6">
        <f t="shared" si="51"/>
        <v>0</v>
      </c>
      <c r="K207" s="49" t="e">
        <f t="shared" si="55"/>
        <v>#N/A</v>
      </c>
      <c r="L207" s="49" t="e">
        <f t="shared" si="56"/>
        <v>#N/A</v>
      </c>
      <c r="M207" s="15" t="str">
        <f t="shared" si="52"/>
        <v/>
      </c>
    </row>
  </sheetData>
  <mergeCells count="1">
    <mergeCell ref="O26:U36"/>
  </mergeCell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212"/>
  <sheetViews>
    <sheetView showGridLines="0" zoomScale="85" zoomScaleNormal="85" workbookViewId="0">
      <selection activeCell="V23" sqref="V23"/>
    </sheetView>
  </sheetViews>
  <sheetFormatPr defaultColWidth="8.7265625" defaultRowHeight="15" customHeight="1" x14ac:dyDescent="0.35"/>
  <cols>
    <col min="1" max="1" width="17.453125" customWidth="1"/>
    <col min="2" max="4" width="15" customWidth="1"/>
    <col min="5" max="6" width="13" customWidth="1"/>
    <col min="7" max="7" width="3" customWidth="1"/>
    <col min="8" max="8" width="30" customWidth="1"/>
    <col min="9" max="9" width="16" customWidth="1"/>
    <col min="10" max="11" width="13" customWidth="1"/>
    <col min="12" max="12" width="3" customWidth="1"/>
    <col min="13" max="13" width="34" customWidth="1"/>
    <col min="14" max="14" width="18" customWidth="1"/>
    <col min="15" max="16" width="10" customWidth="1"/>
    <col min="17" max="17" width="3" customWidth="1"/>
    <col min="18" max="18" width="15" customWidth="1"/>
    <col min="19" max="19" width="6" customWidth="1"/>
    <col min="20" max="20" width="15" customWidth="1"/>
    <col min="21" max="22" width="17" customWidth="1"/>
  </cols>
  <sheetData>
    <row r="1" spans="1:22" ht="21.75" customHeight="1" x14ac:dyDescent="0.4">
      <c r="A1" s="1" t="s">
        <v>60</v>
      </c>
    </row>
    <row r="2" spans="1:22" ht="14.5" x14ac:dyDescent="0.35">
      <c r="A2" s="2" t="s">
        <v>61</v>
      </c>
    </row>
    <row r="4" spans="1:22" ht="14.5" x14ac:dyDescent="0.35">
      <c r="A4" s="3" t="s">
        <v>62</v>
      </c>
      <c r="H4" s="3" t="s">
        <v>63</v>
      </c>
      <c r="M4" s="3" t="s">
        <v>64</v>
      </c>
    </row>
    <row r="5" spans="1:22" ht="14.5" x14ac:dyDescent="0.35">
      <c r="A5" s="4" t="s">
        <v>65</v>
      </c>
      <c r="B5" s="5">
        <f>COUNT(Datos!$C$5:$C$204)</f>
        <v>200</v>
      </c>
      <c r="H5" s="4" t="s">
        <v>66</v>
      </c>
      <c r="I5" s="19">
        <f>D56</f>
        <v>1.9476758093061974</v>
      </c>
      <c r="M5" s="10" t="s">
        <v>67</v>
      </c>
    </row>
    <row r="6" spans="1:22" ht="14.5" x14ac:dyDescent="0.35">
      <c r="A6" s="4" t="s">
        <v>68</v>
      </c>
      <c r="B6" s="5">
        <f>SUM(Datos!$D$5:$D$204)</f>
        <v>122</v>
      </c>
      <c r="H6" s="4" t="s">
        <v>69</v>
      </c>
      <c r="I6" s="17">
        <f>(SUMPRODUCT(Datos!$C$5:$C$204^$I$5)/$B$6)^(1/$I$5)</f>
        <v>5099.7759822792023</v>
      </c>
      <c r="M6" s="4" t="s">
        <v>70</v>
      </c>
      <c r="N6" s="20">
        <f>SUM(Datos!$C$5:$C$204)/$B$6</f>
        <v>5740.8893442622957</v>
      </c>
    </row>
    <row r="7" spans="1:22" ht="14.5" x14ac:dyDescent="0.35">
      <c r="A7" s="4" t="s">
        <v>20</v>
      </c>
      <c r="B7" s="6">
        <f>SUMPRODUCT(Datos!$D$5:$D$204,Datos!$E$5:$E$204)</f>
        <v>974.90977424975677</v>
      </c>
      <c r="H7" s="4" t="s">
        <v>71</v>
      </c>
      <c r="I7" s="6">
        <f>$B$6*LN($I$5)-$B$6*$I$5*LN($I$6)+($I$5-1)*$B$7-SUMPRODUCT((Datos!$C$5:$C$204/$I$6)^$I$5)</f>
        <v>-1145.2920966330637</v>
      </c>
      <c r="M7" s="4" t="s">
        <v>72</v>
      </c>
      <c r="N7" s="6">
        <f>-$B$6*LN($N$6)-SUM(Datos!$C$5:$C$204)/$N$6</f>
        <v>-1177.9550686710832</v>
      </c>
    </row>
    <row r="8" spans="1:22" ht="14.5" x14ac:dyDescent="0.35">
      <c r="H8" s="4" t="s">
        <v>73</v>
      </c>
      <c r="I8" s="21">
        <f>E56</f>
        <v>2.5757174171303632E-14</v>
      </c>
      <c r="M8" s="4" t="s">
        <v>74</v>
      </c>
      <c r="N8" s="6">
        <f>2*($I$7-$N$7)</f>
        <v>65.325944076038923</v>
      </c>
    </row>
    <row r="9" spans="1:22" ht="14.5" x14ac:dyDescent="0.35">
      <c r="A9" s="3" t="s">
        <v>75</v>
      </c>
      <c r="M9" s="4" t="s">
        <v>76</v>
      </c>
      <c r="N9" s="22">
        <f>CHIDIST($N$8,1)</f>
        <v>6.3480104925708205E-16</v>
      </c>
    </row>
    <row r="10" spans="1:22" ht="31.5" customHeight="1" x14ac:dyDescent="0.35">
      <c r="A10" s="67" t="s">
        <v>77</v>
      </c>
      <c r="B10" s="67" t="s">
        <v>78</v>
      </c>
      <c r="C10" s="67" t="s">
        <v>79</v>
      </c>
      <c r="D10" s="67" t="s">
        <v>80</v>
      </c>
      <c r="E10" s="67" t="s">
        <v>81</v>
      </c>
      <c r="F10" s="67" t="s">
        <v>82</v>
      </c>
      <c r="H10" s="4" t="s">
        <v>83</v>
      </c>
      <c r="I10" s="8">
        <f>$I$6*EXP(GAMMALN(1+1/$I$5))</f>
        <v>4522.1544450062684</v>
      </c>
      <c r="M10" s="4" t="s">
        <v>84</v>
      </c>
      <c r="N10" s="7" t="str">
        <f>IF($N$9&lt;0.05,"Se rechaza la exponencial: BETA es distinto de 1","No se rechaza la exponencial")</f>
        <v>Se rechaza la exponencial: BETA es distinto de 1</v>
      </c>
    </row>
    <row r="11" spans="1:22" ht="14.5" x14ac:dyDescent="0.35">
      <c r="A11" s="7">
        <v>1</v>
      </c>
      <c r="B11" s="52">
        <v>0.1</v>
      </c>
      <c r="C11" s="52">
        <v>10</v>
      </c>
      <c r="D11" s="53">
        <f>(B11+C11)/2</f>
        <v>5.05</v>
      </c>
      <c r="E11" s="53">
        <f>SUMPRODUCT(Datos!$C$5:$C$204^D11,Datos!$E$5:$E$204)/SUMPRODUCT(Datos!$C$5:$C$204^D11)-1/D11-$B$7/$B$6</f>
        <v>0.64518968448228442</v>
      </c>
      <c r="F11" s="53">
        <f t="shared" ref="F11:F56" si="0">C11-B11</f>
        <v>9.9</v>
      </c>
      <c r="H11" s="4" t="s">
        <v>85</v>
      </c>
      <c r="I11" s="8">
        <f>$I$6*LN(2)^(1/$I$5)</f>
        <v>4224.9903632090127</v>
      </c>
      <c r="R11" s="3" t="s">
        <v>86</v>
      </c>
    </row>
    <row r="12" spans="1:22" ht="31.5" customHeight="1" x14ac:dyDescent="0.35">
      <c r="A12" s="7">
        <v>2</v>
      </c>
      <c r="B12" s="53">
        <f>IF(E11&lt;0,D11,B11)</f>
        <v>0.1</v>
      </c>
      <c r="C12" s="53">
        <f t="shared" ref="C12:C56" si="1">IF(E11&lt;0,C11,D11)</f>
        <v>5.05</v>
      </c>
      <c r="D12" s="53">
        <f t="shared" ref="D12:D56" si="2">(B12+C12)/2</f>
        <v>2.5749999999999997</v>
      </c>
      <c r="E12" s="53">
        <f>SUMPRODUCT(Datos!$C$5:$C$204^D12,Datos!$E$5:$E$204)/SUMPRODUCT(Datos!$C$5:$C$204^D12)-1/D12-$B$7/$B$6</f>
        <v>0.22155954066472461</v>
      </c>
      <c r="F12" s="53">
        <f t="shared" si="0"/>
        <v>4.95</v>
      </c>
      <c r="H12" s="4" t="s">
        <v>87</v>
      </c>
      <c r="I12" s="8">
        <f>$I$6*(-LN(0.9))^(1/$I$5)</f>
        <v>1606.0615827651409</v>
      </c>
      <c r="M12" s="10" t="s">
        <v>88</v>
      </c>
      <c r="R12" s="67" t="s">
        <v>89</v>
      </c>
      <c r="S12" s="67" t="s">
        <v>35</v>
      </c>
      <c r="T12" s="67" t="s">
        <v>90</v>
      </c>
      <c r="U12" s="67" t="s">
        <v>91</v>
      </c>
      <c r="V12" s="67" t="s">
        <v>92</v>
      </c>
    </row>
    <row r="13" spans="1:22" ht="14.5" x14ac:dyDescent="0.35">
      <c r="A13" s="7">
        <v>3</v>
      </c>
      <c r="B13" s="53">
        <f t="shared" ref="B13:B56" si="3">IF(E12&lt;0,D12,B12)</f>
        <v>0.1</v>
      </c>
      <c r="C13" s="53">
        <f t="shared" si="1"/>
        <v>2.5749999999999997</v>
      </c>
      <c r="D13" s="53">
        <f t="shared" si="2"/>
        <v>1.3374999999999999</v>
      </c>
      <c r="E13" s="53">
        <f>SUMPRODUCT(Datos!$C$5:$C$204^D13,Datos!$E$5:$E$204)/SUMPRODUCT(Datos!$C$5:$C$204^D13)-1/D13-$B$7/$B$6</f>
        <v>-0.352598668999347</v>
      </c>
      <c r="F13" s="53">
        <f t="shared" si="0"/>
        <v>2.4749999999999996</v>
      </c>
      <c r="M13" s="4" t="s">
        <v>93</v>
      </c>
      <c r="N13" s="14">
        <f>MAX($V$13:$V$212)</f>
        <v>4.9058692464720499E-2</v>
      </c>
      <c r="R13" s="23">
        <f>Metodo_Grafico!B8</f>
        <v>401.7</v>
      </c>
      <c r="S13" s="24">
        <f>Metodo_Grafico!C8</f>
        <v>1</v>
      </c>
      <c r="T13" s="25">
        <f t="shared" ref="T13:T44" si="4">1-EXP(-((R13/$I$6)^$I$5))</f>
        <v>7.0617291035260932E-3</v>
      </c>
      <c r="U13" s="26">
        <f>1-Kaplan_Meier!G8</f>
        <v>5.0000000000000044E-3</v>
      </c>
      <c r="V13" s="25">
        <f t="shared" ref="V13:V44" si="5">IF(S13=1,ABS(T13-U13),0)</f>
        <v>2.0617291035260887E-3</v>
      </c>
    </row>
    <row r="14" spans="1:22" ht="14.5" x14ac:dyDescent="0.35">
      <c r="A14" s="7">
        <v>4</v>
      </c>
      <c r="B14" s="53">
        <f t="shared" si="3"/>
        <v>1.3374999999999999</v>
      </c>
      <c r="C14" s="53">
        <f t="shared" si="1"/>
        <v>2.5749999999999997</v>
      </c>
      <c r="D14" s="53">
        <f t="shared" si="2"/>
        <v>1.9562499999999998</v>
      </c>
      <c r="E14" s="53">
        <f>SUMPRODUCT(Datos!$C$5:$C$204^D14,Datos!$E$5:$E$204)/SUMPRODUCT(Datos!$C$5:$C$204^D14)-1/D14-$B$7/$B$6</f>
        <v>3.7235280663105996E-3</v>
      </c>
      <c r="F14" s="53">
        <f t="shared" si="0"/>
        <v>1.2374999999999998</v>
      </c>
      <c r="H14" s="3" t="s">
        <v>94</v>
      </c>
      <c r="M14" s="4" t="s">
        <v>95</v>
      </c>
      <c r="N14" s="14">
        <f>1.36/SQRT($B$6)</f>
        <v>0.12312861461782521</v>
      </c>
      <c r="R14" s="23">
        <f>Metodo_Grafico!B9</f>
        <v>449.3</v>
      </c>
      <c r="S14" s="24">
        <f>Metodo_Grafico!C9</f>
        <v>1</v>
      </c>
      <c r="T14" s="25">
        <f t="shared" si="4"/>
        <v>8.7752782531942408E-3</v>
      </c>
      <c r="U14" s="26">
        <f>1-Kaplan_Meier!G9</f>
        <v>1.0000000000000009E-2</v>
      </c>
      <c r="V14" s="25">
        <f t="shared" si="5"/>
        <v>1.2247217468057681E-3</v>
      </c>
    </row>
    <row r="15" spans="1:22" ht="14.5" x14ac:dyDescent="0.35">
      <c r="A15" s="7">
        <v>5</v>
      </c>
      <c r="B15" s="53">
        <f t="shared" si="3"/>
        <v>1.3374999999999999</v>
      </c>
      <c r="C15" s="53">
        <f t="shared" si="1"/>
        <v>1.9562499999999998</v>
      </c>
      <c r="D15" s="53">
        <f t="shared" si="2"/>
        <v>1.6468749999999999</v>
      </c>
      <c r="E15" s="53">
        <f>SUMPRODUCT(Datos!$C$5:$C$204^D15,Datos!$E$5:$E$204)/SUMPRODUCT(Datos!$C$5:$C$204^D15)-1/D15-$B$7/$B$6</f>
        <v>-0.1486148771538911</v>
      </c>
      <c r="F15" s="53">
        <f t="shared" si="0"/>
        <v>0.61874999999999991</v>
      </c>
      <c r="H15" s="4" t="s">
        <v>96</v>
      </c>
      <c r="I15" s="27">
        <f>0.01*$I$5</f>
        <v>1.9476758093061975E-2</v>
      </c>
      <c r="M15" s="4" t="s">
        <v>84</v>
      </c>
      <c r="N15" s="28" t="str">
        <f>IF($N$13&lt;$N$14,"No se rechaza el ajuste Weibull","Se rechaza el ajuste Weibull")</f>
        <v>No se rechaza el ajuste Weibull</v>
      </c>
      <c r="R15" s="23">
        <f>Metodo_Grafico!B10</f>
        <v>455.5</v>
      </c>
      <c r="S15" s="24">
        <f>Metodo_Grafico!C10</f>
        <v>1</v>
      </c>
      <c r="T15" s="25">
        <f t="shared" si="4"/>
        <v>9.0115955329802544E-3</v>
      </c>
      <c r="U15" s="26">
        <f>1-Kaplan_Meier!G10</f>
        <v>1.5000000000000013E-2</v>
      </c>
      <c r="V15" s="25">
        <f t="shared" si="5"/>
        <v>5.9884044670197589E-3</v>
      </c>
    </row>
    <row r="16" spans="1:22" ht="14.5" x14ac:dyDescent="0.35">
      <c r="A16" s="7">
        <v>6</v>
      </c>
      <c r="B16" s="53">
        <f t="shared" si="3"/>
        <v>1.6468749999999999</v>
      </c>
      <c r="C16" s="53">
        <f t="shared" si="1"/>
        <v>1.9562499999999998</v>
      </c>
      <c r="D16" s="53">
        <f t="shared" si="2"/>
        <v>1.8015624999999997</v>
      </c>
      <c r="E16" s="53">
        <f>SUMPRODUCT(Datos!$C$5:$C$204^D16,Datos!$E$5:$E$204)/SUMPRODUCT(Datos!$C$5:$C$204^D16)-1/D16-$B$7/$B$6</f>
        <v>-6.7491550683419277E-2</v>
      </c>
      <c r="F16" s="53">
        <f t="shared" si="0"/>
        <v>0.30937499999999996</v>
      </c>
      <c r="H16" s="4" t="s">
        <v>97</v>
      </c>
      <c r="I16" s="6">
        <f>0.01*$I$6</f>
        <v>50.997759822792027</v>
      </c>
      <c r="R16" s="23">
        <f>Metodo_Grafico!B11</f>
        <v>528.29999999999995</v>
      </c>
      <c r="S16" s="24">
        <f>Metodo_Grafico!C11</f>
        <v>1</v>
      </c>
      <c r="T16" s="25">
        <f t="shared" si="4"/>
        <v>1.2010467790314672E-2</v>
      </c>
      <c r="U16" s="26">
        <f>1-Kaplan_Meier!G11</f>
        <v>2.0000000000000018E-2</v>
      </c>
      <c r="V16" s="25">
        <f t="shared" si="5"/>
        <v>7.9895322096853461E-3</v>
      </c>
    </row>
    <row r="17" spans="1:22" ht="14.5" x14ac:dyDescent="0.35">
      <c r="A17" s="7">
        <v>7</v>
      </c>
      <c r="B17" s="53">
        <f t="shared" si="3"/>
        <v>1.8015624999999997</v>
      </c>
      <c r="C17" s="53">
        <f t="shared" si="1"/>
        <v>1.9562499999999998</v>
      </c>
      <c r="D17" s="53">
        <f t="shared" si="2"/>
        <v>1.8789062499999998</v>
      </c>
      <c r="E17" s="53">
        <f>SUMPRODUCT(Datos!$C$5:$C$204^D17,Datos!$E$5:$E$204)/SUMPRODUCT(Datos!$C$5:$C$204^D17)-1/D17-$B$7/$B$6</f>
        <v>-3.0780897854059575E-2</v>
      </c>
      <c r="F17" s="53">
        <f t="shared" si="0"/>
        <v>0.15468750000000009</v>
      </c>
      <c r="M17" s="10" t="s">
        <v>98</v>
      </c>
      <c r="R17" s="23">
        <f>Metodo_Grafico!B12</f>
        <v>602</v>
      </c>
      <c r="S17" s="24">
        <f>Metodo_Grafico!C12</f>
        <v>1</v>
      </c>
      <c r="T17" s="25">
        <f t="shared" si="4"/>
        <v>1.5462007930746258E-2</v>
      </c>
      <c r="U17" s="26">
        <f>1-Kaplan_Meier!G12</f>
        <v>2.5000000000000022E-2</v>
      </c>
      <c r="V17" s="25">
        <f t="shared" si="5"/>
        <v>9.5379920692537645E-3</v>
      </c>
    </row>
    <row r="18" spans="1:22" ht="14.5" x14ac:dyDescent="0.35">
      <c r="A18" s="7">
        <v>8</v>
      </c>
      <c r="B18" s="53">
        <f t="shared" si="3"/>
        <v>1.8789062499999998</v>
      </c>
      <c r="C18" s="53">
        <f t="shared" si="1"/>
        <v>1.9562499999999998</v>
      </c>
      <c r="D18" s="53">
        <f t="shared" si="2"/>
        <v>1.9175781249999999</v>
      </c>
      <c r="E18" s="53">
        <f>SUMPRODUCT(Datos!$C$5:$C$204^D18,Datos!$E$5:$E$204)/SUMPRODUCT(Datos!$C$5:$C$204^D18)-1/D18-$B$7/$B$6</f>
        <v>-1.3267543878130894E-2</v>
      </c>
      <c r="F18" s="53">
        <f t="shared" si="0"/>
        <v>7.7343750000000044E-2</v>
      </c>
      <c r="H18" s="10" t="s">
        <v>99</v>
      </c>
      <c r="M18" s="4" t="s">
        <v>100</v>
      </c>
      <c r="N18" s="20">
        <f>-2*$I$7+4</f>
        <v>2294.5841932661274</v>
      </c>
      <c r="R18" s="23">
        <f>Metodo_Grafico!B13</f>
        <v>707.6</v>
      </c>
      <c r="S18" s="24">
        <f>Metodo_Grafico!C13</f>
        <v>1</v>
      </c>
      <c r="T18" s="25">
        <f t="shared" si="4"/>
        <v>2.112164931030569E-2</v>
      </c>
      <c r="U18" s="26">
        <f>1-Kaplan_Meier!G13</f>
        <v>3.0000000000000027E-2</v>
      </c>
      <c r="V18" s="25">
        <f t="shared" si="5"/>
        <v>8.8783506896943365E-3</v>
      </c>
    </row>
    <row r="19" spans="1:22" ht="14.5" x14ac:dyDescent="0.35">
      <c r="A19" s="7">
        <v>9</v>
      </c>
      <c r="B19" s="53">
        <f t="shared" si="3"/>
        <v>1.9175781249999999</v>
      </c>
      <c r="C19" s="53">
        <f t="shared" si="1"/>
        <v>1.9562499999999998</v>
      </c>
      <c r="D19" s="53">
        <f t="shared" si="2"/>
        <v>1.9369140624999999</v>
      </c>
      <c r="E19" s="53">
        <f>SUMPRODUCT(Datos!$C$5:$C$204^D19,Datos!$E$5:$E$204)/SUMPRODUCT(Datos!$C$5:$C$204^D19)-1/D19-$B$7/$B$6</f>
        <v>-4.7084303280380269E-3</v>
      </c>
      <c r="F19" s="53">
        <f t="shared" si="0"/>
        <v>3.8671874999999911E-2</v>
      </c>
      <c r="I19" s="9">
        <f>$I$6-$I$16</f>
        <v>5048.7782224564098</v>
      </c>
      <c r="J19" s="9">
        <f>$I$6</f>
        <v>5099.7759822792023</v>
      </c>
      <c r="K19" s="9">
        <f>$I$6+$I$16</f>
        <v>5150.7737421019947</v>
      </c>
      <c r="M19" s="4" t="s">
        <v>101</v>
      </c>
      <c r="N19" s="20">
        <f>-2*$N$7+2</f>
        <v>2357.9101373421663</v>
      </c>
      <c r="R19" s="23">
        <f>Metodo_Grafico!B14</f>
        <v>820.7</v>
      </c>
      <c r="S19" s="24">
        <f>Metodo_Grafico!C14</f>
        <v>1</v>
      </c>
      <c r="T19" s="25">
        <f t="shared" si="4"/>
        <v>2.8093501608212224E-2</v>
      </c>
      <c r="U19" s="26">
        <f>1-Kaplan_Meier!G14</f>
        <v>3.5000000000000031E-2</v>
      </c>
      <c r="V19" s="25">
        <f t="shared" si="5"/>
        <v>6.9064983917878076E-3</v>
      </c>
    </row>
    <row r="20" spans="1:22" ht="14.5" x14ac:dyDescent="0.35">
      <c r="A20" s="7">
        <v>10</v>
      </c>
      <c r="B20" s="53">
        <f t="shared" si="3"/>
        <v>1.9369140624999999</v>
      </c>
      <c r="C20" s="53">
        <f t="shared" si="1"/>
        <v>1.9562499999999998</v>
      </c>
      <c r="D20" s="53">
        <f t="shared" si="2"/>
        <v>1.9465820312499997</v>
      </c>
      <c r="E20" s="53">
        <f>SUMPRODUCT(Datos!$C$5:$C$204^D20,Datos!$E$5:$E$204)/SUMPRODUCT(Datos!$C$5:$C$204^D20)-1/D20-$B$7/$B$6</f>
        <v>-4.7676313027000816E-4</v>
      </c>
      <c r="F20" s="53">
        <f t="shared" si="0"/>
        <v>1.9335937499999956E-2</v>
      </c>
      <c r="H20" s="9">
        <f>$I$5-$I$15</f>
        <v>1.9281990512131355</v>
      </c>
      <c r="I20" s="27">
        <f>$B$6*LN($H20)-$B$6*$H20*LN(I$19)+($H20-1)*$B$7-SUMPRODUCT((Datos!$C$5:$C$204/I$19)^$H20)</f>
        <v>-1145.3269012834901</v>
      </c>
      <c r="J20" s="27">
        <f>$B$6*LN($H20)-$B$6*$H20*LN(J$19)+($H20-1)*$B$7-SUMPRODUCT((Datos!$C$5:$C$204/J$19)^$H20)</f>
        <v>-1145.3022564551868</v>
      </c>
      <c r="K20" s="27">
        <f>$B$6*LN($H20)-$B$6*$H20*LN(K$19)+($H20-1)*$B$7-SUMPRODUCT((Datos!$C$5:$C$204/K$19)^$H20)</f>
        <v>-1145.3230263935943</v>
      </c>
      <c r="M20" s="4" t="s">
        <v>102</v>
      </c>
      <c r="N20" s="20">
        <f>-2*$I$7+2*LN($B$5)</f>
        <v>2301.1808279992233</v>
      </c>
      <c r="R20" s="23">
        <f>Metodo_Grafico!B15</f>
        <v>871.6</v>
      </c>
      <c r="S20" s="24">
        <f>Metodo_Grafico!C15</f>
        <v>1</v>
      </c>
      <c r="T20" s="25">
        <f t="shared" si="4"/>
        <v>3.1531059186037713E-2</v>
      </c>
      <c r="U20" s="26">
        <f>1-Kaplan_Meier!G15</f>
        <v>4.0000000000000036E-2</v>
      </c>
      <c r="V20" s="25">
        <f t="shared" si="5"/>
        <v>8.4689408139623223E-3</v>
      </c>
    </row>
    <row r="21" spans="1:22" ht="14.5" x14ac:dyDescent="0.35">
      <c r="A21" s="7">
        <v>11</v>
      </c>
      <c r="B21" s="53">
        <f t="shared" si="3"/>
        <v>1.9465820312499997</v>
      </c>
      <c r="C21" s="53">
        <f t="shared" si="1"/>
        <v>1.9562499999999998</v>
      </c>
      <c r="D21" s="53">
        <f t="shared" si="2"/>
        <v>1.9514160156249998</v>
      </c>
      <c r="E21" s="53">
        <f>SUMPRODUCT(Datos!$C$5:$C$204^D21,Datos!$E$5:$E$204)/SUMPRODUCT(Datos!$C$5:$C$204^D21)-1/D21-$B$7/$B$6</f>
        <v>1.6272790944000803E-3</v>
      </c>
      <c r="F21" s="53">
        <f t="shared" si="0"/>
        <v>9.6679687500000888E-3</v>
      </c>
      <c r="H21" s="9">
        <f>$I$5</f>
        <v>1.9476758093061974</v>
      </c>
      <c r="I21" s="27">
        <f>$B$6*LN($H21)-$B$6*$H21*LN(I$19)+($H21-1)*$B$7-SUMPRODUCT((Datos!$C$5:$C$204/I$19)^$H21)</f>
        <v>-1145.3156234240232</v>
      </c>
      <c r="J21" s="27">
        <f>$B$6*LN($H21)-$B$6*$H21*LN(J$19)+($H21-1)*$B$7-SUMPRODUCT((Datos!$C$5:$C$204/J$19)^$H21)</f>
        <v>-1145.2920966330637</v>
      </c>
      <c r="K21" s="27">
        <f>$B$6*LN($H21)-$B$6*$H21*LN(K$19)+($H21-1)*$B$7-SUMPRODUCT((Datos!$C$5:$C$204/K$19)^$H21)</f>
        <v>-1145.3148600367597</v>
      </c>
      <c r="M21" s="4" t="s">
        <v>103</v>
      </c>
      <c r="N21" s="28" t="str">
        <f>IF($N$18&lt;$N$19,"Weibull de 2 parametros","Exponencial")</f>
        <v>Weibull de 2 parametros</v>
      </c>
      <c r="R21" s="23">
        <f>Metodo_Grafico!B16</f>
        <v>873.6</v>
      </c>
      <c r="S21" s="24">
        <f>Metodo_Grafico!C16</f>
        <v>1</v>
      </c>
      <c r="T21" s="25">
        <f t="shared" si="4"/>
        <v>3.1669873124788528E-2</v>
      </c>
      <c r="U21" s="26">
        <f>1-Kaplan_Meier!G16</f>
        <v>4.500000000000004E-2</v>
      </c>
      <c r="V21" s="25">
        <f t="shared" si="5"/>
        <v>1.3330126875211512E-2</v>
      </c>
    </row>
    <row r="22" spans="1:22" ht="14.5" x14ac:dyDescent="0.35">
      <c r="A22" s="7">
        <v>12</v>
      </c>
      <c r="B22" s="53">
        <f t="shared" si="3"/>
        <v>1.9465820312499997</v>
      </c>
      <c r="C22" s="53">
        <f t="shared" si="1"/>
        <v>1.9514160156249998</v>
      </c>
      <c r="D22" s="53">
        <f t="shared" si="2"/>
        <v>1.9489990234374996</v>
      </c>
      <c r="E22" s="53">
        <f>SUMPRODUCT(Datos!$C$5:$C$204^D22,Datos!$E$5:$E$204)/SUMPRODUCT(Datos!$C$5:$C$204^D22)-1/D22-$B$7/$B$6</f>
        <v>5.762352916800495E-4</v>
      </c>
      <c r="F22" s="53">
        <f t="shared" si="0"/>
        <v>4.8339843750000444E-3</v>
      </c>
      <c r="H22" s="9">
        <f>$I$5+$I$15</f>
        <v>1.9671525673992594</v>
      </c>
      <c r="I22" s="27">
        <f>$B$6*LN($H22)-$B$6*$H22*LN(I$19)+($H22-1)*$B$7-SUMPRODUCT((Datos!$C$5:$C$204/I$19)^$H22)</f>
        <v>-1145.3246918258021</v>
      </c>
      <c r="J22" s="27">
        <f>$B$6*LN($H22)-$B$6*$H22*LN(J$19)+($H22-1)*$B$7-SUMPRODUCT((Datos!$C$5:$C$204/J$19)^$H22)</f>
        <v>-1145.3021506953062</v>
      </c>
      <c r="K22" s="27">
        <f>$B$6*LN($H22)-$B$6*$H22*LN(K$19)+($H22-1)*$B$7-SUMPRODUCT((Datos!$C$5:$C$204/K$19)^$H22)</f>
        <v>-1145.3267875790721</v>
      </c>
      <c r="R22" s="23">
        <f>Metodo_Grafico!B17</f>
        <v>941.7</v>
      </c>
      <c r="S22" s="24">
        <f>Metodo_Grafico!C17</f>
        <v>1</v>
      </c>
      <c r="T22" s="25">
        <f t="shared" si="4"/>
        <v>3.6563407263653036E-2</v>
      </c>
      <c r="U22" s="26">
        <f>1-Kaplan_Meier!G17</f>
        <v>5.0000000000000044E-2</v>
      </c>
      <c r="V22" s="25">
        <f t="shared" si="5"/>
        <v>1.3436592736347008E-2</v>
      </c>
    </row>
    <row r="23" spans="1:22" ht="14.5" x14ac:dyDescent="0.35">
      <c r="A23" s="7">
        <v>13</v>
      </c>
      <c r="B23" s="53">
        <f t="shared" si="3"/>
        <v>1.9465820312499997</v>
      </c>
      <c r="C23" s="53">
        <f t="shared" si="1"/>
        <v>1.9489990234374996</v>
      </c>
      <c r="D23" s="53">
        <f t="shared" si="2"/>
        <v>1.9477905273437497</v>
      </c>
      <c r="E23" s="53">
        <f>SUMPRODUCT(Datos!$C$5:$C$204^D23,Datos!$E$5:$E$204)/SUMPRODUCT(Datos!$C$5:$C$204^D23)-1/D23-$B$7/$B$6</f>
        <v>4.9980803874305479E-5</v>
      </c>
      <c r="F23" s="53">
        <f t="shared" si="0"/>
        <v>2.4169921874999112E-3</v>
      </c>
      <c r="M23" s="10" t="s">
        <v>104</v>
      </c>
      <c r="R23" s="23">
        <f>Metodo_Grafico!B18</f>
        <v>960.8</v>
      </c>
      <c r="S23" s="24">
        <f>Metodo_Grafico!C18</f>
        <v>0</v>
      </c>
      <c r="T23" s="25">
        <f t="shared" si="4"/>
        <v>3.799361948340374E-2</v>
      </c>
      <c r="U23" s="26">
        <f>1-Kaplan_Meier!G18</f>
        <v>5.0000000000000044E-2</v>
      </c>
      <c r="V23" s="25">
        <f t="shared" si="5"/>
        <v>0</v>
      </c>
    </row>
    <row r="24" spans="1:22" ht="14.5" x14ac:dyDescent="0.35">
      <c r="A24" s="7">
        <v>14</v>
      </c>
      <c r="B24" s="53">
        <f t="shared" si="3"/>
        <v>1.9465820312499997</v>
      </c>
      <c r="C24" s="53">
        <f t="shared" si="1"/>
        <v>1.9477905273437497</v>
      </c>
      <c r="D24" s="53">
        <f t="shared" si="2"/>
        <v>1.9471862792968748</v>
      </c>
      <c r="E24" s="53">
        <f>SUMPRODUCT(Datos!$C$5:$C$204^D24,Datos!$E$5:$E$204)/SUMPRODUCT(Datos!$C$5:$C$204^D24)-1/D24-$B$7/$B$6</f>
        <v>-2.133299328406224E-4</v>
      </c>
      <c r="F24" s="53">
        <f t="shared" si="0"/>
        <v>1.2084960937499556E-3</v>
      </c>
      <c r="H24" s="4" t="s">
        <v>105</v>
      </c>
      <c r="I24" s="6">
        <f>(J22-2*J21+J20)/$I$15^2</f>
        <v>-53.286406868348919</v>
      </c>
      <c r="M24" s="4" t="s">
        <v>106</v>
      </c>
      <c r="N24" s="29">
        <f>Metodo_Grafico!$P$19</f>
        <v>0.98984742882752497</v>
      </c>
      <c r="R24" s="23">
        <f>Metodo_Grafico!B19</f>
        <v>1024.2</v>
      </c>
      <c r="S24" s="24">
        <f>Metodo_Grafico!C19</f>
        <v>0</v>
      </c>
      <c r="T24" s="25">
        <f t="shared" si="4"/>
        <v>4.2919539694391107E-2</v>
      </c>
      <c r="U24" s="26">
        <f>1-Kaplan_Meier!G19</f>
        <v>5.0000000000000044E-2</v>
      </c>
      <c r="V24" s="25">
        <f t="shared" si="5"/>
        <v>0</v>
      </c>
    </row>
    <row r="25" spans="1:22" ht="14.5" x14ac:dyDescent="0.35">
      <c r="A25" s="7">
        <v>15</v>
      </c>
      <c r="B25" s="53">
        <f t="shared" si="3"/>
        <v>1.9471862792968748</v>
      </c>
      <c r="C25" s="53">
        <f t="shared" si="1"/>
        <v>1.9477905273437497</v>
      </c>
      <c r="D25" s="53">
        <f t="shared" si="2"/>
        <v>1.9474884033203121</v>
      </c>
      <c r="E25" s="53">
        <f>SUMPRODUCT(Datos!$C$5:$C$204^D25,Datos!$E$5:$E$204)/SUMPRODUCT(Datos!$C$5:$C$204^D25)-1/D25-$B$7/$B$6</f>
        <v>-8.1659263106104163E-5</v>
      </c>
      <c r="F25" s="53">
        <f t="shared" si="0"/>
        <v>6.0424804687486677E-4</v>
      </c>
      <c r="H25" s="4" t="s">
        <v>107</v>
      </c>
      <c r="I25" s="21">
        <f>(K21-2*J21+I21)/$I$16^2</f>
        <v>-1.7798639569809546E-5</v>
      </c>
      <c r="M25" s="4" t="s">
        <v>108</v>
      </c>
      <c r="N25" s="7" t="str">
        <f>IF($N$24&gt;0.95,"Linealidad alta: el supuesto Weibull es razonable","Revisar el supuesto Weibull")</f>
        <v>Linealidad alta: el supuesto Weibull es razonable</v>
      </c>
      <c r="R25" s="23">
        <f>Metodo_Grafico!B20</f>
        <v>1073.5</v>
      </c>
      <c r="S25" s="24">
        <f>Metodo_Grafico!C20</f>
        <v>0</v>
      </c>
      <c r="T25" s="25">
        <f t="shared" si="4"/>
        <v>4.6936951759044554E-2</v>
      </c>
      <c r="U25" s="26">
        <f>1-Kaplan_Meier!G20</f>
        <v>5.0000000000000044E-2</v>
      </c>
      <c r="V25" s="25">
        <f t="shared" si="5"/>
        <v>0</v>
      </c>
    </row>
    <row r="26" spans="1:22" ht="14.5" x14ac:dyDescent="0.35">
      <c r="A26" s="7">
        <v>16</v>
      </c>
      <c r="B26" s="53">
        <f t="shared" si="3"/>
        <v>1.9474884033203121</v>
      </c>
      <c r="C26" s="53">
        <f t="shared" si="1"/>
        <v>1.9477905273437497</v>
      </c>
      <c r="D26" s="53">
        <f t="shared" si="2"/>
        <v>1.9476394653320308</v>
      </c>
      <c r="E26" s="53">
        <f>SUMPRODUCT(Datos!$C$5:$C$204^D26,Datos!$E$5:$E$204)/SUMPRODUCT(Datos!$C$5:$C$204^D26)-1/D26-$B$7/$B$6</f>
        <v>-1.5835405040576234E-5</v>
      </c>
      <c r="F26" s="53">
        <f t="shared" si="0"/>
        <v>3.0212402343754441E-4</v>
      </c>
      <c r="H26" s="4" t="s">
        <v>109</v>
      </c>
      <c r="I26" s="21">
        <f>(K22-I22-K20+I20)/(4*$I$15*$I$16)</f>
        <v>-1.5027729031712219E-3</v>
      </c>
      <c r="R26" s="23">
        <f>Metodo_Grafico!B21</f>
        <v>1077.0999999999999</v>
      </c>
      <c r="S26" s="24">
        <f>Metodo_Grafico!C21</f>
        <v>1</v>
      </c>
      <c r="T26" s="25">
        <f t="shared" si="4"/>
        <v>4.7236641740245666E-2</v>
      </c>
      <c r="U26" s="26">
        <f>1-Kaplan_Meier!G21</f>
        <v>5.5080213903743402E-2</v>
      </c>
      <c r="V26" s="25">
        <f t="shared" si="5"/>
        <v>7.8435721634977362E-3</v>
      </c>
    </row>
    <row r="27" spans="1:22" ht="14.5" x14ac:dyDescent="0.35">
      <c r="A27" s="7">
        <v>17</v>
      </c>
      <c r="B27" s="53">
        <f t="shared" si="3"/>
        <v>1.9476394653320308</v>
      </c>
      <c r="C27" s="53">
        <f t="shared" si="1"/>
        <v>1.9477905273437497</v>
      </c>
      <c r="D27" s="53">
        <f t="shared" si="2"/>
        <v>1.9477149963378904</v>
      </c>
      <c r="E27" s="53">
        <f>SUMPRODUCT(Datos!$C$5:$C$204^D27,Datos!$E$5:$E$204)/SUMPRODUCT(Datos!$C$5:$C$204^D27)-1/D27-$B$7/$B$6</f>
        <v>1.7073655454780123E-5</v>
      </c>
      <c r="F27" s="53">
        <f t="shared" si="0"/>
        <v>1.5106201171888323E-4</v>
      </c>
      <c r="H27" s="4" t="s">
        <v>110</v>
      </c>
      <c r="I27" s="21">
        <f>(-$I$24)*(-$I$25)-(-$I$26)^2</f>
        <v>9.4616722342146062E-4</v>
      </c>
      <c r="M27" s="3" t="s">
        <v>111</v>
      </c>
      <c r="R27" s="23">
        <f>Metodo_Grafico!B22</f>
        <v>1099.2</v>
      </c>
      <c r="S27" s="24">
        <f>Metodo_Grafico!C22</f>
        <v>1</v>
      </c>
      <c r="T27" s="25">
        <f t="shared" si="4"/>
        <v>4.9095124768798737E-2</v>
      </c>
      <c r="U27" s="26">
        <f>1-Kaplan_Meier!G22</f>
        <v>6.016042780748676E-2</v>
      </c>
      <c r="V27" s="25">
        <f t="shared" si="5"/>
        <v>1.1065303038688024E-2</v>
      </c>
    </row>
    <row r="28" spans="1:22" ht="15" customHeight="1" x14ac:dyDescent="0.35">
      <c r="A28" s="7">
        <v>18</v>
      </c>
      <c r="B28" s="53">
        <f t="shared" si="3"/>
        <v>1.9476394653320308</v>
      </c>
      <c r="C28" s="53">
        <f t="shared" si="1"/>
        <v>1.9477149963378904</v>
      </c>
      <c r="D28" s="53">
        <f t="shared" si="2"/>
        <v>1.9476772308349606</v>
      </c>
      <c r="E28" s="53">
        <f>SUMPRODUCT(Datos!$C$5:$C$204^D28,Datos!$E$5:$E$204)/SUMPRODUCT(Datos!$C$5:$C$204^D28)-1/D28-$B$7/$B$6</f>
        <v>6.1936422746100561E-7</v>
      </c>
      <c r="F28" s="53">
        <f t="shared" si="0"/>
        <v>7.5531005859552636E-5</v>
      </c>
      <c r="H28" s="4" t="s">
        <v>112</v>
      </c>
      <c r="I28" s="30">
        <f>SQRT(-$I$25/$I$27)</f>
        <v>0.13715430839746776</v>
      </c>
      <c r="M28" s="99" t="s">
        <v>113</v>
      </c>
      <c r="N28" s="99"/>
      <c r="O28" s="99"/>
      <c r="P28" s="99"/>
      <c r="Q28" s="99"/>
      <c r="R28" s="23">
        <f>Metodo_Grafico!B23</f>
        <v>1133.3</v>
      </c>
      <c r="S28" s="24">
        <f>Metodo_Grafico!C23</f>
        <v>0</v>
      </c>
      <c r="T28" s="25">
        <f t="shared" si="4"/>
        <v>5.2025474706662078E-2</v>
      </c>
      <c r="U28" s="26">
        <f>1-Kaplan_Meier!G23</f>
        <v>6.016042780748676E-2</v>
      </c>
      <c r="V28" s="25">
        <f t="shared" si="5"/>
        <v>0</v>
      </c>
    </row>
    <row r="29" spans="1:22" ht="14.5" x14ac:dyDescent="0.35">
      <c r="A29" s="7">
        <v>19</v>
      </c>
      <c r="B29" s="53">
        <f t="shared" si="3"/>
        <v>1.9476394653320308</v>
      </c>
      <c r="C29" s="53">
        <f t="shared" si="1"/>
        <v>1.9476772308349606</v>
      </c>
      <c r="D29" s="53">
        <f t="shared" si="2"/>
        <v>1.9476583480834957</v>
      </c>
      <c r="E29" s="53">
        <f>SUMPRODUCT(Datos!$C$5:$C$204^D29,Datos!$E$5:$E$204)/SUMPRODUCT(Datos!$C$5:$C$204^D29)-1/D29-$B$7/$B$6</f>
        <v>-7.6079606534662503E-6</v>
      </c>
      <c r="F29" s="53">
        <f t="shared" si="0"/>
        <v>3.7765502929776318E-5</v>
      </c>
      <c r="H29" s="4" t="s">
        <v>114</v>
      </c>
      <c r="I29" s="31">
        <f>SQRT(-$I$24/$I$27)</f>
        <v>237.31449671294629</v>
      </c>
      <c r="M29" s="99"/>
      <c r="N29" s="99"/>
      <c r="O29" s="99"/>
      <c r="P29" s="99"/>
      <c r="Q29" s="99"/>
      <c r="R29" s="23">
        <f>Metodo_Grafico!B24</f>
        <v>1161.5999999999999</v>
      </c>
      <c r="S29" s="24">
        <f>Metodo_Grafico!C24</f>
        <v>1</v>
      </c>
      <c r="T29" s="25">
        <f t="shared" si="4"/>
        <v>5.4514655883876828E-2</v>
      </c>
      <c r="U29" s="26">
        <f>1-Kaplan_Meier!G24</f>
        <v>6.5268251569402636E-2</v>
      </c>
      <c r="V29" s="25">
        <f t="shared" si="5"/>
        <v>1.0753595685525807E-2</v>
      </c>
    </row>
    <row r="30" spans="1:22" ht="14.5" x14ac:dyDescent="0.35">
      <c r="A30" s="7">
        <v>20</v>
      </c>
      <c r="B30" s="53">
        <f t="shared" si="3"/>
        <v>1.9476583480834957</v>
      </c>
      <c r="C30" s="53">
        <f t="shared" si="1"/>
        <v>1.9476772308349606</v>
      </c>
      <c r="D30" s="53">
        <f t="shared" si="2"/>
        <v>1.9476677894592282</v>
      </c>
      <c r="E30" s="53">
        <f>SUMPRODUCT(Datos!$C$5:$C$204^D30,Datos!$E$5:$E$204)/SUMPRODUCT(Datos!$C$5:$C$204^D30)-1/D30-$B$7/$B$6</f>
        <v>-3.4942832698448001E-6</v>
      </c>
      <c r="F30" s="53">
        <f t="shared" si="0"/>
        <v>1.8882751464888159E-5</v>
      </c>
      <c r="H30" s="4" t="s">
        <v>115</v>
      </c>
      <c r="I30" s="6">
        <f>$I$5*EXP(-1.959964*$I$28/$I$5)</f>
        <v>1.696584534397833</v>
      </c>
      <c r="M30" s="99"/>
      <c r="N30" s="99"/>
      <c r="O30" s="99"/>
      <c r="P30" s="99"/>
      <c r="Q30" s="99"/>
      <c r="R30" s="23">
        <f>Metodo_Grafico!B25</f>
        <v>1196.5999999999999</v>
      </c>
      <c r="S30" s="24">
        <f>Metodo_Grafico!C25</f>
        <v>0</v>
      </c>
      <c r="T30" s="25">
        <f t="shared" si="4"/>
        <v>5.7664151677280562E-2</v>
      </c>
      <c r="U30" s="26">
        <f>1-Kaplan_Meier!G25</f>
        <v>6.5268251569402636E-2</v>
      </c>
      <c r="V30" s="25">
        <f t="shared" si="5"/>
        <v>0</v>
      </c>
    </row>
    <row r="31" spans="1:22" ht="14.5" x14ac:dyDescent="0.35">
      <c r="A31" s="7">
        <v>21</v>
      </c>
      <c r="B31" s="53">
        <f t="shared" si="3"/>
        <v>1.9476677894592282</v>
      </c>
      <c r="C31" s="53">
        <f t="shared" si="1"/>
        <v>1.9476772308349606</v>
      </c>
      <c r="D31" s="53">
        <f t="shared" si="2"/>
        <v>1.9476725101470944</v>
      </c>
      <c r="E31" s="53">
        <f>SUMPRODUCT(Datos!$C$5:$C$204^D31,Datos!$E$5:$E$204)/SUMPRODUCT(Datos!$C$5:$C$204^D31)-1/D31-$B$7/$B$6</f>
        <v>-1.4374557846252856E-6</v>
      </c>
      <c r="F31" s="53">
        <f t="shared" si="0"/>
        <v>9.4413757323330572E-6</v>
      </c>
      <c r="H31" s="4" t="s">
        <v>116</v>
      </c>
      <c r="I31" s="6">
        <f>$I$5*EXP(1.959964*$I$28/$I$5)</f>
        <v>2.2359281139521601</v>
      </c>
      <c r="M31" s="99"/>
      <c r="N31" s="99"/>
      <c r="O31" s="99"/>
      <c r="P31" s="99"/>
      <c r="Q31" s="99"/>
      <c r="R31" s="23">
        <f>Metodo_Grafico!B26</f>
        <v>1230.9000000000001</v>
      </c>
      <c r="S31" s="24">
        <f>Metodo_Grafico!C26</f>
        <v>1</v>
      </c>
      <c r="T31" s="25">
        <f t="shared" si="4"/>
        <v>6.0825943461242704E-2</v>
      </c>
      <c r="U31" s="26">
        <f>1-Kaplan_Meier!G26</f>
        <v>7.0404140297043227E-2</v>
      </c>
      <c r="V31" s="25">
        <f t="shared" si="5"/>
        <v>9.5781968358005232E-3</v>
      </c>
    </row>
    <row r="32" spans="1:22" ht="14.5" x14ac:dyDescent="0.35">
      <c r="A32" s="7">
        <v>22</v>
      </c>
      <c r="B32" s="53">
        <f t="shared" si="3"/>
        <v>1.9476725101470944</v>
      </c>
      <c r="C32" s="53">
        <f t="shared" si="1"/>
        <v>1.9476772308349606</v>
      </c>
      <c r="D32" s="53">
        <f t="shared" si="2"/>
        <v>1.9476748704910274</v>
      </c>
      <c r="E32" s="53">
        <f>SUMPRODUCT(Datos!$C$5:$C$204^D32,Datos!$E$5:$E$204)/SUMPRODUCT(Datos!$C$5:$C$204^D32)-1/D32-$B$7/$B$6</f>
        <v>-4.0904483622483667E-7</v>
      </c>
      <c r="F32" s="53">
        <f t="shared" si="0"/>
        <v>4.7206878661665286E-6</v>
      </c>
      <c r="H32" s="4" t="s">
        <v>117</v>
      </c>
      <c r="I32" s="8">
        <f>$I$6*EXP(-1.959964*$I$29/$I$6)</f>
        <v>4655.2288156412278</v>
      </c>
      <c r="M32" s="99"/>
      <c r="N32" s="99"/>
      <c r="O32" s="99"/>
      <c r="P32" s="99"/>
      <c r="Q32" s="99"/>
      <c r="R32" s="23">
        <f>Metodo_Grafico!B27</f>
        <v>1240.7</v>
      </c>
      <c r="S32" s="24">
        <f>Metodo_Grafico!C27</f>
        <v>0</v>
      </c>
      <c r="T32" s="25">
        <f t="shared" si="4"/>
        <v>6.174286801763007E-2</v>
      </c>
      <c r="U32" s="26">
        <f>1-Kaplan_Meier!G27</f>
        <v>7.0404140297043227E-2</v>
      </c>
      <c r="V32" s="25">
        <f t="shared" si="5"/>
        <v>0</v>
      </c>
    </row>
    <row r="33" spans="1:22" ht="14.5" x14ac:dyDescent="0.35">
      <c r="A33" s="7">
        <v>23</v>
      </c>
      <c r="B33" s="53">
        <f t="shared" si="3"/>
        <v>1.9476748704910274</v>
      </c>
      <c r="C33" s="53">
        <f t="shared" si="1"/>
        <v>1.9476772308349606</v>
      </c>
      <c r="D33" s="53">
        <f t="shared" si="2"/>
        <v>1.947676050662994</v>
      </c>
      <c r="E33" s="53">
        <f>SUMPRODUCT(Datos!$C$5:$C$204^D33,Datos!$E$5:$E$204)/SUMPRODUCT(Datos!$C$5:$C$204^D33)-1/D33-$B$7/$B$6</f>
        <v>1.0515992787674122E-7</v>
      </c>
      <c r="F33" s="53">
        <f t="shared" si="0"/>
        <v>2.3603439331942866E-6</v>
      </c>
      <c r="H33" s="4" t="s">
        <v>118</v>
      </c>
      <c r="I33" s="8">
        <f>$I$6*EXP(1.959964*$I$29/$I$6)</f>
        <v>5586.774807297933</v>
      </c>
      <c r="M33" s="99"/>
      <c r="N33" s="99"/>
      <c r="O33" s="99"/>
      <c r="P33" s="99"/>
      <c r="Q33" s="99"/>
      <c r="R33" s="23">
        <f>Metodo_Grafico!B28</f>
        <v>1265.2</v>
      </c>
      <c r="S33" s="24">
        <f>Metodo_Grafico!C28</f>
        <v>0</v>
      </c>
      <c r="T33" s="25">
        <f t="shared" si="4"/>
        <v>6.4061311088510764E-2</v>
      </c>
      <c r="U33" s="26">
        <f>1-Kaplan_Meier!G28</f>
        <v>7.0404140297043227E-2</v>
      </c>
      <c r="V33" s="25">
        <f t="shared" si="5"/>
        <v>0</v>
      </c>
    </row>
    <row r="34" spans="1:22" ht="14.5" x14ac:dyDescent="0.35">
      <c r="A34" s="7">
        <v>24</v>
      </c>
      <c r="B34" s="53">
        <f t="shared" si="3"/>
        <v>1.9476748704910274</v>
      </c>
      <c r="C34" s="53">
        <f t="shared" si="1"/>
        <v>1.947676050662994</v>
      </c>
      <c r="D34" s="53">
        <f t="shared" si="2"/>
        <v>1.9476754605770106</v>
      </c>
      <c r="E34" s="53">
        <f>SUMPRODUCT(Datos!$C$5:$C$204^D34,Datos!$E$5:$E$204)/SUMPRODUCT(Datos!$C$5:$C$204^D34)-1/D34-$B$7/$B$6</f>
        <v>-1.5194240443605622E-7</v>
      </c>
      <c r="F34" s="53">
        <f t="shared" si="0"/>
        <v>1.1801719665971433E-6</v>
      </c>
      <c r="M34" s="99"/>
      <c r="N34" s="99"/>
      <c r="O34" s="99"/>
      <c r="P34" s="99"/>
      <c r="Q34" s="99"/>
      <c r="R34" s="23">
        <f>Metodo_Grafico!B29</f>
        <v>1308.3</v>
      </c>
      <c r="S34" s="24">
        <f>Metodo_Grafico!C29</f>
        <v>0</v>
      </c>
      <c r="T34" s="25">
        <f t="shared" si="4"/>
        <v>6.8229585242086888E-2</v>
      </c>
      <c r="U34" s="26">
        <f>1-Kaplan_Meier!G29</f>
        <v>7.0404140297043227E-2</v>
      </c>
      <c r="V34" s="25">
        <f t="shared" si="5"/>
        <v>0</v>
      </c>
    </row>
    <row r="35" spans="1:22" ht="14.5" x14ac:dyDescent="0.35">
      <c r="A35" s="7">
        <v>25</v>
      </c>
      <c r="B35" s="53">
        <f t="shared" si="3"/>
        <v>1.9476754605770106</v>
      </c>
      <c r="C35" s="53">
        <f t="shared" si="1"/>
        <v>1.947676050662994</v>
      </c>
      <c r="D35" s="53">
        <f t="shared" si="2"/>
        <v>1.9476757556200024</v>
      </c>
      <c r="E35" s="53">
        <f>SUMPRODUCT(Datos!$C$5:$C$204^D35,Datos!$E$5:$E$204)/SUMPRODUCT(Datos!$C$5:$C$204^D35)-1/D35-$B$7/$B$6</f>
        <v>-2.3391219627910687E-8</v>
      </c>
      <c r="F35" s="53">
        <f t="shared" si="0"/>
        <v>5.9008598340959395E-7</v>
      </c>
      <c r="M35" s="99"/>
      <c r="N35" s="99"/>
      <c r="O35" s="99"/>
      <c r="P35" s="99"/>
      <c r="Q35" s="99"/>
      <c r="R35" s="23">
        <f>Metodo_Grafico!B30</f>
        <v>1360.3</v>
      </c>
      <c r="S35" s="24">
        <f>Metodo_Grafico!C30</f>
        <v>1</v>
      </c>
      <c r="T35" s="25">
        <f t="shared" si="4"/>
        <v>7.3408483393230139E-2</v>
      </c>
      <c r="U35" s="26">
        <f>1-Kaplan_Meier!G30</f>
        <v>7.562658894705987E-2</v>
      </c>
      <c r="V35" s="25">
        <f t="shared" si="5"/>
        <v>2.2181055538297301E-3</v>
      </c>
    </row>
    <row r="36" spans="1:22" ht="14.5" x14ac:dyDescent="0.35">
      <c r="A36" s="7">
        <v>26</v>
      </c>
      <c r="B36" s="53">
        <f t="shared" si="3"/>
        <v>1.9476757556200024</v>
      </c>
      <c r="C36" s="53">
        <f t="shared" si="1"/>
        <v>1.947676050662994</v>
      </c>
      <c r="D36" s="53">
        <f t="shared" si="2"/>
        <v>1.9476759031414983</v>
      </c>
      <c r="E36" s="53">
        <f>SUMPRODUCT(Datos!$C$5:$C$204^D36,Datos!$E$5:$E$204)/SUMPRODUCT(Datos!$C$5:$C$204^D36)-1/D36-$B$7/$B$6</f>
        <v>4.0884351903969218E-8</v>
      </c>
      <c r="F36" s="53">
        <f t="shared" si="0"/>
        <v>2.9504299159377467E-7</v>
      </c>
      <c r="M36" s="99"/>
      <c r="N36" s="99"/>
      <c r="O36" s="99"/>
      <c r="P36" s="99"/>
      <c r="Q36" s="99"/>
      <c r="R36" s="23">
        <f>Metodo_Grafico!B31</f>
        <v>1392.9</v>
      </c>
      <c r="S36" s="24">
        <f>Metodo_Grafico!C31</f>
        <v>1</v>
      </c>
      <c r="T36" s="25">
        <f t="shared" si="4"/>
        <v>7.6737418888122022E-2</v>
      </c>
      <c r="U36" s="26">
        <f>1-Kaplan_Meier!G31</f>
        <v>8.0849037597076401E-2</v>
      </c>
      <c r="V36" s="25">
        <f t="shared" si="5"/>
        <v>4.1116187089543788E-3</v>
      </c>
    </row>
    <row r="37" spans="1:22" ht="14.5" x14ac:dyDescent="0.35">
      <c r="A37" s="7">
        <v>27</v>
      </c>
      <c r="B37" s="53">
        <f t="shared" si="3"/>
        <v>1.9476757556200024</v>
      </c>
      <c r="C37" s="53">
        <f t="shared" si="1"/>
        <v>1.9476759031414983</v>
      </c>
      <c r="D37" s="53">
        <f t="shared" si="2"/>
        <v>1.9476758293807503</v>
      </c>
      <c r="E37" s="53">
        <f>SUMPRODUCT(Datos!$C$5:$C$204^D37,Datos!$E$5:$E$204)/SUMPRODUCT(Datos!$C$5:$C$204^D37)-1/D37-$B$7/$B$6</f>
        <v>8.7465634734940068E-9</v>
      </c>
      <c r="F37" s="53">
        <f t="shared" si="0"/>
        <v>1.4752149590790964E-7</v>
      </c>
      <c r="R37" s="23">
        <f>Metodo_Grafico!B32</f>
        <v>1441.9</v>
      </c>
      <c r="S37" s="24">
        <f>Metodo_Grafico!C32</f>
        <v>1</v>
      </c>
      <c r="T37" s="25">
        <f t="shared" si="4"/>
        <v>8.1857953931969374E-2</v>
      </c>
      <c r="U37" s="26">
        <f>1-Kaplan_Meier!G32</f>
        <v>8.6071486247093043E-2</v>
      </c>
      <c r="V37" s="25">
        <f t="shared" si="5"/>
        <v>4.2135323151236692E-3</v>
      </c>
    </row>
    <row r="38" spans="1:22" ht="14.5" x14ac:dyDescent="0.35">
      <c r="A38" s="7">
        <v>28</v>
      </c>
      <c r="B38" s="53">
        <f t="shared" si="3"/>
        <v>1.9476757556200024</v>
      </c>
      <c r="C38" s="53">
        <f t="shared" si="1"/>
        <v>1.9476758293807503</v>
      </c>
      <c r="D38" s="53">
        <f t="shared" si="2"/>
        <v>1.9476757925003763</v>
      </c>
      <c r="E38" s="53">
        <f>SUMPRODUCT(Datos!$C$5:$C$204^D38,Datos!$E$5:$E$204)/SUMPRODUCT(Datos!$C$5:$C$204^D38)-1/D38-$B$7/$B$6</f>
        <v>-7.3223329621896482E-9</v>
      </c>
      <c r="F38" s="53">
        <f t="shared" si="0"/>
        <v>7.3760747953954819E-8</v>
      </c>
      <c r="R38" s="23">
        <f>Metodo_Grafico!B33</f>
        <v>1442.2</v>
      </c>
      <c r="S38" s="24">
        <f>Metodo_Grafico!C33</f>
        <v>1</v>
      </c>
      <c r="T38" s="25">
        <f t="shared" si="4"/>
        <v>8.1889731592978188E-2</v>
      </c>
      <c r="U38" s="26">
        <f>1-Kaplan_Meier!G33</f>
        <v>9.1293934897109574E-2</v>
      </c>
      <c r="V38" s="25">
        <f t="shared" si="5"/>
        <v>9.4042033041313866E-3</v>
      </c>
    </row>
    <row r="39" spans="1:22" ht="14.5" x14ac:dyDescent="0.35">
      <c r="A39" s="7">
        <v>29</v>
      </c>
      <c r="B39" s="53">
        <f t="shared" si="3"/>
        <v>1.9476757925003763</v>
      </c>
      <c r="C39" s="53">
        <f t="shared" si="1"/>
        <v>1.9476758293807503</v>
      </c>
      <c r="D39" s="53">
        <f t="shared" si="2"/>
        <v>1.9476758109405634</v>
      </c>
      <c r="E39" s="53">
        <f>SUMPRODUCT(Datos!$C$5:$C$204^D39,Datos!$E$5:$E$204)/SUMPRODUCT(Datos!$C$5:$C$204^D39)-1/D39-$B$7/$B$6</f>
        <v>7.1212191699032701E-10</v>
      </c>
      <c r="F39" s="53">
        <f t="shared" si="0"/>
        <v>3.6880374087999712E-8</v>
      </c>
      <c r="R39" s="23">
        <f>Metodo_Grafico!B34</f>
        <v>1449.1</v>
      </c>
      <c r="S39" s="24">
        <f>Metodo_Grafico!C34</f>
        <v>0</v>
      </c>
      <c r="T39" s="25">
        <f t="shared" si="4"/>
        <v>8.2622041905931587E-2</v>
      </c>
      <c r="U39" s="26">
        <f>1-Kaplan_Meier!G34</f>
        <v>9.1293934897109574E-2</v>
      </c>
      <c r="V39" s="25">
        <f t="shared" si="5"/>
        <v>0</v>
      </c>
    </row>
    <row r="40" spans="1:22" ht="14.5" x14ac:dyDescent="0.35">
      <c r="A40" s="7">
        <v>30</v>
      </c>
      <c r="B40" s="53">
        <f t="shared" si="3"/>
        <v>1.9476757925003763</v>
      </c>
      <c r="C40" s="53">
        <f t="shared" si="1"/>
        <v>1.9476758109405634</v>
      </c>
      <c r="D40" s="53">
        <f t="shared" si="2"/>
        <v>1.9476758017204698</v>
      </c>
      <c r="E40" s="53">
        <f>SUMPRODUCT(Datos!$C$5:$C$204^D40,Datos!$E$5:$E$204)/SUMPRODUCT(Datos!$C$5:$C$204^D40)-1/D40-$B$7/$B$6</f>
        <v>-3.3051072989565E-9</v>
      </c>
      <c r="F40" s="53">
        <f t="shared" si="0"/>
        <v>1.8440187155022159E-8</v>
      </c>
      <c r="R40" s="23">
        <f>Metodo_Grafico!B35</f>
        <v>1472.7</v>
      </c>
      <c r="S40" s="24">
        <f>Metodo_Grafico!C35</f>
        <v>1</v>
      </c>
      <c r="T40" s="25">
        <f t="shared" si="4"/>
        <v>8.5147295573389625E-2</v>
      </c>
      <c r="U40" s="26">
        <f>1-Kaplan_Meier!G35</f>
        <v>9.6546571111577162E-2</v>
      </c>
      <c r="V40" s="25">
        <f t="shared" si="5"/>
        <v>1.1399275538187537E-2</v>
      </c>
    </row>
    <row r="41" spans="1:22" ht="14.5" x14ac:dyDescent="0.35">
      <c r="A41" s="7">
        <v>31</v>
      </c>
      <c r="B41" s="53">
        <f t="shared" si="3"/>
        <v>1.9476758017204698</v>
      </c>
      <c r="C41" s="53">
        <f t="shared" si="1"/>
        <v>1.9476758109405634</v>
      </c>
      <c r="D41" s="53">
        <f t="shared" si="2"/>
        <v>1.9476758063305166</v>
      </c>
      <c r="E41" s="53">
        <f>SUMPRODUCT(Datos!$C$5:$C$204^D41,Datos!$E$5:$E$204)/SUMPRODUCT(Datos!$C$5:$C$204^D41)-1/D41-$B$7/$B$6</f>
        <v>-1.296488250090988E-9</v>
      </c>
      <c r="F41" s="53">
        <f t="shared" si="0"/>
        <v>9.2200935775110793E-9</v>
      </c>
      <c r="R41" s="23">
        <f>Metodo_Grafico!B36</f>
        <v>1472.8</v>
      </c>
      <c r="S41" s="24">
        <f>Metodo_Grafico!C36</f>
        <v>0</v>
      </c>
      <c r="T41" s="25">
        <f t="shared" si="4"/>
        <v>8.5158063124618932E-2</v>
      </c>
      <c r="U41" s="26">
        <f>1-Kaplan_Meier!G36</f>
        <v>9.6546571111577162E-2</v>
      </c>
      <c r="V41" s="25">
        <f t="shared" si="5"/>
        <v>0</v>
      </c>
    </row>
    <row r="42" spans="1:22" ht="14.5" x14ac:dyDescent="0.35">
      <c r="A42" s="7">
        <v>32</v>
      </c>
      <c r="B42" s="53">
        <f t="shared" si="3"/>
        <v>1.9476758063305166</v>
      </c>
      <c r="C42" s="53">
        <f t="shared" si="1"/>
        <v>1.9476758109405634</v>
      </c>
      <c r="D42" s="53">
        <f t="shared" si="2"/>
        <v>1.9476758086355401</v>
      </c>
      <c r="E42" s="53">
        <f>SUMPRODUCT(Datos!$C$5:$C$204^D42,Datos!$E$5:$E$204)/SUMPRODUCT(Datos!$C$5:$C$204^D42)-1/D42-$B$7/$B$6</f>
        <v>-2.921902719776881E-10</v>
      </c>
      <c r="F42" s="53">
        <f t="shared" si="0"/>
        <v>4.6100467887555396E-9</v>
      </c>
      <c r="R42" s="23">
        <f>Metodo_Grafico!B37</f>
        <v>1474.1</v>
      </c>
      <c r="S42" s="24">
        <f>Metodo_Grafico!C37</f>
        <v>0</v>
      </c>
      <c r="T42" s="25">
        <f t="shared" si="4"/>
        <v>8.5298092798180125E-2</v>
      </c>
      <c r="U42" s="26">
        <f>1-Kaplan_Meier!G37</f>
        <v>9.6546571111577162E-2</v>
      </c>
      <c r="V42" s="25">
        <f t="shared" si="5"/>
        <v>0</v>
      </c>
    </row>
    <row r="43" spans="1:22" ht="14.5" x14ac:dyDescent="0.35">
      <c r="A43" s="7">
        <v>33</v>
      </c>
      <c r="B43" s="53">
        <f t="shared" si="3"/>
        <v>1.9476758086355401</v>
      </c>
      <c r="C43" s="53">
        <f t="shared" si="1"/>
        <v>1.9476758109405634</v>
      </c>
      <c r="D43" s="53">
        <f t="shared" si="2"/>
        <v>1.9476758097880518</v>
      </c>
      <c r="E43" s="53">
        <f>SUMPRODUCT(Datos!$C$5:$C$204^D43,Datos!$E$5:$E$204)/SUMPRODUCT(Datos!$C$5:$C$204^D43)-1/D43-$B$7/$B$6</f>
        <v>2.099653784171096E-10</v>
      </c>
      <c r="F43" s="53">
        <f t="shared" si="0"/>
        <v>2.3050232833554674E-9</v>
      </c>
      <c r="R43" s="23">
        <f>Metodo_Grafico!B38</f>
        <v>1528.3</v>
      </c>
      <c r="S43" s="24">
        <f>Metodo_Grafico!C38</f>
        <v>0</v>
      </c>
      <c r="T43" s="25">
        <f t="shared" si="4"/>
        <v>9.1220673043372003E-2</v>
      </c>
      <c r="U43" s="26">
        <f>1-Kaplan_Meier!G38</f>
        <v>9.6546571111577162E-2</v>
      </c>
      <c r="V43" s="25">
        <f t="shared" si="5"/>
        <v>0</v>
      </c>
    </row>
    <row r="44" spans="1:22" ht="14.5" x14ac:dyDescent="0.35">
      <c r="A44" s="7">
        <v>34</v>
      </c>
      <c r="B44" s="53">
        <f t="shared" si="3"/>
        <v>1.9476758086355401</v>
      </c>
      <c r="C44" s="53">
        <f t="shared" si="1"/>
        <v>1.9476758097880518</v>
      </c>
      <c r="D44" s="53">
        <f t="shared" si="2"/>
        <v>1.9476758092117961</v>
      </c>
      <c r="E44" s="53">
        <f>SUMPRODUCT(Datos!$C$5:$C$204^D44,Datos!$E$5:$E$204)/SUMPRODUCT(Datos!$C$5:$C$204^D44)-1/D44-$B$7/$B$6</f>
        <v>-4.1101344550042995E-11</v>
      </c>
      <c r="F44" s="53">
        <f t="shared" si="0"/>
        <v>1.1525116416777337E-9</v>
      </c>
      <c r="R44" s="23">
        <f>Metodo_Grafico!B39</f>
        <v>1535.6</v>
      </c>
      <c r="S44" s="24">
        <f>Metodo_Grafico!C39</f>
        <v>0</v>
      </c>
      <c r="T44" s="25">
        <f t="shared" si="4"/>
        <v>9.2030842655862588E-2</v>
      </c>
      <c r="U44" s="26">
        <f>1-Kaplan_Meier!G39</f>
        <v>9.6546571111577162E-2</v>
      </c>
      <c r="V44" s="25">
        <f t="shared" si="5"/>
        <v>0</v>
      </c>
    </row>
    <row r="45" spans="1:22" ht="14.5" x14ac:dyDescent="0.35">
      <c r="A45" s="7">
        <v>35</v>
      </c>
      <c r="B45" s="53">
        <f t="shared" si="3"/>
        <v>1.9476758092117961</v>
      </c>
      <c r="C45" s="53">
        <f t="shared" si="1"/>
        <v>1.9476758097880518</v>
      </c>
      <c r="D45" s="53">
        <f t="shared" si="2"/>
        <v>1.9476758094999238</v>
      </c>
      <c r="E45" s="53">
        <f>SUMPRODUCT(Datos!$C$5:$C$204^D45,Datos!$E$5:$E$204)/SUMPRODUCT(Datos!$C$5:$C$204^D45)-1/D45-$B$7/$B$6</f>
        <v>8.4431128755113605E-11</v>
      </c>
      <c r="F45" s="53">
        <f t="shared" si="0"/>
        <v>5.7625570981656438E-10</v>
      </c>
      <c r="R45" s="23">
        <f>Metodo_Grafico!B40</f>
        <v>1544.6</v>
      </c>
      <c r="S45" s="24">
        <f>Metodo_Grafico!C40</f>
        <v>0</v>
      </c>
      <c r="T45" s="25">
        <f t="shared" ref="T45:T76" si="6">1-EXP(-((R45/$I$6)^$I$5))</f>
        <v>9.3033715118220339E-2</v>
      </c>
      <c r="U45" s="26">
        <f>1-Kaplan_Meier!G40</f>
        <v>9.6546571111577162E-2</v>
      </c>
      <c r="V45" s="25">
        <f t="shared" ref="V45:V76" si="7">IF(S45=1,ABS(T45-U45),0)</f>
        <v>0</v>
      </c>
    </row>
    <row r="46" spans="1:22" ht="14.5" x14ac:dyDescent="0.35">
      <c r="A46" s="7">
        <v>36</v>
      </c>
      <c r="B46" s="53">
        <f t="shared" si="3"/>
        <v>1.9476758092117961</v>
      </c>
      <c r="C46" s="53">
        <f t="shared" si="1"/>
        <v>1.9476758094999238</v>
      </c>
      <c r="D46" s="53">
        <f t="shared" si="2"/>
        <v>1.9476758093558599</v>
      </c>
      <c r="E46" s="53">
        <f>SUMPRODUCT(Datos!$C$5:$C$204^D46,Datos!$E$5:$E$204)/SUMPRODUCT(Datos!$C$5:$C$204^D46)-1/D46-$B$7/$B$6</f>
        <v>2.1661783478066354E-11</v>
      </c>
      <c r="F46" s="53">
        <f t="shared" si="0"/>
        <v>2.8812774388597973E-10</v>
      </c>
      <c r="R46" s="23">
        <f>Metodo_Grafico!B41</f>
        <v>1575.6</v>
      </c>
      <c r="S46" s="24">
        <f>Metodo_Grafico!C41</f>
        <v>0</v>
      </c>
      <c r="T46" s="25">
        <f t="shared" si="6"/>
        <v>9.6521891194012333E-2</v>
      </c>
      <c r="U46" s="26">
        <f>1-Kaplan_Meier!G41</f>
        <v>9.6546571111577162E-2</v>
      </c>
      <c r="V46" s="25">
        <f t="shared" si="7"/>
        <v>0</v>
      </c>
    </row>
    <row r="47" spans="1:22" ht="14.5" x14ac:dyDescent="0.35">
      <c r="A47" s="7">
        <v>37</v>
      </c>
      <c r="B47" s="53">
        <f t="shared" si="3"/>
        <v>1.9476758092117961</v>
      </c>
      <c r="C47" s="53">
        <f t="shared" si="1"/>
        <v>1.9476758093558599</v>
      </c>
      <c r="D47" s="53">
        <f t="shared" si="2"/>
        <v>1.947675809283828</v>
      </c>
      <c r="E47" s="53">
        <f>SUMPRODUCT(Datos!$C$5:$C$204^D47,Datos!$E$5:$E$204)/SUMPRODUCT(Datos!$C$5:$C$204^D47)-1/D47-$B$7/$B$6</f>
        <v>-9.7220009820375708E-12</v>
      </c>
      <c r="F47" s="53">
        <f t="shared" si="0"/>
        <v>1.4406387194298986E-10</v>
      </c>
      <c r="R47" s="23">
        <f>Metodo_Grafico!B42</f>
        <v>1615.9</v>
      </c>
      <c r="S47" s="24">
        <f>Metodo_Grafico!C42</f>
        <v>0</v>
      </c>
      <c r="T47" s="25">
        <f t="shared" si="6"/>
        <v>0.10113392679448252</v>
      </c>
      <c r="U47" s="26">
        <f>1-Kaplan_Meier!G42</f>
        <v>9.6546571111577162E-2</v>
      </c>
      <c r="V47" s="25">
        <f t="shared" si="7"/>
        <v>0</v>
      </c>
    </row>
    <row r="48" spans="1:22" ht="14.5" x14ac:dyDescent="0.35">
      <c r="A48" s="7">
        <v>38</v>
      </c>
      <c r="B48" s="53">
        <f t="shared" si="3"/>
        <v>1.947675809283828</v>
      </c>
      <c r="C48" s="53">
        <f t="shared" si="1"/>
        <v>1.9476758093558599</v>
      </c>
      <c r="D48" s="53">
        <f t="shared" si="2"/>
        <v>1.9476758093198439</v>
      </c>
      <c r="E48" s="53">
        <f>SUMPRODUCT(Datos!$C$5:$C$204^D48,Datos!$E$5:$E$204)/SUMPRODUCT(Datos!$C$5:$C$204^D48)-1/D48-$B$7/$B$6</f>
        <v>5.9676708019651414E-12</v>
      </c>
      <c r="F48" s="53">
        <f t="shared" si="0"/>
        <v>7.2031935971494931E-11</v>
      </c>
      <c r="R48" s="23">
        <f>Metodo_Grafico!B43</f>
        <v>1642.5</v>
      </c>
      <c r="S48" s="24">
        <f>Metodo_Grafico!C43</f>
        <v>1</v>
      </c>
      <c r="T48" s="25">
        <f t="shared" si="6"/>
        <v>0.1042252757480242</v>
      </c>
      <c r="U48" s="26">
        <f>1-Kaplan_Meier!G43</f>
        <v>0.1020220464381737</v>
      </c>
      <c r="V48" s="25">
        <f t="shared" si="7"/>
        <v>2.2032293098505074E-3</v>
      </c>
    </row>
    <row r="49" spans="1:22" ht="14.5" x14ac:dyDescent="0.35">
      <c r="A49" s="7">
        <v>39</v>
      </c>
      <c r="B49" s="53">
        <f t="shared" si="3"/>
        <v>1.947675809283828</v>
      </c>
      <c r="C49" s="53">
        <f t="shared" si="1"/>
        <v>1.9476758093198439</v>
      </c>
      <c r="D49" s="53">
        <f t="shared" si="2"/>
        <v>1.947675809301836</v>
      </c>
      <c r="E49" s="53">
        <f>SUMPRODUCT(Datos!$C$5:$C$204^D49,Datos!$E$5:$E$204)/SUMPRODUCT(Datos!$C$5:$C$204^D49)-1/D49-$B$7/$B$6</f>
        <v>-1.879385536085465E-12</v>
      </c>
      <c r="F49" s="53">
        <f t="shared" si="0"/>
        <v>3.6015856963445003E-11</v>
      </c>
      <c r="R49" s="23">
        <f>Metodo_Grafico!B44</f>
        <v>1670.7</v>
      </c>
      <c r="S49" s="24">
        <f>Metodo_Grafico!C44</f>
        <v>0</v>
      </c>
      <c r="T49" s="25">
        <f t="shared" si="6"/>
        <v>0.10754289052731547</v>
      </c>
      <c r="U49" s="26">
        <f>1-Kaplan_Meier!G44</f>
        <v>0.1020220464381737</v>
      </c>
      <c r="V49" s="25">
        <f t="shared" si="7"/>
        <v>0</v>
      </c>
    </row>
    <row r="50" spans="1:22" ht="14.5" x14ac:dyDescent="0.35">
      <c r="A50" s="7">
        <v>40</v>
      </c>
      <c r="B50" s="53">
        <f t="shared" si="3"/>
        <v>1.947675809301836</v>
      </c>
      <c r="C50" s="53">
        <f t="shared" si="1"/>
        <v>1.9476758093198439</v>
      </c>
      <c r="D50" s="53">
        <f t="shared" si="2"/>
        <v>1.9476758093108399</v>
      </c>
      <c r="E50" s="53">
        <f>SUMPRODUCT(Datos!$C$5:$C$204^D50,Datos!$E$5:$E$204)/SUMPRODUCT(Datos!$C$5:$C$204^D50)-1/D50-$B$7/$B$6</f>
        <v>2.0454749005693884E-12</v>
      </c>
      <c r="F50" s="53">
        <f t="shared" si="0"/>
        <v>1.8007817459420039E-11</v>
      </c>
      <c r="R50" s="23">
        <f>Metodo_Grafico!B45</f>
        <v>1712.9</v>
      </c>
      <c r="S50" s="24">
        <f>Metodo_Grafico!C45</f>
        <v>0</v>
      </c>
      <c r="T50" s="25">
        <f t="shared" si="6"/>
        <v>0.11258378010810433</v>
      </c>
      <c r="U50" s="26">
        <f>1-Kaplan_Meier!G45</f>
        <v>0.1020220464381737</v>
      </c>
      <c r="V50" s="25">
        <f t="shared" si="7"/>
        <v>0</v>
      </c>
    </row>
    <row r="51" spans="1:22" ht="14.5" x14ac:dyDescent="0.35">
      <c r="A51" s="7">
        <v>41</v>
      </c>
      <c r="B51" s="53">
        <f t="shared" si="3"/>
        <v>1.947675809301836</v>
      </c>
      <c r="C51" s="53">
        <f t="shared" si="1"/>
        <v>1.9476758093108399</v>
      </c>
      <c r="D51" s="53">
        <f t="shared" si="2"/>
        <v>1.947675809306338</v>
      </c>
      <c r="E51" s="53">
        <f>SUMPRODUCT(Datos!$C$5:$C$204^D51,Datos!$E$5:$E$204)/SUMPRODUCT(Datos!$C$5:$C$204^D51)-1/D51-$B$7/$B$6</f>
        <v>7.9047879353311146E-14</v>
      </c>
      <c r="F51" s="53">
        <f t="shared" si="0"/>
        <v>9.0039087297100195E-12</v>
      </c>
      <c r="R51" s="23">
        <f>Metodo_Grafico!B46</f>
        <v>1728</v>
      </c>
      <c r="S51" s="24">
        <f>Metodo_Grafico!C46</f>
        <v>1</v>
      </c>
      <c r="T51" s="25">
        <f t="shared" si="6"/>
        <v>0.1144093813637832</v>
      </c>
      <c r="U51" s="26">
        <f>1-Kaplan_Meier!G46</f>
        <v>0.10756512022559239</v>
      </c>
      <c r="V51" s="25">
        <f t="shared" si="7"/>
        <v>6.8442611381908103E-3</v>
      </c>
    </row>
    <row r="52" spans="1:22" ht="14.5" x14ac:dyDescent="0.35">
      <c r="A52" s="7">
        <v>42</v>
      </c>
      <c r="B52" s="53">
        <f t="shared" si="3"/>
        <v>1.947675809301836</v>
      </c>
      <c r="C52" s="53">
        <f t="shared" si="1"/>
        <v>1.947675809306338</v>
      </c>
      <c r="D52" s="53">
        <f t="shared" si="2"/>
        <v>1.9476758093040871</v>
      </c>
      <c r="E52" s="53">
        <f>SUMPRODUCT(Datos!$C$5:$C$204^D52,Datos!$E$5:$E$204)/SUMPRODUCT(Datos!$C$5:$C$204^D52)-1/D52-$B$7/$B$6</f>
        <v>-8.9084295495922561E-13</v>
      </c>
      <c r="F52" s="53">
        <f t="shared" si="0"/>
        <v>4.5019543648550098E-12</v>
      </c>
      <c r="R52" s="23">
        <f>Metodo_Grafico!B47</f>
        <v>1758.9</v>
      </c>
      <c r="S52" s="24">
        <f>Metodo_Grafico!C47</f>
        <v>0</v>
      </c>
      <c r="T52" s="25">
        <f t="shared" si="6"/>
        <v>0.11818057915695035</v>
      </c>
      <c r="U52" s="26">
        <f>1-Kaplan_Meier!G47</f>
        <v>0.10756512022559239</v>
      </c>
      <c r="V52" s="25">
        <f t="shared" si="7"/>
        <v>0</v>
      </c>
    </row>
    <row r="53" spans="1:22" ht="14.5" x14ac:dyDescent="0.35">
      <c r="A53" s="7">
        <v>43</v>
      </c>
      <c r="B53" s="53">
        <f t="shared" si="3"/>
        <v>1.9476758093040871</v>
      </c>
      <c r="C53" s="53">
        <f t="shared" si="1"/>
        <v>1.947675809306338</v>
      </c>
      <c r="D53" s="53">
        <f t="shared" si="2"/>
        <v>1.9476758093052124</v>
      </c>
      <c r="E53" s="53">
        <f>SUMPRODUCT(Datos!$C$5:$C$204^D53,Datos!$E$5:$E$204)/SUMPRODUCT(Datos!$C$5:$C$204^D53)-1/D53-$B$7/$B$6</f>
        <v>-4.0767389464235748E-13</v>
      </c>
      <c r="F53" s="53">
        <f t="shared" si="0"/>
        <v>2.2508661601250424E-12</v>
      </c>
      <c r="R53" s="23">
        <f>Metodo_Grafico!B48</f>
        <v>1775.5</v>
      </c>
      <c r="S53" s="24">
        <f>Metodo_Grafico!C48</f>
        <v>0</v>
      </c>
      <c r="T53" s="25">
        <f t="shared" si="6"/>
        <v>0.1202259247771742</v>
      </c>
      <c r="U53" s="26">
        <f>1-Kaplan_Meier!G48</f>
        <v>0.10756512022559239</v>
      </c>
      <c r="V53" s="25">
        <f t="shared" si="7"/>
        <v>0</v>
      </c>
    </row>
    <row r="54" spans="1:22" ht="14.5" x14ac:dyDescent="0.35">
      <c r="A54" s="7">
        <v>44</v>
      </c>
      <c r="B54" s="53">
        <f t="shared" si="3"/>
        <v>1.9476758093052124</v>
      </c>
      <c r="C54" s="53">
        <f t="shared" si="1"/>
        <v>1.947675809306338</v>
      </c>
      <c r="D54" s="53">
        <f t="shared" si="2"/>
        <v>1.9476758093057751</v>
      </c>
      <c r="E54" s="53">
        <f>SUMPRODUCT(Datos!$C$5:$C$204^D54,Datos!$E$5:$E$204)/SUMPRODUCT(Datos!$C$5:$C$204^D54)-1/D54-$B$7/$B$6</f>
        <v>-1.5809575870662229E-13</v>
      </c>
      <c r="F54" s="53">
        <f t="shared" si="0"/>
        <v>1.1255441023649837E-12</v>
      </c>
      <c r="R54" s="23">
        <f>Metodo_Grafico!B49</f>
        <v>1821.5</v>
      </c>
      <c r="S54" s="24">
        <f>Metodo_Grafico!C49</f>
        <v>0</v>
      </c>
      <c r="T54" s="25">
        <f t="shared" si="6"/>
        <v>0.1259633546471558</v>
      </c>
      <c r="U54" s="26">
        <f>1-Kaplan_Meier!G49</f>
        <v>0.10756512022559239</v>
      </c>
      <c r="V54" s="25">
        <f t="shared" si="7"/>
        <v>0</v>
      </c>
    </row>
    <row r="55" spans="1:22" ht="14.5" x14ac:dyDescent="0.35">
      <c r="A55" s="7">
        <v>45</v>
      </c>
      <c r="B55" s="53">
        <f t="shared" si="3"/>
        <v>1.9476758093057751</v>
      </c>
      <c r="C55" s="53">
        <f t="shared" si="1"/>
        <v>1.947675809306338</v>
      </c>
      <c r="D55" s="53">
        <f t="shared" si="2"/>
        <v>1.9476758093060567</v>
      </c>
      <c r="E55" s="53">
        <f>SUMPRODUCT(Datos!$C$5:$C$204^D55,Datos!$E$5:$E$204)/SUMPRODUCT(Datos!$C$5:$C$204^D55)-1/D55-$B$7/$B$6</f>
        <v>-4.1744385725905886E-14</v>
      </c>
      <c r="F55" s="53">
        <f t="shared" si="0"/>
        <v>5.6288307348495437E-13</v>
      </c>
      <c r="R55" s="23">
        <f>Metodo_Grafico!B50</f>
        <v>1884.7</v>
      </c>
      <c r="S55" s="24">
        <f>Metodo_Grafico!C50</f>
        <v>1</v>
      </c>
      <c r="T55" s="25">
        <f t="shared" si="6"/>
        <v>0.134008925915996</v>
      </c>
      <c r="U55" s="26">
        <f>1-Kaplan_Meier!G50</f>
        <v>0.11321344224948104</v>
      </c>
      <c r="V55" s="25">
        <f t="shared" si="7"/>
        <v>2.0795483666514958E-2</v>
      </c>
    </row>
    <row r="56" spans="1:22" ht="14.5" x14ac:dyDescent="0.35">
      <c r="A56" s="7">
        <v>46</v>
      </c>
      <c r="B56" s="53">
        <f t="shared" si="3"/>
        <v>1.9476758093060567</v>
      </c>
      <c r="C56" s="53">
        <f t="shared" si="1"/>
        <v>1.947675809306338</v>
      </c>
      <c r="D56" s="53">
        <f t="shared" si="2"/>
        <v>1.9476758093061974</v>
      </c>
      <c r="E56" s="53">
        <f>SUMPRODUCT(Datos!$C$5:$C$204^D56,Datos!$E$5:$E$204)/SUMPRODUCT(Datos!$C$5:$C$204^D56)-1/D56-$B$7/$B$6</f>
        <v>2.5757174171303632E-14</v>
      </c>
      <c r="F56" s="53">
        <f t="shared" si="0"/>
        <v>2.8133051444001467E-13</v>
      </c>
      <c r="R56" s="23">
        <f>Metodo_Grafico!B51</f>
        <v>1888.1</v>
      </c>
      <c r="S56" s="24">
        <f>Metodo_Grafico!C51</f>
        <v>0</v>
      </c>
      <c r="T56" s="25">
        <f t="shared" si="6"/>
        <v>0.13444698273698452</v>
      </c>
      <c r="U56" s="26">
        <f>1-Kaplan_Meier!G51</f>
        <v>0.11321344224948104</v>
      </c>
      <c r="V56" s="25">
        <f t="shared" si="7"/>
        <v>0</v>
      </c>
    </row>
    <row r="57" spans="1:22" ht="14.5" x14ac:dyDescent="0.35">
      <c r="R57" s="23">
        <f>Metodo_Grafico!B52</f>
        <v>1900.4</v>
      </c>
      <c r="S57" s="24">
        <f>Metodo_Grafico!C52</f>
        <v>1</v>
      </c>
      <c r="T57" s="25">
        <f t="shared" si="6"/>
        <v>0.13603610346882111</v>
      </c>
      <c r="U57" s="26">
        <f>1-Kaplan_Meier!G52</f>
        <v>0.11889797146583048</v>
      </c>
      <c r="V57" s="25">
        <f t="shared" si="7"/>
        <v>1.7138132002990636E-2</v>
      </c>
    </row>
    <row r="58" spans="1:22" ht="14.5" x14ac:dyDescent="0.35">
      <c r="R58" s="23">
        <f>Metodo_Grafico!B53</f>
        <v>1922.1</v>
      </c>
      <c r="S58" s="24">
        <f>Metodo_Grafico!C53</f>
        <v>0</v>
      </c>
      <c r="T58" s="25">
        <f t="shared" si="6"/>
        <v>0.13885630225258905</v>
      </c>
      <c r="U58" s="26">
        <f>1-Kaplan_Meier!G53</f>
        <v>0.11889797146583048</v>
      </c>
      <c r="V58" s="25">
        <f t="shared" si="7"/>
        <v>0</v>
      </c>
    </row>
    <row r="59" spans="1:22" ht="14.5" x14ac:dyDescent="0.35">
      <c r="R59" s="23">
        <f>Metodo_Grafico!B54</f>
        <v>1978.3</v>
      </c>
      <c r="S59" s="24">
        <f>Metodo_Grafico!C54</f>
        <v>1</v>
      </c>
      <c r="T59" s="25">
        <f t="shared" si="6"/>
        <v>0.14625705341681683</v>
      </c>
      <c r="U59" s="26">
        <f>1-Kaplan_Meier!G54</f>
        <v>0.12461941320955883</v>
      </c>
      <c r="V59" s="25">
        <f t="shared" si="7"/>
        <v>2.1637640207258002E-2</v>
      </c>
    </row>
    <row r="60" spans="1:22" ht="14.5" x14ac:dyDescent="0.35">
      <c r="R60" s="23">
        <f>Metodo_Grafico!B55</f>
        <v>2009.2</v>
      </c>
      <c r="S60" s="24">
        <f>Metodo_Grafico!C55</f>
        <v>1</v>
      </c>
      <c r="T60" s="25">
        <f t="shared" si="6"/>
        <v>0.15038430270119174</v>
      </c>
      <c r="U60" s="26">
        <f>1-Kaplan_Meier!G55</f>
        <v>0.13034085495328718</v>
      </c>
      <c r="V60" s="25">
        <f t="shared" si="7"/>
        <v>2.0043447747904564E-2</v>
      </c>
    </row>
    <row r="61" spans="1:22" ht="14.5" x14ac:dyDescent="0.35">
      <c r="R61" s="23">
        <f>Metodo_Grafico!B56</f>
        <v>2040</v>
      </c>
      <c r="S61" s="24">
        <f>Metodo_Grafico!C56</f>
        <v>1</v>
      </c>
      <c r="T61" s="25">
        <f t="shared" si="6"/>
        <v>0.15453820227025683</v>
      </c>
      <c r="U61" s="26">
        <f>1-Kaplan_Meier!G56</f>
        <v>0.13606229669701553</v>
      </c>
      <c r="V61" s="25">
        <f t="shared" si="7"/>
        <v>1.8475905573241302E-2</v>
      </c>
    </row>
    <row r="62" spans="1:22" ht="14.5" x14ac:dyDescent="0.35">
      <c r="R62" s="23">
        <f>Metodo_Grafico!B57</f>
        <v>2063.6</v>
      </c>
      <c r="S62" s="24">
        <f>Metodo_Grafico!C57</f>
        <v>1</v>
      </c>
      <c r="T62" s="25">
        <f t="shared" si="6"/>
        <v>0.15774757087361024</v>
      </c>
      <c r="U62" s="26">
        <f>1-Kaplan_Meier!G57</f>
        <v>0.14178373844074388</v>
      </c>
      <c r="V62" s="25">
        <f t="shared" si="7"/>
        <v>1.5963832432866365E-2</v>
      </c>
    </row>
    <row r="63" spans="1:22" ht="14.5" x14ac:dyDescent="0.35">
      <c r="R63" s="23">
        <f>Metodo_Grafico!B58</f>
        <v>2071.6999999999998</v>
      </c>
      <c r="S63" s="24">
        <f>Metodo_Grafico!C58</f>
        <v>1</v>
      </c>
      <c r="T63" s="25">
        <f t="shared" si="6"/>
        <v>0.15885431758080182</v>
      </c>
      <c r="U63" s="26">
        <f>1-Kaplan_Meier!G58</f>
        <v>0.14750518018447234</v>
      </c>
      <c r="V63" s="25">
        <f t="shared" si="7"/>
        <v>1.1349137396329478E-2</v>
      </c>
    </row>
    <row r="64" spans="1:22" ht="14.5" x14ac:dyDescent="0.35">
      <c r="R64" s="23">
        <f>Metodo_Grafico!B59</f>
        <v>2085.5</v>
      </c>
      <c r="S64" s="24">
        <f>Metodo_Grafico!C59</f>
        <v>0</v>
      </c>
      <c r="T64" s="25">
        <f t="shared" si="6"/>
        <v>0.16074597197101415</v>
      </c>
      <c r="U64" s="26">
        <f>1-Kaplan_Meier!G59</f>
        <v>0.14750518018447234</v>
      </c>
      <c r="V64" s="25">
        <f t="shared" si="7"/>
        <v>0</v>
      </c>
    </row>
    <row r="65" spans="18:22" ht="14.5" x14ac:dyDescent="0.35">
      <c r="R65" s="23">
        <f>Metodo_Grafico!B60</f>
        <v>2087.1</v>
      </c>
      <c r="S65" s="24">
        <f>Metodo_Grafico!C60</f>
        <v>1</v>
      </c>
      <c r="T65" s="25">
        <f t="shared" si="6"/>
        <v>0.16096578765353975</v>
      </c>
      <c r="U65" s="26">
        <f>1-Kaplan_Meier!G60</f>
        <v>0.15326528031836106</v>
      </c>
      <c r="V65" s="25">
        <f t="shared" si="7"/>
        <v>7.7005073351786857E-3</v>
      </c>
    </row>
    <row r="66" spans="18:22" ht="14.5" x14ac:dyDescent="0.35">
      <c r="R66" s="23">
        <f>Metodo_Grafico!B61</f>
        <v>2110.6</v>
      </c>
      <c r="S66" s="24">
        <f>Metodo_Grafico!C61</f>
        <v>1</v>
      </c>
      <c r="T66" s="25">
        <f t="shared" si="6"/>
        <v>0.16420603353466279</v>
      </c>
      <c r="U66" s="26">
        <f>1-Kaplan_Meier!G61</f>
        <v>0.15902538045224979</v>
      </c>
      <c r="V66" s="25">
        <f t="shared" si="7"/>
        <v>5.1806530824130004E-3</v>
      </c>
    </row>
    <row r="67" spans="18:22" ht="14.5" x14ac:dyDescent="0.35">
      <c r="R67" s="23">
        <f>Metodo_Grafico!B62</f>
        <v>2153.1999999999998</v>
      </c>
      <c r="S67" s="24">
        <f>Metodo_Grafico!C62</f>
        <v>1</v>
      </c>
      <c r="T67" s="25">
        <f t="shared" si="6"/>
        <v>0.17013480119809643</v>
      </c>
      <c r="U67" s="26">
        <f>1-Kaplan_Meier!G62</f>
        <v>0.16478548058613851</v>
      </c>
      <c r="V67" s="25">
        <f t="shared" si="7"/>
        <v>5.3493206119579195E-3</v>
      </c>
    </row>
    <row r="68" spans="18:22" ht="14.5" x14ac:dyDescent="0.35">
      <c r="R68" s="23">
        <f>Metodo_Grafico!B63</f>
        <v>2167.1999999999998</v>
      </c>
      <c r="S68" s="24">
        <f>Metodo_Grafico!C63</f>
        <v>0</v>
      </c>
      <c r="T68" s="25">
        <f t="shared" si="6"/>
        <v>0.17209838565943258</v>
      </c>
      <c r="U68" s="26">
        <f>1-Kaplan_Meier!G63</f>
        <v>0.16478548058613851</v>
      </c>
      <c r="V68" s="25">
        <f t="shared" si="7"/>
        <v>0</v>
      </c>
    </row>
    <row r="69" spans="18:22" ht="14.5" x14ac:dyDescent="0.35">
      <c r="R69" s="23">
        <f>Metodo_Grafico!B64</f>
        <v>2186.8000000000002</v>
      </c>
      <c r="S69" s="24">
        <f>Metodo_Grafico!C64</f>
        <v>1</v>
      </c>
      <c r="T69" s="25">
        <f t="shared" si="6"/>
        <v>0.1748597659313057</v>
      </c>
      <c r="U69" s="26">
        <f>1-Kaplan_Meier!G64</f>
        <v>0.17058558141540137</v>
      </c>
      <c r="V69" s="25">
        <f t="shared" si="7"/>
        <v>4.2741845159043335E-3</v>
      </c>
    </row>
    <row r="70" spans="18:22" ht="14.5" x14ac:dyDescent="0.35">
      <c r="R70" s="23">
        <f>Metodo_Grafico!B65</f>
        <v>2189.6999999999998</v>
      </c>
      <c r="S70" s="24">
        <f>Metodo_Grafico!C65</f>
        <v>0</v>
      </c>
      <c r="T70" s="25">
        <f t="shared" si="6"/>
        <v>0.17526955092238883</v>
      </c>
      <c r="U70" s="26">
        <f>1-Kaplan_Meier!G65</f>
        <v>0.17058558141540137</v>
      </c>
      <c r="V70" s="25">
        <f t="shared" si="7"/>
        <v>0</v>
      </c>
    </row>
    <row r="71" spans="18:22" ht="14.5" x14ac:dyDescent="0.35">
      <c r="R71" s="23">
        <f>Metodo_Grafico!B66</f>
        <v>2289.6999999999998</v>
      </c>
      <c r="S71" s="24">
        <f>Metodo_Grafico!C66</f>
        <v>1</v>
      </c>
      <c r="T71" s="25">
        <f t="shared" si="6"/>
        <v>0.18958537552355859</v>
      </c>
      <c r="U71" s="26">
        <f>1-Kaplan_Meier!G66</f>
        <v>0.17642652802515202</v>
      </c>
      <c r="V71" s="25">
        <f t="shared" si="7"/>
        <v>1.3158847498406567E-2</v>
      </c>
    </row>
    <row r="72" spans="18:22" ht="14.5" x14ac:dyDescent="0.35">
      <c r="R72" s="23">
        <f>Metodo_Grafico!B67</f>
        <v>2298.1999999999998</v>
      </c>
      <c r="S72" s="24">
        <f>Metodo_Grafico!C67</f>
        <v>0</v>
      </c>
      <c r="T72" s="25">
        <f t="shared" si="6"/>
        <v>0.19081833499634437</v>
      </c>
      <c r="U72" s="26">
        <f>1-Kaplan_Meier!G67</f>
        <v>0.17642652802515202</v>
      </c>
      <c r="V72" s="25">
        <f t="shared" si="7"/>
        <v>0</v>
      </c>
    </row>
    <row r="73" spans="18:22" ht="14.5" x14ac:dyDescent="0.35">
      <c r="R73" s="23">
        <f>Metodo_Grafico!B68</f>
        <v>2302.4</v>
      </c>
      <c r="S73" s="24">
        <f>Metodo_Grafico!C68</f>
        <v>1</v>
      </c>
      <c r="T73" s="25">
        <f t="shared" si="6"/>
        <v>0.19142846509276035</v>
      </c>
      <c r="U73" s="26">
        <f>1-Kaplan_Meier!G68</f>
        <v>0.18230919568211523</v>
      </c>
      <c r="V73" s="25">
        <f t="shared" si="7"/>
        <v>9.1192694106451144E-3</v>
      </c>
    </row>
    <row r="74" spans="18:22" ht="14.5" x14ac:dyDescent="0.35">
      <c r="R74" s="23">
        <f>Metodo_Grafico!B69</f>
        <v>2338.6999999999998</v>
      </c>
      <c r="S74" s="24">
        <f>Metodo_Grafico!C69</f>
        <v>1</v>
      </c>
      <c r="T74" s="25">
        <f t="shared" si="6"/>
        <v>0.19672627515009178</v>
      </c>
      <c r="U74" s="26">
        <f>1-Kaplan_Meier!G69</f>
        <v>0.18819186333907845</v>
      </c>
      <c r="V74" s="25">
        <f t="shared" si="7"/>
        <v>8.5344118110133316E-3</v>
      </c>
    </row>
    <row r="75" spans="18:22" ht="14.5" x14ac:dyDescent="0.35">
      <c r="R75" s="23">
        <f>Metodo_Grafico!B70</f>
        <v>2361.4</v>
      </c>
      <c r="S75" s="24">
        <f>Metodo_Grafico!C70</f>
        <v>1</v>
      </c>
      <c r="T75" s="25">
        <f t="shared" si="6"/>
        <v>0.20006118084521274</v>
      </c>
      <c r="U75" s="26">
        <f>1-Kaplan_Meier!G70</f>
        <v>0.19407453099604166</v>
      </c>
      <c r="V75" s="25">
        <f t="shared" si="7"/>
        <v>5.9866498491710773E-3</v>
      </c>
    </row>
    <row r="76" spans="18:22" ht="14.5" x14ac:dyDescent="0.35">
      <c r="R76" s="23">
        <f>Metodo_Grafico!B71</f>
        <v>2372.5</v>
      </c>
      <c r="S76" s="24">
        <f>Metodo_Grafico!C71</f>
        <v>0</v>
      </c>
      <c r="T76" s="25">
        <f t="shared" si="6"/>
        <v>0.20169792765397154</v>
      </c>
      <c r="U76" s="26">
        <f>1-Kaplan_Meier!G71</f>
        <v>0.19407453099604166</v>
      </c>
      <c r="V76" s="25">
        <f t="shared" si="7"/>
        <v>0</v>
      </c>
    </row>
    <row r="77" spans="18:22" ht="14.5" x14ac:dyDescent="0.35">
      <c r="R77" s="23">
        <f>Metodo_Grafico!B72</f>
        <v>2388.3000000000002</v>
      </c>
      <c r="S77" s="24">
        <f>Metodo_Grafico!C72</f>
        <v>1</v>
      </c>
      <c r="T77" s="25">
        <f t="shared" ref="T77:T108" si="8">1-EXP(-((R77/$I$6)^$I$5))</f>
        <v>0.20403443160937829</v>
      </c>
      <c r="U77" s="26">
        <f>1-Kaplan_Meier!G72</f>
        <v>0.20000045356224727</v>
      </c>
      <c r="V77" s="25">
        <f t="shared" ref="V77:V108" si="9">IF(S77=1,ABS(T77-U77),0)</f>
        <v>4.0339780471310149E-3</v>
      </c>
    </row>
    <row r="78" spans="18:22" ht="14.5" x14ac:dyDescent="0.35">
      <c r="R78" s="23">
        <f>Metodo_Grafico!B73</f>
        <v>2396.1999999999998</v>
      </c>
      <c r="S78" s="24">
        <f>Metodo_Grafico!C73</f>
        <v>1</v>
      </c>
      <c r="T78" s="25">
        <f t="shared" si="8"/>
        <v>0.20520561251724656</v>
      </c>
      <c r="U78" s="26">
        <f>1-Kaplan_Meier!G73</f>
        <v>0.20592637612845288</v>
      </c>
      <c r="V78" s="25">
        <f t="shared" si="9"/>
        <v>7.2076361120632093E-4</v>
      </c>
    </row>
    <row r="79" spans="18:22" ht="14.5" x14ac:dyDescent="0.35">
      <c r="R79" s="23">
        <f>Metodo_Grafico!B74</f>
        <v>2411.5</v>
      </c>
      <c r="S79" s="24">
        <f>Metodo_Grafico!C74</f>
        <v>1</v>
      </c>
      <c r="T79" s="25">
        <f t="shared" si="8"/>
        <v>0.20747933492316017</v>
      </c>
      <c r="U79" s="26">
        <f>1-Kaplan_Meier!G74</f>
        <v>0.21185229869465849</v>
      </c>
      <c r="V79" s="25">
        <f t="shared" si="9"/>
        <v>4.3729637714983172E-3</v>
      </c>
    </row>
    <row r="80" spans="18:22" ht="14.5" x14ac:dyDescent="0.35">
      <c r="R80" s="23">
        <f>Metodo_Grafico!B75</f>
        <v>2435.6999999999998</v>
      </c>
      <c r="S80" s="24">
        <f>Metodo_Grafico!C75</f>
        <v>0</v>
      </c>
      <c r="T80" s="25">
        <f t="shared" si="8"/>
        <v>0.21109023494441947</v>
      </c>
      <c r="U80" s="26">
        <f>1-Kaplan_Meier!G75</f>
        <v>0.21185229869465849</v>
      </c>
      <c r="V80" s="25">
        <f t="shared" si="9"/>
        <v>0</v>
      </c>
    </row>
    <row r="81" spans="18:22" ht="14.5" x14ac:dyDescent="0.35">
      <c r="R81" s="23">
        <f>Metodo_Grafico!B76</f>
        <v>2447.4</v>
      </c>
      <c r="S81" s="24">
        <f>Metodo_Grafico!C76</f>
        <v>0</v>
      </c>
      <c r="T81" s="25">
        <f t="shared" si="8"/>
        <v>0.21284229228529938</v>
      </c>
      <c r="U81" s="26">
        <f>1-Kaplan_Meier!G76</f>
        <v>0.21185229869465849</v>
      </c>
      <c r="V81" s="25">
        <f t="shared" si="9"/>
        <v>0</v>
      </c>
    </row>
    <row r="82" spans="18:22" ht="14.5" x14ac:dyDescent="0.35">
      <c r="R82" s="23">
        <f>Metodo_Grafico!B77</f>
        <v>2448.5</v>
      </c>
      <c r="S82" s="24">
        <f>Metodo_Grafico!C77</f>
        <v>1</v>
      </c>
      <c r="T82" s="25">
        <f t="shared" si="8"/>
        <v>0.21300722401355043</v>
      </c>
      <c r="U82" s="26">
        <f>1-Kaplan_Meier!G77</f>
        <v>0.21786869336111148</v>
      </c>
      <c r="V82" s="25">
        <f t="shared" si="9"/>
        <v>4.8614693475610427E-3</v>
      </c>
    </row>
    <row r="83" spans="18:22" ht="14.5" x14ac:dyDescent="0.35">
      <c r="R83" s="23">
        <f>Metodo_Grafico!B78</f>
        <v>2448.6</v>
      </c>
      <c r="S83" s="24">
        <f>Metodo_Grafico!C78</f>
        <v>0</v>
      </c>
      <c r="T83" s="25">
        <f t="shared" si="8"/>
        <v>0.2130222195755912</v>
      </c>
      <c r="U83" s="26">
        <f>1-Kaplan_Meier!G78</f>
        <v>0.21786869336111148</v>
      </c>
      <c r="V83" s="25">
        <f t="shared" si="9"/>
        <v>0</v>
      </c>
    </row>
    <row r="84" spans="18:22" ht="14.5" x14ac:dyDescent="0.35">
      <c r="R84" s="23">
        <f>Metodo_Grafico!B79</f>
        <v>2450.8000000000002</v>
      </c>
      <c r="S84" s="24">
        <f>Metodo_Grafico!C79</f>
        <v>1</v>
      </c>
      <c r="T84" s="25">
        <f t="shared" si="8"/>
        <v>0.21335219643183734</v>
      </c>
      <c r="U84" s="26">
        <f>1-Kaplan_Meier!G79</f>
        <v>0.22393172674590911</v>
      </c>
      <c r="V84" s="25">
        <f t="shared" si="9"/>
        <v>1.0579530314071772E-2</v>
      </c>
    </row>
    <row r="85" spans="18:22" ht="14.5" x14ac:dyDescent="0.35">
      <c r="R85" s="23">
        <f>Metodo_Grafico!B80</f>
        <v>2474.1</v>
      </c>
      <c r="S85" s="24">
        <f>Metodo_Grafico!C80</f>
        <v>1</v>
      </c>
      <c r="T85" s="25">
        <f t="shared" si="8"/>
        <v>0.21685562472240938</v>
      </c>
      <c r="U85" s="26">
        <f>1-Kaplan_Meier!G80</f>
        <v>0.22999476013070674</v>
      </c>
      <c r="V85" s="25">
        <f t="shared" si="9"/>
        <v>1.3139135408297364E-2</v>
      </c>
    </row>
    <row r="86" spans="18:22" ht="14.5" x14ac:dyDescent="0.35">
      <c r="R86" s="23">
        <f>Metodo_Grafico!B81</f>
        <v>2480.6</v>
      </c>
      <c r="S86" s="24">
        <f>Metodo_Grafico!C81</f>
        <v>1</v>
      </c>
      <c r="T86" s="25">
        <f t="shared" si="8"/>
        <v>0.2178357736701253</v>
      </c>
      <c r="U86" s="26">
        <f>1-Kaplan_Meier!G81</f>
        <v>0.23605779351550427</v>
      </c>
      <c r="V86" s="25">
        <f t="shared" si="9"/>
        <v>1.8222019845378967E-2</v>
      </c>
    </row>
    <row r="87" spans="18:22" ht="14.5" x14ac:dyDescent="0.35">
      <c r="R87" s="23">
        <f>Metodo_Grafico!B82</f>
        <v>2505.5</v>
      </c>
      <c r="S87" s="24">
        <f>Metodo_Grafico!C82</f>
        <v>1</v>
      </c>
      <c r="T87" s="25">
        <f t="shared" si="8"/>
        <v>0.22160158446670675</v>
      </c>
      <c r="U87" s="26">
        <f>1-Kaplan_Meier!G82</f>
        <v>0.24212082690030179</v>
      </c>
      <c r="V87" s="25">
        <f t="shared" si="9"/>
        <v>2.0519242433595042E-2</v>
      </c>
    </row>
    <row r="88" spans="18:22" ht="14.5" x14ac:dyDescent="0.35">
      <c r="R88" s="23">
        <f>Metodo_Grafico!B83</f>
        <v>2577.6</v>
      </c>
      <c r="S88" s="24">
        <f>Metodo_Grafico!C83</f>
        <v>1</v>
      </c>
      <c r="T88" s="25">
        <f t="shared" si="8"/>
        <v>0.23260147513316487</v>
      </c>
      <c r="U88" s="26">
        <f>1-Kaplan_Meier!G83</f>
        <v>0.24818386028509942</v>
      </c>
      <c r="V88" s="25">
        <f t="shared" si="9"/>
        <v>1.5582385151934552E-2</v>
      </c>
    </row>
    <row r="89" spans="18:22" ht="14.5" x14ac:dyDescent="0.35">
      <c r="R89" s="23">
        <f>Metodo_Grafico!B84</f>
        <v>2587.9</v>
      </c>
      <c r="S89" s="24">
        <f>Metodo_Grafico!C84</f>
        <v>0</v>
      </c>
      <c r="T89" s="25">
        <f t="shared" si="8"/>
        <v>0.23418405986852064</v>
      </c>
      <c r="U89" s="26">
        <f>1-Kaplan_Meier!G84</f>
        <v>0.24818386028509942</v>
      </c>
      <c r="V89" s="25">
        <f t="shared" si="9"/>
        <v>0</v>
      </c>
    </row>
    <row r="90" spans="18:22" ht="14.5" x14ac:dyDescent="0.35">
      <c r="R90" s="23">
        <f>Metodo_Grafico!B85</f>
        <v>2624.6</v>
      </c>
      <c r="S90" s="24">
        <f>Metodo_Grafico!C85</f>
        <v>0</v>
      </c>
      <c r="T90" s="25">
        <f t="shared" si="8"/>
        <v>0.23984469453964563</v>
      </c>
      <c r="U90" s="26">
        <f>1-Kaplan_Meier!G85</f>
        <v>0.24818386028509942</v>
      </c>
      <c r="V90" s="25">
        <f t="shared" si="9"/>
        <v>0</v>
      </c>
    </row>
    <row r="91" spans="18:22" ht="14.5" x14ac:dyDescent="0.35">
      <c r="R91" s="23">
        <f>Metodo_Grafico!B86</f>
        <v>2673.1</v>
      </c>
      <c r="S91" s="24">
        <f>Metodo_Grafico!C86</f>
        <v>0</v>
      </c>
      <c r="T91" s="25">
        <f t="shared" si="8"/>
        <v>0.24737549802865633</v>
      </c>
      <c r="U91" s="26">
        <f>1-Kaplan_Meier!G86</f>
        <v>0.24818386028509942</v>
      </c>
      <c r="V91" s="25">
        <f t="shared" si="9"/>
        <v>0</v>
      </c>
    </row>
    <row r="92" spans="18:22" ht="14.5" x14ac:dyDescent="0.35">
      <c r="R92" s="23">
        <f>Metodo_Grafico!B87</f>
        <v>2686.6</v>
      </c>
      <c r="S92" s="24">
        <f>Metodo_Grafico!C87</f>
        <v>1</v>
      </c>
      <c r="T92" s="25">
        <f t="shared" si="8"/>
        <v>0.24948145861313675</v>
      </c>
      <c r="U92" s="26">
        <f>1-Kaplan_Meier!G87</f>
        <v>0.25439721681166882</v>
      </c>
      <c r="V92" s="25">
        <f t="shared" si="9"/>
        <v>4.915758198532072E-3</v>
      </c>
    </row>
    <row r="93" spans="18:22" ht="14.5" x14ac:dyDescent="0.35">
      <c r="R93" s="23">
        <f>Metodo_Grafico!B88</f>
        <v>2689.4</v>
      </c>
      <c r="S93" s="24">
        <f>Metodo_Grafico!C88</f>
        <v>0</v>
      </c>
      <c r="T93" s="25">
        <f t="shared" si="8"/>
        <v>0.24991876833756177</v>
      </c>
      <c r="U93" s="26">
        <f>1-Kaplan_Meier!G88</f>
        <v>0.25439721681166882</v>
      </c>
      <c r="V93" s="25">
        <f t="shared" si="9"/>
        <v>0</v>
      </c>
    </row>
    <row r="94" spans="18:22" ht="14.5" x14ac:dyDescent="0.35">
      <c r="R94" s="23">
        <f>Metodo_Grafico!B89</f>
        <v>2690.6</v>
      </c>
      <c r="S94" s="24">
        <f>Metodo_Grafico!C89</f>
        <v>1</v>
      </c>
      <c r="T94" s="25">
        <f t="shared" si="8"/>
        <v>0.25010624085709188</v>
      </c>
      <c r="U94" s="26">
        <f>1-Kaplan_Meier!G89</f>
        <v>0.26066278641829344</v>
      </c>
      <c r="V94" s="25">
        <f t="shared" si="9"/>
        <v>1.0556545561201558E-2</v>
      </c>
    </row>
    <row r="95" spans="18:22" ht="14.5" x14ac:dyDescent="0.35">
      <c r="R95" s="23">
        <f>Metodo_Grafico!B90</f>
        <v>2732.7</v>
      </c>
      <c r="S95" s="24">
        <f>Metodo_Grafico!C90</f>
        <v>0</v>
      </c>
      <c r="T95" s="25">
        <f t="shared" si="8"/>
        <v>0.25670353337411322</v>
      </c>
      <c r="U95" s="26">
        <f>1-Kaplan_Meier!G90</f>
        <v>0.26066278641829344</v>
      </c>
      <c r="V95" s="25">
        <f t="shared" si="9"/>
        <v>0</v>
      </c>
    </row>
    <row r="96" spans="18:22" ht="14.5" x14ac:dyDescent="0.35">
      <c r="R96" s="23">
        <f>Metodo_Grafico!B91</f>
        <v>2790.3</v>
      </c>
      <c r="S96" s="24">
        <f>Metodo_Grafico!C91</f>
        <v>1</v>
      </c>
      <c r="T96" s="25">
        <f t="shared" si="8"/>
        <v>0.26579041541027559</v>
      </c>
      <c r="U96" s="26">
        <f>1-Kaplan_Meier!G91</f>
        <v>0.2669819079018978</v>
      </c>
      <c r="V96" s="25">
        <f t="shared" si="9"/>
        <v>1.1914924916222036E-3</v>
      </c>
    </row>
    <row r="97" spans="18:22" ht="14.5" x14ac:dyDescent="0.35">
      <c r="R97" s="23">
        <f>Metodo_Grafico!B92</f>
        <v>2840.9</v>
      </c>
      <c r="S97" s="24">
        <f>Metodo_Grafico!C92</f>
        <v>0</v>
      </c>
      <c r="T97" s="25">
        <f t="shared" si="8"/>
        <v>0.2738269080332062</v>
      </c>
      <c r="U97" s="26">
        <f>1-Kaplan_Meier!G92</f>
        <v>0.2669819079018978</v>
      </c>
      <c r="V97" s="25">
        <f t="shared" si="9"/>
        <v>0</v>
      </c>
    </row>
    <row r="98" spans="18:22" ht="14.5" x14ac:dyDescent="0.35">
      <c r="R98" s="23">
        <f>Metodo_Grafico!B93</f>
        <v>2871.5</v>
      </c>
      <c r="S98" s="24">
        <f>Metodo_Grafico!C93</f>
        <v>1</v>
      </c>
      <c r="T98" s="25">
        <f t="shared" si="8"/>
        <v>0.27870976053676533</v>
      </c>
      <c r="U98" s="26">
        <f>1-Kaplan_Meier!G93</f>
        <v>0.2733559782679682</v>
      </c>
      <c r="V98" s="25">
        <f t="shared" si="9"/>
        <v>5.3537822687971248E-3</v>
      </c>
    </row>
    <row r="99" spans="18:22" ht="14.5" x14ac:dyDescent="0.35">
      <c r="R99" s="23">
        <f>Metodo_Grafico!B94</f>
        <v>2935.3</v>
      </c>
      <c r="S99" s="24">
        <f>Metodo_Grafico!C94</f>
        <v>0</v>
      </c>
      <c r="T99" s="25">
        <f t="shared" si="8"/>
        <v>0.2889416009420841</v>
      </c>
      <c r="U99" s="26">
        <f>1-Kaplan_Meier!G94</f>
        <v>0.2733559782679682</v>
      </c>
      <c r="V99" s="25">
        <f t="shared" si="9"/>
        <v>0</v>
      </c>
    </row>
    <row r="100" spans="18:22" ht="14.5" x14ac:dyDescent="0.35">
      <c r="R100" s="23">
        <f>Metodo_Grafico!B95</f>
        <v>2953</v>
      </c>
      <c r="S100" s="24">
        <f>Metodo_Grafico!C95</f>
        <v>0</v>
      </c>
      <c r="T100" s="25">
        <f t="shared" si="8"/>
        <v>0.29179173410279313</v>
      </c>
      <c r="U100" s="26">
        <f>1-Kaplan_Meier!G95</f>
        <v>0.2733559782679682</v>
      </c>
      <c r="V100" s="25">
        <f t="shared" si="9"/>
        <v>0</v>
      </c>
    </row>
    <row r="101" spans="18:22" ht="14.5" x14ac:dyDescent="0.35">
      <c r="R101" s="23">
        <f>Metodo_Grafico!B96</f>
        <v>2968.1</v>
      </c>
      <c r="S101" s="24">
        <f>Metodo_Grafico!C96</f>
        <v>1</v>
      </c>
      <c r="T101" s="25">
        <f t="shared" si="8"/>
        <v>0.29422693561775104</v>
      </c>
      <c r="U101" s="26">
        <f>1-Kaplan_Meier!G96</f>
        <v>0.27984387131914701</v>
      </c>
      <c r="V101" s="25">
        <f t="shared" si="9"/>
        <v>1.4383064298604031E-2</v>
      </c>
    </row>
    <row r="102" spans="18:22" ht="14.5" x14ac:dyDescent="0.35">
      <c r="R102" s="23">
        <f>Metodo_Grafico!B97</f>
        <v>2986.6</v>
      </c>
      <c r="S102" s="24">
        <f>Metodo_Grafico!C97</f>
        <v>0</v>
      </c>
      <c r="T102" s="25">
        <f t="shared" si="8"/>
        <v>0.29721499646995519</v>
      </c>
      <c r="U102" s="26">
        <f>1-Kaplan_Meier!G97</f>
        <v>0.27984387131914701</v>
      </c>
      <c r="V102" s="25">
        <f t="shared" si="9"/>
        <v>0</v>
      </c>
    </row>
    <row r="103" spans="18:22" ht="14.5" x14ac:dyDescent="0.35">
      <c r="R103" s="23">
        <f>Metodo_Grafico!B98</f>
        <v>3033.6</v>
      </c>
      <c r="S103" s="24">
        <f>Metodo_Grafico!C98</f>
        <v>0</v>
      </c>
      <c r="T103" s="25">
        <f t="shared" si="8"/>
        <v>0.30482760264332887</v>
      </c>
      <c r="U103" s="26">
        <f>1-Kaplan_Meier!G98</f>
        <v>0.27984387131914701</v>
      </c>
      <c r="V103" s="25">
        <f t="shared" si="9"/>
        <v>0</v>
      </c>
    </row>
    <row r="104" spans="18:22" ht="14.5" x14ac:dyDescent="0.35">
      <c r="R104" s="23">
        <f>Metodo_Grafico!B99</f>
        <v>3046.4</v>
      </c>
      <c r="S104" s="24">
        <f>Metodo_Grafico!C99</f>
        <v>1</v>
      </c>
      <c r="T104" s="25">
        <f t="shared" si="8"/>
        <v>0.30690584703773338</v>
      </c>
      <c r="U104" s="26">
        <f>1-Kaplan_Meier!G99</f>
        <v>0.28645080827952174</v>
      </c>
      <c r="V104" s="25">
        <f t="shared" si="9"/>
        <v>2.0455038758211641E-2</v>
      </c>
    </row>
    <row r="105" spans="18:22" ht="14.5" x14ac:dyDescent="0.35">
      <c r="R105" s="23">
        <f>Metodo_Grafico!B100</f>
        <v>3069.7</v>
      </c>
      <c r="S105" s="24">
        <f>Metodo_Grafico!C100</f>
        <v>1</v>
      </c>
      <c r="T105" s="25">
        <f t="shared" si="8"/>
        <v>0.31069410133828135</v>
      </c>
      <c r="U105" s="26">
        <f>1-Kaplan_Meier!G100</f>
        <v>0.29305774523989658</v>
      </c>
      <c r="V105" s="25">
        <f t="shared" si="9"/>
        <v>1.7636356098384764E-2</v>
      </c>
    </row>
    <row r="106" spans="18:22" ht="14.5" x14ac:dyDescent="0.35">
      <c r="R106" s="23">
        <f>Metodo_Grafico!B101</f>
        <v>3079.7</v>
      </c>
      <c r="S106" s="24">
        <f>Metodo_Grafico!C101</f>
        <v>0</v>
      </c>
      <c r="T106" s="25">
        <f t="shared" si="8"/>
        <v>0.31232195006607066</v>
      </c>
      <c r="U106" s="26">
        <f>1-Kaplan_Meier!G101</f>
        <v>0.29305774523989658</v>
      </c>
      <c r="V106" s="25">
        <f t="shared" si="9"/>
        <v>0</v>
      </c>
    </row>
    <row r="107" spans="18:22" ht="14.5" x14ac:dyDescent="0.35">
      <c r="R107" s="23">
        <f>Metodo_Grafico!B102</f>
        <v>3131</v>
      </c>
      <c r="S107" s="24">
        <f>Metodo_Grafico!C102</f>
        <v>0</v>
      </c>
      <c r="T107" s="25">
        <f t="shared" si="8"/>
        <v>0.3206903817622333</v>
      </c>
      <c r="U107" s="26">
        <f>1-Kaplan_Meier!G102</f>
        <v>0.29305774523989658</v>
      </c>
      <c r="V107" s="25">
        <f t="shared" si="9"/>
        <v>0</v>
      </c>
    </row>
    <row r="108" spans="18:22" ht="14.5" x14ac:dyDescent="0.35">
      <c r="R108" s="23">
        <f>Metodo_Grafico!B103</f>
        <v>3224.7</v>
      </c>
      <c r="S108" s="24">
        <f>Metodo_Grafico!C103</f>
        <v>0</v>
      </c>
      <c r="T108" s="25">
        <f t="shared" si="8"/>
        <v>0.33604180676302597</v>
      </c>
      <c r="U108" s="26">
        <f>1-Kaplan_Meier!G103</f>
        <v>0.29305774523989658</v>
      </c>
      <c r="V108" s="25">
        <f t="shared" si="9"/>
        <v>0</v>
      </c>
    </row>
    <row r="109" spans="18:22" ht="14.5" x14ac:dyDescent="0.35">
      <c r="R109" s="23">
        <f>Metodo_Grafico!B104</f>
        <v>3257.9</v>
      </c>
      <c r="S109" s="24">
        <f>Metodo_Grafico!C104</f>
        <v>0</v>
      </c>
      <c r="T109" s="25">
        <f t="shared" ref="T109:T140" si="10">1-EXP(-((R109/$I$6)^$I$5))</f>
        <v>0.34149838992934645</v>
      </c>
      <c r="U109" s="26">
        <f>1-Kaplan_Meier!G104</f>
        <v>0.29305774523989658</v>
      </c>
      <c r="V109" s="25">
        <f t="shared" ref="V109:V140" si="11">IF(S109=1,ABS(T109-U109),0)</f>
        <v>0</v>
      </c>
    </row>
    <row r="110" spans="18:22" ht="14.5" x14ac:dyDescent="0.35">
      <c r="R110" s="23">
        <f>Metodo_Grafico!B105</f>
        <v>3262.9</v>
      </c>
      <c r="S110" s="24">
        <f>Metodo_Grafico!C105</f>
        <v>1</v>
      </c>
      <c r="T110" s="25">
        <f t="shared" si="10"/>
        <v>0.34232083405776847</v>
      </c>
      <c r="U110" s="26">
        <f>1-Kaplan_Meier!G105</f>
        <v>0.29992126227640248</v>
      </c>
      <c r="V110" s="25">
        <f t="shared" si="11"/>
        <v>4.2399571781365997E-2</v>
      </c>
    </row>
    <row r="111" spans="18:22" ht="14.5" x14ac:dyDescent="0.35">
      <c r="R111" s="23">
        <f>Metodo_Grafico!B106</f>
        <v>3289</v>
      </c>
      <c r="S111" s="24">
        <f>Metodo_Grafico!C106</f>
        <v>0</v>
      </c>
      <c r="T111" s="25">
        <f t="shared" si="10"/>
        <v>0.34661660864697863</v>
      </c>
      <c r="U111" s="26">
        <f>1-Kaplan_Meier!G106</f>
        <v>0.29992126227640248</v>
      </c>
      <c r="V111" s="25">
        <f t="shared" si="11"/>
        <v>0</v>
      </c>
    </row>
    <row r="112" spans="18:22" ht="14.5" x14ac:dyDescent="0.35">
      <c r="R112" s="23">
        <f>Metodo_Grafico!B107</f>
        <v>3290.7</v>
      </c>
      <c r="S112" s="24">
        <f>Metodo_Grafico!C107</f>
        <v>1</v>
      </c>
      <c r="T112" s="25">
        <f t="shared" si="10"/>
        <v>0.34689655559899613</v>
      </c>
      <c r="U112" s="26">
        <f>1-Kaplan_Meier!G107</f>
        <v>0.30685273492713117</v>
      </c>
      <c r="V112" s="25">
        <f t="shared" si="11"/>
        <v>4.004382067186496E-2</v>
      </c>
    </row>
    <row r="113" spans="18:22" ht="14.5" x14ac:dyDescent="0.35">
      <c r="R113" s="23">
        <f>Metodo_Grafico!B108</f>
        <v>3313.9</v>
      </c>
      <c r="S113" s="24">
        <f>Metodo_Grafico!C108</f>
        <v>1</v>
      </c>
      <c r="T113" s="25">
        <f t="shared" si="10"/>
        <v>0.35071865865180463</v>
      </c>
      <c r="U113" s="26">
        <f>1-Kaplan_Meier!G108</f>
        <v>0.31378420757785985</v>
      </c>
      <c r="V113" s="25">
        <f t="shared" si="11"/>
        <v>3.6934451073944774E-2</v>
      </c>
    </row>
    <row r="114" spans="18:22" ht="14.5" x14ac:dyDescent="0.35">
      <c r="R114" s="23">
        <f>Metodo_Grafico!B109</f>
        <v>3314.9</v>
      </c>
      <c r="S114" s="24">
        <f>Metodo_Grafico!C109</f>
        <v>1</v>
      </c>
      <c r="T114" s="25">
        <f t="shared" si="10"/>
        <v>0.35088347089133065</v>
      </c>
      <c r="U114" s="26">
        <f>1-Kaplan_Meier!G109</f>
        <v>0.32071568022858854</v>
      </c>
      <c r="V114" s="25">
        <f t="shared" si="11"/>
        <v>3.0167790662742111E-2</v>
      </c>
    </row>
    <row r="115" spans="18:22" ht="14.5" x14ac:dyDescent="0.35">
      <c r="R115" s="23">
        <f>Metodo_Grafico!B110</f>
        <v>3325.4</v>
      </c>
      <c r="S115" s="24">
        <f>Metodo_Grafico!C110</f>
        <v>1</v>
      </c>
      <c r="T115" s="25">
        <f t="shared" si="10"/>
        <v>0.35261431263262288</v>
      </c>
      <c r="U115" s="26">
        <f>1-Kaplan_Meier!G110</f>
        <v>0.32764715287931723</v>
      </c>
      <c r="V115" s="25">
        <f t="shared" si="11"/>
        <v>2.4967159753305657E-2</v>
      </c>
    </row>
    <row r="116" spans="18:22" ht="14.5" x14ac:dyDescent="0.35">
      <c r="R116" s="23">
        <f>Metodo_Grafico!B111</f>
        <v>3349</v>
      </c>
      <c r="S116" s="24">
        <f>Metodo_Grafico!C111</f>
        <v>1</v>
      </c>
      <c r="T116" s="25">
        <f t="shared" si="10"/>
        <v>0.35650655092834649</v>
      </c>
      <c r="U116" s="26">
        <f>1-Kaplan_Meier!G111</f>
        <v>0.33457862553004591</v>
      </c>
      <c r="V116" s="25">
        <f t="shared" si="11"/>
        <v>2.1927925398300574E-2</v>
      </c>
    </row>
    <row r="117" spans="18:22" ht="14.5" x14ac:dyDescent="0.35">
      <c r="R117" s="23">
        <f>Metodo_Grafico!B112</f>
        <v>3379.7</v>
      </c>
      <c r="S117" s="24">
        <f>Metodo_Grafico!C112</f>
        <v>1</v>
      </c>
      <c r="T117" s="25">
        <f t="shared" si="10"/>
        <v>0.36157336535183837</v>
      </c>
      <c r="U117" s="26">
        <f>1-Kaplan_Meier!G112</f>
        <v>0.3415100981807746</v>
      </c>
      <c r="V117" s="25">
        <f t="shared" si="11"/>
        <v>2.006326717106377E-2</v>
      </c>
    </row>
    <row r="118" spans="18:22" ht="14.5" x14ac:dyDescent="0.35">
      <c r="R118" s="23">
        <f>Metodo_Grafico!B113</f>
        <v>3387.5</v>
      </c>
      <c r="S118" s="24">
        <f>Metodo_Grafico!C113</f>
        <v>1</v>
      </c>
      <c r="T118" s="25">
        <f t="shared" si="10"/>
        <v>0.3628612689940528</v>
      </c>
      <c r="U118" s="26">
        <f>1-Kaplan_Meier!G113</f>
        <v>0.34844157083150329</v>
      </c>
      <c r="V118" s="25">
        <f t="shared" si="11"/>
        <v>1.441969816254951E-2</v>
      </c>
    </row>
    <row r="119" spans="18:22" ht="14.5" x14ac:dyDescent="0.35">
      <c r="R119" s="23">
        <f>Metodo_Grafico!B114</f>
        <v>3395</v>
      </c>
      <c r="S119" s="24">
        <f>Metodo_Grafico!C114</f>
        <v>1</v>
      </c>
      <c r="T119" s="25">
        <f t="shared" si="10"/>
        <v>0.36409983304213522</v>
      </c>
      <c r="U119" s="26">
        <f>1-Kaplan_Meier!G114</f>
        <v>0.35537304348223198</v>
      </c>
      <c r="V119" s="25">
        <f t="shared" si="11"/>
        <v>8.7267895599032475E-3</v>
      </c>
    </row>
    <row r="120" spans="18:22" ht="14.5" x14ac:dyDescent="0.35">
      <c r="R120" s="23">
        <f>Metodo_Grafico!B115</f>
        <v>3433.4</v>
      </c>
      <c r="S120" s="24">
        <f>Metodo_Grafico!C115</f>
        <v>0</v>
      </c>
      <c r="T120" s="25">
        <f t="shared" si="10"/>
        <v>0.37044387696079406</v>
      </c>
      <c r="U120" s="26">
        <f>1-Kaplan_Meier!G115</f>
        <v>0.35537304348223198</v>
      </c>
      <c r="V120" s="25">
        <f t="shared" si="11"/>
        <v>0</v>
      </c>
    </row>
    <row r="121" spans="18:22" ht="14.5" x14ac:dyDescent="0.35">
      <c r="R121" s="23">
        <f>Metodo_Grafico!B116</f>
        <v>3449.1</v>
      </c>
      <c r="S121" s="24">
        <f>Metodo_Grafico!C116</f>
        <v>1</v>
      </c>
      <c r="T121" s="25">
        <f t="shared" si="10"/>
        <v>0.37303869572474291</v>
      </c>
      <c r="U121" s="26">
        <f>1-Kaplan_Meier!G116</f>
        <v>0.36237985822699037</v>
      </c>
      <c r="V121" s="25">
        <f t="shared" si="11"/>
        <v>1.0658837497752538E-2</v>
      </c>
    </row>
    <row r="122" spans="18:22" ht="14.5" x14ac:dyDescent="0.35">
      <c r="R122" s="23">
        <f>Metodo_Grafico!B117</f>
        <v>3453.9</v>
      </c>
      <c r="S122" s="24">
        <f>Metodo_Grafico!C117</f>
        <v>1</v>
      </c>
      <c r="T122" s="25">
        <f t="shared" si="10"/>
        <v>0.3738321110607441</v>
      </c>
      <c r="U122" s="26">
        <f>1-Kaplan_Meier!G117</f>
        <v>0.36938667297174865</v>
      </c>
      <c r="V122" s="25">
        <f t="shared" si="11"/>
        <v>4.4454380889954459E-3</v>
      </c>
    </row>
    <row r="123" spans="18:22" ht="14.5" x14ac:dyDescent="0.35">
      <c r="R123" s="23">
        <f>Metodo_Grafico!B118</f>
        <v>3454.9</v>
      </c>
      <c r="S123" s="24">
        <f>Metodo_Grafico!C118</f>
        <v>1</v>
      </c>
      <c r="T123" s="25">
        <f t="shared" si="10"/>
        <v>0.37399741099677042</v>
      </c>
      <c r="U123" s="26">
        <f>1-Kaplan_Meier!G118</f>
        <v>0.37639348771650694</v>
      </c>
      <c r="V123" s="25">
        <f t="shared" si="11"/>
        <v>2.3960767197365174E-3</v>
      </c>
    </row>
    <row r="124" spans="18:22" ht="14.5" x14ac:dyDescent="0.35">
      <c r="R124" s="23">
        <f>Metodo_Grafico!B119</f>
        <v>3468.4</v>
      </c>
      <c r="S124" s="24">
        <f>Metodo_Grafico!C119</f>
        <v>0</v>
      </c>
      <c r="T124" s="25">
        <f t="shared" si="10"/>
        <v>0.37622911560858086</v>
      </c>
      <c r="U124" s="26">
        <f>1-Kaplan_Meier!G119</f>
        <v>0.37639348771650694</v>
      </c>
      <c r="V124" s="25">
        <f t="shared" si="11"/>
        <v>0</v>
      </c>
    </row>
    <row r="125" spans="18:22" ht="14.5" x14ac:dyDescent="0.35">
      <c r="R125" s="23">
        <f>Metodo_Grafico!B120</f>
        <v>3470.3</v>
      </c>
      <c r="S125" s="24">
        <f>Metodo_Grafico!C120</f>
        <v>1</v>
      </c>
      <c r="T125" s="25">
        <f t="shared" si="10"/>
        <v>0.37654322860680234</v>
      </c>
      <c r="U125" s="26">
        <f>1-Kaplan_Meier!G120</f>
        <v>0.3834799253560921</v>
      </c>
      <c r="V125" s="25">
        <f t="shared" si="11"/>
        <v>6.9366967492897613E-3</v>
      </c>
    </row>
    <row r="126" spans="18:22" ht="14.5" x14ac:dyDescent="0.35">
      <c r="R126" s="23">
        <f>Metodo_Grafico!B121</f>
        <v>3509.4</v>
      </c>
      <c r="S126" s="24">
        <f>Metodo_Grafico!C121</f>
        <v>1</v>
      </c>
      <c r="T126" s="25">
        <f t="shared" si="10"/>
        <v>0.38300814400934946</v>
      </c>
      <c r="U126" s="26">
        <f>1-Kaplan_Meier!G121</f>
        <v>0.39056636299567726</v>
      </c>
      <c r="V126" s="25">
        <f t="shared" si="11"/>
        <v>7.5582189863278026E-3</v>
      </c>
    </row>
    <row r="127" spans="18:22" ht="14.5" x14ac:dyDescent="0.35">
      <c r="R127" s="23">
        <f>Metodo_Grafico!B122</f>
        <v>3591.9</v>
      </c>
      <c r="S127" s="24">
        <f>Metodo_Grafico!C122</f>
        <v>1</v>
      </c>
      <c r="T127" s="25">
        <f t="shared" si="10"/>
        <v>0.39664886271947841</v>
      </c>
      <c r="U127" s="26">
        <f>1-Kaplan_Meier!G122</f>
        <v>0.39765280063526243</v>
      </c>
      <c r="V127" s="25">
        <f t="shared" si="11"/>
        <v>1.0039379157840145E-3</v>
      </c>
    </row>
    <row r="128" spans="18:22" ht="14.5" x14ac:dyDescent="0.35">
      <c r="R128" s="23">
        <f>Metodo_Grafico!B123</f>
        <v>3629.9</v>
      </c>
      <c r="S128" s="24">
        <f>Metodo_Grafico!C123</f>
        <v>1</v>
      </c>
      <c r="T128" s="25">
        <f t="shared" si="10"/>
        <v>0.40292885027798231</v>
      </c>
      <c r="U128" s="26">
        <f>1-Kaplan_Meier!G123</f>
        <v>0.40473923827484759</v>
      </c>
      <c r="V128" s="25">
        <f t="shared" si="11"/>
        <v>1.8103879968652814E-3</v>
      </c>
    </row>
    <row r="129" spans="18:22" ht="14.5" x14ac:dyDescent="0.35">
      <c r="R129" s="23">
        <f>Metodo_Grafico!B124</f>
        <v>3637.7</v>
      </c>
      <c r="S129" s="24">
        <f>Metodo_Grafico!C124</f>
        <v>1</v>
      </c>
      <c r="T129" s="25">
        <f t="shared" si="10"/>
        <v>0.40421748164463223</v>
      </c>
      <c r="U129" s="26">
        <f>1-Kaplan_Meier!G124</f>
        <v>0.41182567591443275</v>
      </c>
      <c r="V129" s="25">
        <f t="shared" si="11"/>
        <v>7.6081942698005278E-3</v>
      </c>
    </row>
    <row r="130" spans="18:22" ht="14.5" x14ac:dyDescent="0.35">
      <c r="R130" s="23">
        <f>Metodo_Grafico!B125</f>
        <v>3640.6</v>
      </c>
      <c r="S130" s="24">
        <f>Metodo_Grafico!C125</f>
        <v>0</v>
      </c>
      <c r="T130" s="25">
        <f t="shared" si="10"/>
        <v>0.40469654581047998</v>
      </c>
      <c r="U130" s="26">
        <f>1-Kaplan_Meier!G125</f>
        <v>0.41182567591443275</v>
      </c>
      <c r="V130" s="25">
        <f t="shared" si="11"/>
        <v>0</v>
      </c>
    </row>
    <row r="131" spans="18:22" ht="14.5" x14ac:dyDescent="0.35">
      <c r="R131" s="23">
        <f>Metodo_Grafico!B126</f>
        <v>3678.5</v>
      </c>
      <c r="S131" s="24">
        <f>Metodo_Grafico!C126</f>
        <v>1</v>
      </c>
      <c r="T131" s="25">
        <f t="shared" si="10"/>
        <v>0.41095501137388057</v>
      </c>
      <c r="U131" s="26">
        <f>1-Kaplan_Meier!G126</f>
        <v>0.41899853352523231</v>
      </c>
      <c r="V131" s="25">
        <f t="shared" si="11"/>
        <v>8.0435221513517341E-3</v>
      </c>
    </row>
    <row r="132" spans="18:22" ht="14.5" x14ac:dyDescent="0.35">
      <c r="R132" s="23">
        <f>Metodo_Grafico!B127</f>
        <v>3692</v>
      </c>
      <c r="S132" s="24">
        <f>Metodo_Grafico!C127</f>
        <v>1</v>
      </c>
      <c r="T132" s="25">
        <f t="shared" si="10"/>
        <v>0.41318305204079475</v>
      </c>
      <c r="U132" s="26">
        <f>1-Kaplan_Meier!G127</f>
        <v>0.42617139113603197</v>
      </c>
      <c r="V132" s="25">
        <f t="shared" si="11"/>
        <v>1.2988339095237222E-2</v>
      </c>
    </row>
    <row r="133" spans="18:22" ht="14.5" x14ac:dyDescent="0.35">
      <c r="R133" s="23">
        <f>Metodo_Grafico!B128</f>
        <v>3746</v>
      </c>
      <c r="S133" s="24">
        <f>Metodo_Grafico!C128</f>
        <v>1</v>
      </c>
      <c r="T133" s="25">
        <f t="shared" si="10"/>
        <v>0.42208727150821335</v>
      </c>
      <c r="U133" s="26">
        <f>1-Kaplan_Meier!G128</f>
        <v>0.43334424874683153</v>
      </c>
      <c r="V133" s="25">
        <f t="shared" si="11"/>
        <v>1.1256977238618182E-2</v>
      </c>
    </row>
    <row r="134" spans="18:22" ht="14.5" x14ac:dyDescent="0.35">
      <c r="R134" s="23">
        <f>Metodo_Grafico!B129</f>
        <v>3759.1</v>
      </c>
      <c r="S134" s="24">
        <f>Metodo_Grafico!C129</f>
        <v>1</v>
      </c>
      <c r="T134" s="25">
        <f t="shared" si="10"/>
        <v>0.42424518131091415</v>
      </c>
      <c r="U134" s="26">
        <f>1-Kaplan_Meier!G129</f>
        <v>0.44051710635763108</v>
      </c>
      <c r="V134" s="25">
        <f t="shared" si="11"/>
        <v>1.6271925046716929E-2</v>
      </c>
    </row>
    <row r="135" spans="18:22" ht="14.5" x14ac:dyDescent="0.35">
      <c r="R135" s="23">
        <f>Metodo_Grafico!B130</f>
        <v>3811.3</v>
      </c>
      <c r="S135" s="24">
        <f>Metodo_Grafico!C130</f>
        <v>0</v>
      </c>
      <c r="T135" s="25">
        <f t="shared" si="10"/>
        <v>0.43283384653931667</v>
      </c>
      <c r="U135" s="26">
        <f>1-Kaplan_Meier!G130</f>
        <v>0.44051710635763108</v>
      </c>
      <c r="V135" s="25">
        <f t="shared" si="11"/>
        <v>0</v>
      </c>
    </row>
    <row r="136" spans="18:22" ht="14.5" x14ac:dyDescent="0.35">
      <c r="R136" s="23">
        <f>Metodo_Grafico!B131</f>
        <v>3856.7</v>
      </c>
      <c r="S136" s="24">
        <f>Metodo_Grafico!C131</f>
        <v>1</v>
      </c>
      <c r="T136" s="25">
        <f t="shared" si="10"/>
        <v>0.44028881030972167</v>
      </c>
      <c r="U136" s="26">
        <f>1-Kaplan_Meier!G131</f>
        <v>0.44778311796337611</v>
      </c>
      <c r="V136" s="25">
        <f t="shared" si="11"/>
        <v>7.4943076536544417E-3</v>
      </c>
    </row>
    <row r="137" spans="18:22" ht="14.5" x14ac:dyDescent="0.35">
      <c r="R137" s="23">
        <f>Metodo_Grafico!B132</f>
        <v>3869.5</v>
      </c>
      <c r="S137" s="24">
        <f>Metodo_Grafico!C132</f>
        <v>1</v>
      </c>
      <c r="T137" s="25">
        <f t="shared" si="10"/>
        <v>0.44238784607089321</v>
      </c>
      <c r="U137" s="26">
        <f>1-Kaplan_Meier!G132</f>
        <v>0.45504912956912114</v>
      </c>
      <c r="V137" s="25">
        <f t="shared" si="11"/>
        <v>1.2661283498227927E-2</v>
      </c>
    </row>
    <row r="138" spans="18:22" ht="14.5" x14ac:dyDescent="0.35">
      <c r="R138" s="23">
        <f>Metodo_Grafico!B133</f>
        <v>3871</v>
      </c>
      <c r="S138" s="24">
        <f>Metodo_Grafico!C133</f>
        <v>1</v>
      </c>
      <c r="T138" s="25">
        <f t="shared" si="10"/>
        <v>0.44263374139834388</v>
      </c>
      <c r="U138" s="26">
        <f>1-Kaplan_Meier!G133</f>
        <v>0.46231514117486616</v>
      </c>
      <c r="V138" s="25">
        <f t="shared" si="11"/>
        <v>1.9681399776522279E-2</v>
      </c>
    </row>
    <row r="139" spans="18:22" ht="14.5" x14ac:dyDescent="0.35">
      <c r="R139" s="23">
        <f>Metodo_Grafico!B134</f>
        <v>3877.4</v>
      </c>
      <c r="S139" s="24">
        <f>Metodo_Grafico!C134</f>
        <v>1</v>
      </c>
      <c r="T139" s="25">
        <f t="shared" si="10"/>
        <v>0.4436826896362267</v>
      </c>
      <c r="U139" s="26">
        <f>1-Kaplan_Meier!G134</f>
        <v>0.46958115278061119</v>
      </c>
      <c r="V139" s="25">
        <f t="shared" si="11"/>
        <v>2.5898463144384487E-2</v>
      </c>
    </row>
    <row r="140" spans="18:22" ht="14.5" x14ac:dyDescent="0.35">
      <c r="R140" s="23">
        <f>Metodo_Grafico!B135</f>
        <v>3890.5</v>
      </c>
      <c r="S140" s="24">
        <f>Metodo_Grafico!C135</f>
        <v>1</v>
      </c>
      <c r="T140" s="25">
        <f t="shared" si="10"/>
        <v>0.44582869959398952</v>
      </c>
      <c r="U140" s="26">
        <f>1-Kaplan_Meier!G135</f>
        <v>0.47684716438635621</v>
      </c>
      <c r="V140" s="25">
        <f t="shared" si="11"/>
        <v>3.1018464792366696E-2</v>
      </c>
    </row>
    <row r="141" spans="18:22" ht="14.5" x14ac:dyDescent="0.35">
      <c r="R141" s="23">
        <f>Metodo_Grafico!B136</f>
        <v>3944</v>
      </c>
      <c r="S141" s="24">
        <f>Metodo_Grafico!C136</f>
        <v>1</v>
      </c>
      <c r="T141" s="25">
        <f t="shared" ref="T141:T172" si="12">1-EXP(-((R141/$I$6)^$I$5))</f>
        <v>0.45457727540938397</v>
      </c>
      <c r="U141" s="26">
        <f>1-Kaplan_Meier!G136</f>
        <v>0.48411317599210124</v>
      </c>
      <c r="V141" s="25">
        <f t="shared" ref="V141:V172" si="13">IF(S141=1,ABS(T141-U141),0)</f>
        <v>2.9535900582717267E-2</v>
      </c>
    </row>
    <row r="142" spans="18:22" ht="14.5" x14ac:dyDescent="0.35">
      <c r="R142" s="23">
        <f>Metodo_Grafico!B137</f>
        <v>3955.9</v>
      </c>
      <c r="S142" s="24">
        <f>Metodo_Grafico!C137</f>
        <v>0</v>
      </c>
      <c r="T142" s="25">
        <f t="shared" si="12"/>
        <v>0.45651958155503991</v>
      </c>
      <c r="U142" s="26">
        <f>1-Kaplan_Meier!G137</f>
        <v>0.48411317599210124</v>
      </c>
      <c r="V142" s="25">
        <f t="shared" si="13"/>
        <v>0</v>
      </c>
    </row>
    <row r="143" spans="18:22" ht="14.5" x14ac:dyDescent="0.35">
      <c r="R143" s="23">
        <f>Metodo_Grafico!B138</f>
        <v>4030.6</v>
      </c>
      <c r="S143" s="24">
        <f>Metodo_Grafico!C138</f>
        <v>0</v>
      </c>
      <c r="T143" s="25">
        <f t="shared" si="12"/>
        <v>0.46867862014248907</v>
      </c>
      <c r="U143" s="26">
        <f>1-Kaplan_Meier!G138</f>
        <v>0.48411317599210124</v>
      </c>
      <c r="V143" s="25">
        <f t="shared" si="13"/>
        <v>0</v>
      </c>
    </row>
    <row r="144" spans="18:22" ht="14.5" x14ac:dyDescent="0.35">
      <c r="R144" s="23">
        <f>Metodo_Grafico!B139</f>
        <v>4042.5</v>
      </c>
      <c r="S144" s="24">
        <f>Metodo_Grafico!C139</f>
        <v>1</v>
      </c>
      <c r="T144" s="25">
        <f t="shared" si="12"/>
        <v>0.47060992833103177</v>
      </c>
      <c r="U144" s="26">
        <f>1-Kaplan_Meier!G139</f>
        <v>0.49158979662989688</v>
      </c>
      <c r="V144" s="25">
        <f t="shared" si="13"/>
        <v>2.0979868298865112E-2</v>
      </c>
    </row>
    <row r="145" spans="18:22" ht="14.5" x14ac:dyDescent="0.35">
      <c r="R145" s="23">
        <f>Metodo_Grafico!B140</f>
        <v>4045.9</v>
      </c>
      <c r="S145" s="24">
        <f>Metodo_Grafico!C140</f>
        <v>0</v>
      </c>
      <c r="T145" s="25">
        <f t="shared" si="12"/>
        <v>0.47116142831370933</v>
      </c>
      <c r="U145" s="26">
        <f>1-Kaplan_Meier!G140</f>
        <v>0.49158979662989688</v>
      </c>
      <c r="V145" s="25">
        <f t="shared" si="13"/>
        <v>0</v>
      </c>
    </row>
    <row r="146" spans="18:22" ht="14.5" x14ac:dyDescent="0.35">
      <c r="R146" s="23">
        <f>Metodo_Grafico!B141</f>
        <v>4112.6000000000004</v>
      </c>
      <c r="S146" s="24">
        <f>Metodo_Grafico!C141</f>
        <v>1</v>
      </c>
      <c r="T146" s="25">
        <f t="shared" si="12"/>
        <v>0.48195210092162588</v>
      </c>
      <c r="U146" s="26">
        <f>1-Kaplan_Meier!G141</f>
        <v>0.49917800862049544</v>
      </c>
      <c r="V146" s="25">
        <f t="shared" si="13"/>
        <v>1.7225907698869558E-2</v>
      </c>
    </row>
    <row r="147" spans="18:22" ht="14.5" x14ac:dyDescent="0.35">
      <c r="R147" s="23">
        <f>Metodo_Grafico!B142</f>
        <v>4118.5</v>
      </c>
      <c r="S147" s="24">
        <f>Metodo_Grafico!C142</f>
        <v>1</v>
      </c>
      <c r="T147" s="25">
        <f t="shared" si="12"/>
        <v>0.48290388320943423</v>
      </c>
      <c r="U147" s="26">
        <f>1-Kaplan_Meier!G142</f>
        <v>0.506766220611094</v>
      </c>
      <c r="V147" s="25">
        <f t="shared" si="13"/>
        <v>2.3862337401659772E-2</v>
      </c>
    </row>
    <row r="148" spans="18:22" ht="14.5" x14ac:dyDescent="0.35">
      <c r="R148" s="23">
        <f>Metodo_Grafico!B143</f>
        <v>4211.8</v>
      </c>
      <c r="S148" s="24">
        <f>Metodo_Grafico!C143</f>
        <v>0</v>
      </c>
      <c r="T148" s="25">
        <f t="shared" si="12"/>
        <v>0.49789130198757126</v>
      </c>
      <c r="U148" s="26">
        <f>1-Kaplan_Meier!G143</f>
        <v>0.506766220611094</v>
      </c>
      <c r="V148" s="25">
        <f t="shared" si="13"/>
        <v>0</v>
      </c>
    </row>
    <row r="149" spans="18:22" ht="14.5" x14ac:dyDescent="0.35">
      <c r="R149" s="23">
        <f>Metodo_Grafico!B144</f>
        <v>4227.1000000000004</v>
      </c>
      <c r="S149" s="24">
        <f>Metodo_Grafico!C144</f>
        <v>1</v>
      </c>
      <c r="T149" s="25">
        <f t="shared" si="12"/>
        <v>0.50033701593711699</v>
      </c>
      <c r="U149" s="26">
        <f>1-Kaplan_Meier!G144</f>
        <v>0.5144729984140457</v>
      </c>
      <c r="V149" s="25">
        <f t="shared" si="13"/>
        <v>1.413598247692871E-2</v>
      </c>
    </row>
    <row r="150" spans="18:22" ht="14.5" x14ac:dyDescent="0.35">
      <c r="R150" s="23">
        <f>Metodo_Grafico!B145</f>
        <v>4231.7</v>
      </c>
      <c r="S150" s="24">
        <f>Metodo_Grafico!C145</f>
        <v>1</v>
      </c>
      <c r="T150" s="25">
        <f t="shared" si="12"/>
        <v>0.5010716334857469</v>
      </c>
      <c r="U150" s="26">
        <f>1-Kaplan_Meier!G145</f>
        <v>0.52217977621699729</v>
      </c>
      <c r="V150" s="25">
        <f t="shared" si="13"/>
        <v>2.110814273125039E-2</v>
      </c>
    </row>
    <row r="151" spans="18:22" ht="14.5" x14ac:dyDescent="0.35">
      <c r="R151" s="23">
        <f>Metodo_Grafico!B146</f>
        <v>4265.7</v>
      </c>
      <c r="S151" s="24">
        <f>Metodo_Grafico!C146</f>
        <v>0</v>
      </c>
      <c r="T151" s="25">
        <f t="shared" si="12"/>
        <v>0.50649123230577586</v>
      </c>
      <c r="U151" s="26">
        <f>1-Kaplan_Meier!G146</f>
        <v>0.52217977621699729</v>
      </c>
      <c r="V151" s="25">
        <f t="shared" si="13"/>
        <v>0</v>
      </c>
    </row>
    <row r="152" spans="18:22" ht="14.5" x14ac:dyDescent="0.35">
      <c r="R152" s="23">
        <f>Metodo_Grafico!B147</f>
        <v>4301.7</v>
      </c>
      <c r="S152" s="24">
        <f>Metodo_Grafico!C147</f>
        <v>0</v>
      </c>
      <c r="T152" s="25">
        <f t="shared" si="12"/>
        <v>0.51220950859285863</v>
      </c>
      <c r="U152" s="26">
        <f>1-Kaplan_Meier!G147</f>
        <v>0.52217977621699729</v>
      </c>
      <c r="V152" s="25">
        <f t="shared" si="13"/>
        <v>0</v>
      </c>
    </row>
    <row r="153" spans="18:22" ht="14.5" x14ac:dyDescent="0.35">
      <c r="R153" s="23">
        <f>Metodo_Grafico!B148</f>
        <v>4302.3999999999996</v>
      </c>
      <c r="S153" s="24">
        <f>Metodo_Grafico!C148</f>
        <v>1</v>
      </c>
      <c r="T153" s="25">
        <f t="shared" si="12"/>
        <v>0.51232048671469799</v>
      </c>
      <c r="U153" s="26">
        <f>1-Kaplan_Meier!G148</f>
        <v>0.53014344661338075</v>
      </c>
      <c r="V153" s="25">
        <f t="shared" si="13"/>
        <v>1.7822959898682766E-2</v>
      </c>
    </row>
    <row r="154" spans="18:22" ht="14.5" x14ac:dyDescent="0.35">
      <c r="R154" s="23">
        <f>Metodo_Grafico!B149</f>
        <v>4387</v>
      </c>
      <c r="S154" s="24">
        <f>Metodo_Grafico!C149</f>
        <v>1</v>
      </c>
      <c r="T154" s="25">
        <f t="shared" si="12"/>
        <v>0.52567126286366683</v>
      </c>
      <c r="U154" s="26">
        <f>1-Kaplan_Meier!G149</f>
        <v>0.5381071170097641</v>
      </c>
      <c r="V154" s="25">
        <f t="shared" si="13"/>
        <v>1.2435854146097269E-2</v>
      </c>
    </row>
    <row r="155" spans="18:22" ht="14.5" x14ac:dyDescent="0.35">
      <c r="R155" s="23">
        <f>Metodo_Grafico!B150</f>
        <v>4487.2</v>
      </c>
      <c r="S155" s="24">
        <f>Metodo_Grafico!C150</f>
        <v>0</v>
      </c>
      <c r="T155" s="25">
        <f t="shared" si="12"/>
        <v>0.54131573953061585</v>
      </c>
      <c r="U155" s="26">
        <f>1-Kaplan_Meier!G150</f>
        <v>0.5381071170097641</v>
      </c>
      <c r="V155" s="25">
        <f t="shared" si="13"/>
        <v>0</v>
      </c>
    </row>
    <row r="156" spans="18:22" ht="14.5" x14ac:dyDescent="0.35">
      <c r="R156" s="23">
        <f>Metodo_Grafico!B151</f>
        <v>4531.3999999999996</v>
      </c>
      <c r="S156" s="24">
        <f>Metodo_Grafico!C151</f>
        <v>1</v>
      </c>
      <c r="T156" s="25">
        <f t="shared" si="12"/>
        <v>0.54815482325056664</v>
      </c>
      <c r="U156" s="26">
        <f>1-Kaplan_Meier!G151</f>
        <v>0.54621050092187351</v>
      </c>
      <c r="V156" s="25">
        <f t="shared" si="13"/>
        <v>1.9443223286931266E-3</v>
      </c>
    </row>
    <row r="157" spans="18:22" ht="14.5" x14ac:dyDescent="0.35">
      <c r="R157" s="23">
        <f>Metodo_Grafico!B152</f>
        <v>4533.2</v>
      </c>
      <c r="S157" s="24">
        <f>Metodo_Grafico!C152</f>
        <v>1</v>
      </c>
      <c r="T157" s="25">
        <f t="shared" si="12"/>
        <v>0.54843250190231974</v>
      </c>
      <c r="U157" s="26">
        <f>1-Kaplan_Meier!G152</f>
        <v>0.55431388483398292</v>
      </c>
      <c r="V157" s="25">
        <f t="shared" si="13"/>
        <v>5.8813829316631816E-3</v>
      </c>
    </row>
    <row r="158" spans="18:22" ht="14.5" x14ac:dyDescent="0.35">
      <c r="R158" s="23">
        <f>Metodo_Grafico!B153</f>
        <v>4583.6000000000004</v>
      </c>
      <c r="S158" s="24">
        <f>Metodo_Grafico!C153</f>
        <v>1</v>
      </c>
      <c r="T158" s="25">
        <f t="shared" si="12"/>
        <v>0.55618028748468884</v>
      </c>
      <c r="U158" s="26">
        <f>1-Kaplan_Meier!G153</f>
        <v>0.56241726874609232</v>
      </c>
      <c r="V158" s="25">
        <f t="shared" si="13"/>
        <v>6.2369812614034847E-3</v>
      </c>
    </row>
    <row r="159" spans="18:22" ht="14.5" x14ac:dyDescent="0.35">
      <c r="R159" s="23">
        <f>Metodo_Grafico!B154</f>
        <v>4618</v>
      </c>
      <c r="S159" s="24">
        <f>Metodo_Grafico!C154</f>
        <v>1</v>
      </c>
      <c r="T159" s="25">
        <f t="shared" si="12"/>
        <v>0.56143764579195388</v>
      </c>
      <c r="U159" s="26">
        <f>1-Kaplan_Meier!G154</f>
        <v>0.57052065265820173</v>
      </c>
      <c r="V159" s="25">
        <f t="shared" si="13"/>
        <v>9.0830068662478558E-3</v>
      </c>
    </row>
    <row r="160" spans="18:22" ht="14.5" x14ac:dyDescent="0.35">
      <c r="R160" s="23">
        <f>Metodo_Grafico!B155</f>
        <v>4625</v>
      </c>
      <c r="S160" s="24">
        <f>Metodo_Grafico!C155</f>
        <v>0</v>
      </c>
      <c r="T160" s="25">
        <f t="shared" si="12"/>
        <v>0.5625043301753454</v>
      </c>
      <c r="U160" s="26">
        <f>1-Kaplan_Meier!G155</f>
        <v>0.57052065265820173</v>
      </c>
      <c r="V160" s="25">
        <f t="shared" si="13"/>
        <v>0</v>
      </c>
    </row>
    <row r="161" spans="18:22" ht="14.5" x14ac:dyDescent="0.35">
      <c r="R161" s="23">
        <f>Metodo_Grafico!B156</f>
        <v>4660.7</v>
      </c>
      <c r="S161" s="24">
        <f>Metodo_Grafico!C156</f>
        <v>0</v>
      </c>
      <c r="T161" s="25">
        <f t="shared" si="12"/>
        <v>0.5679276881599109</v>
      </c>
      <c r="U161" s="26">
        <f>1-Kaplan_Meier!G156</f>
        <v>0.57052065265820173</v>
      </c>
      <c r="V161" s="25">
        <f t="shared" si="13"/>
        <v>0</v>
      </c>
    </row>
    <row r="162" spans="18:22" ht="14.5" x14ac:dyDescent="0.35">
      <c r="R162" s="23">
        <f>Metodo_Grafico!B157</f>
        <v>4669.2</v>
      </c>
      <c r="S162" s="24">
        <f>Metodo_Grafico!C157</f>
        <v>1</v>
      </c>
      <c r="T162" s="25">
        <f t="shared" si="12"/>
        <v>0.56921479416977105</v>
      </c>
      <c r="U162" s="26">
        <f>1-Kaplan_Meier!G157</f>
        <v>0.57894181633157027</v>
      </c>
      <c r="V162" s="25">
        <f t="shared" si="13"/>
        <v>9.7270221617992148E-3</v>
      </c>
    </row>
    <row r="163" spans="18:22" ht="14.5" x14ac:dyDescent="0.35">
      <c r="R163" s="23">
        <f>Metodo_Grafico!B158</f>
        <v>4729.8</v>
      </c>
      <c r="S163" s="24">
        <f>Metodo_Grafico!C158</f>
        <v>1</v>
      </c>
      <c r="T163" s="25">
        <f t="shared" si="12"/>
        <v>0.57834360313163935</v>
      </c>
      <c r="U163" s="26">
        <f>1-Kaplan_Meier!G158</f>
        <v>0.58736298000493892</v>
      </c>
      <c r="V163" s="25">
        <f t="shared" si="13"/>
        <v>9.0193768732995672E-3</v>
      </c>
    </row>
    <row r="164" spans="18:22" ht="14.5" x14ac:dyDescent="0.35">
      <c r="R164" s="23">
        <f>Metodo_Grafico!B159</f>
        <v>4776.7</v>
      </c>
      <c r="S164" s="24">
        <f>Metodo_Grafico!C159</f>
        <v>1</v>
      </c>
      <c r="T164" s="25">
        <f t="shared" si="12"/>
        <v>0.58535011938894987</v>
      </c>
      <c r="U164" s="26">
        <f>1-Kaplan_Meier!G159</f>
        <v>0.59578414367830757</v>
      </c>
      <c r="V164" s="25">
        <f t="shared" si="13"/>
        <v>1.0434024289357691E-2</v>
      </c>
    </row>
    <row r="165" spans="18:22" ht="14.5" x14ac:dyDescent="0.35">
      <c r="R165" s="23">
        <f>Metodo_Grafico!B160</f>
        <v>4805.7</v>
      </c>
      <c r="S165" s="24">
        <f>Metodo_Grafico!C160</f>
        <v>0</v>
      </c>
      <c r="T165" s="25">
        <f t="shared" si="12"/>
        <v>0.58965629473674641</v>
      </c>
      <c r="U165" s="26">
        <f>1-Kaplan_Meier!G160</f>
        <v>0.59578414367830757</v>
      </c>
      <c r="V165" s="25">
        <f t="shared" si="13"/>
        <v>0</v>
      </c>
    </row>
    <row r="166" spans="18:22" ht="14.5" x14ac:dyDescent="0.35">
      <c r="R166" s="23">
        <f>Metodo_Grafico!B161</f>
        <v>4825.8999999999996</v>
      </c>
      <c r="S166" s="24">
        <f>Metodo_Grafico!C161</f>
        <v>1</v>
      </c>
      <c r="T166" s="25">
        <f t="shared" si="12"/>
        <v>0.59264372853483827</v>
      </c>
      <c r="U166" s="26">
        <f>1-Kaplan_Meier!G161</f>
        <v>0.60438448104685416</v>
      </c>
      <c r="V166" s="25">
        <f t="shared" si="13"/>
        <v>1.1740752512015895E-2</v>
      </c>
    </row>
    <row r="167" spans="18:22" ht="14.5" x14ac:dyDescent="0.35">
      <c r="R167" s="23">
        <f>Metodo_Grafico!B162</f>
        <v>4830</v>
      </c>
      <c r="S167" s="24">
        <f>Metodo_Grafico!C162</f>
        <v>0</v>
      </c>
      <c r="T167" s="25">
        <f t="shared" si="12"/>
        <v>0.59324887071283605</v>
      </c>
      <c r="U167" s="26">
        <f>1-Kaplan_Meier!G162</f>
        <v>0.60438448104685416</v>
      </c>
      <c r="V167" s="25">
        <f t="shared" si="13"/>
        <v>0</v>
      </c>
    </row>
    <row r="168" spans="18:22" ht="14.5" x14ac:dyDescent="0.35">
      <c r="R168" s="23">
        <f>Metodo_Grafico!B163</f>
        <v>4848.8999999999996</v>
      </c>
      <c r="S168" s="24">
        <f>Metodo_Grafico!C163</f>
        <v>0</v>
      </c>
      <c r="T168" s="25">
        <f t="shared" si="12"/>
        <v>0.5960330747117476</v>
      </c>
      <c r="U168" s="26">
        <f>1-Kaplan_Meier!G163</f>
        <v>0.60438448104685416</v>
      </c>
      <c r="V168" s="25">
        <f t="shared" si="13"/>
        <v>0</v>
      </c>
    </row>
    <row r="169" spans="18:22" ht="14.5" x14ac:dyDescent="0.35">
      <c r="R169" s="23">
        <f>Metodo_Grafico!B164</f>
        <v>4855.8</v>
      </c>
      <c r="S169" s="24">
        <f>Metodo_Grafico!C164</f>
        <v>1</v>
      </c>
      <c r="T169" s="25">
        <f t="shared" si="12"/>
        <v>0.59704732670104277</v>
      </c>
      <c r="U169" s="26">
        <f>1-Kaplan_Meier!G164</f>
        <v>0.61337574284124385</v>
      </c>
      <c r="V169" s="25">
        <f t="shared" si="13"/>
        <v>1.6328416140201085E-2</v>
      </c>
    </row>
    <row r="170" spans="18:22" ht="14.5" x14ac:dyDescent="0.35">
      <c r="R170" s="23">
        <f>Metodo_Grafico!B165</f>
        <v>4920.8</v>
      </c>
      <c r="S170" s="24">
        <f>Metodo_Grafico!C165</f>
        <v>0</v>
      </c>
      <c r="T170" s="25">
        <f t="shared" si="12"/>
        <v>0.60654317539227531</v>
      </c>
      <c r="U170" s="26">
        <f>1-Kaplan_Meier!G165</f>
        <v>0.61337574284124385</v>
      </c>
      <c r="V170" s="25">
        <f t="shared" si="13"/>
        <v>0</v>
      </c>
    </row>
    <row r="171" spans="18:22" ht="14.5" x14ac:dyDescent="0.35">
      <c r="R171" s="23">
        <f>Metodo_Grafico!B166</f>
        <v>5061.8</v>
      </c>
      <c r="S171" s="24">
        <f>Metodo_Grafico!C166</f>
        <v>1</v>
      </c>
      <c r="T171" s="25">
        <f t="shared" si="12"/>
        <v>0.62676522104383747</v>
      </c>
      <c r="U171" s="26">
        <f>1-Kaplan_Meier!G166</f>
        <v>0.62258108229740472</v>
      </c>
      <c r="V171" s="25">
        <f t="shared" si="13"/>
        <v>4.1841387464327529E-3</v>
      </c>
    </row>
    <row r="172" spans="18:22" ht="14.5" x14ac:dyDescent="0.35">
      <c r="R172" s="23">
        <f>Metodo_Grafico!B167</f>
        <v>5102</v>
      </c>
      <c r="S172" s="24">
        <f>Metodo_Grafico!C167</f>
        <v>1</v>
      </c>
      <c r="T172" s="25">
        <f t="shared" si="12"/>
        <v>0.6324329613994778</v>
      </c>
      <c r="U172" s="26">
        <f>1-Kaplan_Meier!G167</f>
        <v>0.63178642175356559</v>
      </c>
      <c r="V172" s="25">
        <f t="shared" si="13"/>
        <v>6.4653964591221413E-4</v>
      </c>
    </row>
    <row r="173" spans="18:22" ht="14.5" x14ac:dyDescent="0.35">
      <c r="R173" s="23">
        <f>Metodo_Grafico!B168</f>
        <v>5177</v>
      </c>
      <c r="S173" s="24">
        <f>Metodo_Grafico!C168</f>
        <v>1</v>
      </c>
      <c r="T173" s="25">
        <f t="shared" ref="T173:T204" si="14">1-EXP(-((R173/$I$6)^$I$5))</f>
        <v>0.64288752599041743</v>
      </c>
      <c r="U173" s="26">
        <f>1-Kaplan_Meier!G168</f>
        <v>0.64099176120972645</v>
      </c>
      <c r="V173" s="25">
        <f t="shared" ref="V173:V204" si="15">IF(S173=1,ABS(T173-U173),0)</f>
        <v>1.8957647806909783E-3</v>
      </c>
    </row>
    <row r="174" spans="18:22" ht="14.5" x14ac:dyDescent="0.35">
      <c r="R174" s="23">
        <f>Metodo_Grafico!B169</f>
        <v>5202.6000000000004</v>
      </c>
      <c r="S174" s="24">
        <f>Metodo_Grafico!C169</f>
        <v>0</v>
      </c>
      <c r="T174" s="25">
        <f t="shared" si="14"/>
        <v>0.64641981035153639</v>
      </c>
      <c r="U174" s="26">
        <f>1-Kaplan_Meier!G169</f>
        <v>0.64099176120972645</v>
      </c>
      <c r="V174" s="25">
        <f t="shared" si="15"/>
        <v>0</v>
      </c>
    </row>
    <row r="175" spans="18:22" ht="14.5" x14ac:dyDescent="0.35">
      <c r="R175" s="23">
        <f>Metodo_Grafico!B170</f>
        <v>5211.8999999999996</v>
      </c>
      <c r="S175" s="24">
        <f>Metodo_Grafico!C170</f>
        <v>0</v>
      </c>
      <c r="T175" s="25">
        <f t="shared" si="14"/>
        <v>0.64769840661811484</v>
      </c>
      <c r="U175" s="26">
        <f>1-Kaplan_Meier!G170</f>
        <v>0.64099176120972645</v>
      </c>
      <c r="V175" s="25">
        <f t="shared" si="15"/>
        <v>0</v>
      </c>
    </row>
    <row r="176" spans="18:22" ht="14.5" x14ac:dyDescent="0.35">
      <c r="R176" s="23">
        <f>Metodo_Grafico!B171</f>
        <v>5277.4</v>
      </c>
      <c r="S176" s="24">
        <f>Metodo_Grafico!C171</f>
        <v>1</v>
      </c>
      <c r="T176" s="25">
        <f t="shared" si="14"/>
        <v>0.65663318941546844</v>
      </c>
      <c r="U176" s="26">
        <f>1-Kaplan_Meier!G171</f>
        <v>0.65069468658243657</v>
      </c>
      <c r="V176" s="25">
        <f t="shared" si="15"/>
        <v>5.9385028330318779E-3</v>
      </c>
    </row>
    <row r="177" spans="18:22" ht="14.5" x14ac:dyDescent="0.35">
      <c r="R177" s="23">
        <f>Metodo_Grafico!B172</f>
        <v>5368.1</v>
      </c>
      <c r="S177" s="24">
        <f>Metodo_Grafico!C172</f>
        <v>1</v>
      </c>
      <c r="T177" s="25">
        <f t="shared" si="14"/>
        <v>0.66879879636280637</v>
      </c>
      <c r="U177" s="26">
        <f>1-Kaplan_Meier!G172</f>
        <v>0.66039761195514668</v>
      </c>
      <c r="V177" s="25">
        <f t="shared" si="15"/>
        <v>8.4011844076596898E-3</v>
      </c>
    </row>
    <row r="178" spans="18:22" ht="14.5" x14ac:dyDescent="0.35">
      <c r="R178" s="23">
        <f>Metodo_Grafico!B173</f>
        <v>5388.6</v>
      </c>
      <c r="S178" s="24">
        <f>Metodo_Grafico!C173</f>
        <v>1</v>
      </c>
      <c r="T178" s="25">
        <f t="shared" si="14"/>
        <v>0.67151469745512382</v>
      </c>
      <c r="U178" s="26">
        <f>1-Kaplan_Meier!G173</f>
        <v>0.67010053732785679</v>
      </c>
      <c r="V178" s="25">
        <f t="shared" si="15"/>
        <v>1.4141601272670279E-3</v>
      </c>
    </row>
    <row r="179" spans="18:22" ht="14.5" x14ac:dyDescent="0.35">
      <c r="R179" s="23">
        <f>Metodo_Grafico!B174</f>
        <v>5553.6</v>
      </c>
      <c r="S179" s="24">
        <f>Metodo_Grafico!C174</f>
        <v>1</v>
      </c>
      <c r="T179" s="25">
        <f t="shared" si="14"/>
        <v>0.69291140927736916</v>
      </c>
      <c r="U179" s="26">
        <f>1-Kaplan_Meier!G174</f>
        <v>0.67980346270056691</v>
      </c>
      <c r="V179" s="25">
        <f t="shared" si="15"/>
        <v>1.3107946576802254E-2</v>
      </c>
    </row>
    <row r="180" spans="18:22" ht="14.5" x14ac:dyDescent="0.35">
      <c r="R180" s="23">
        <f>Metodo_Grafico!B175</f>
        <v>5578.7</v>
      </c>
      <c r="S180" s="24">
        <f>Metodo_Grafico!C175</f>
        <v>1</v>
      </c>
      <c r="T180" s="25">
        <f t="shared" si="14"/>
        <v>0.69609310498833121</v>
      </c>
      <c r="U180" s="26">
        <f>1-Kaplan_Meier!G175</f>
        <v>0.68950638807327702</v>
      </c>
      <c r="V180" s="25">
        <f t="shared" si="15"/>
        <v>6.5867169150541915E-3</v>
      </c>
    </row>
    <row r="181" spans="18:22" ht="14.5" x14ac:dyDescent="0.35">
      <c r="R181" s="23">
        <f>Metodo_Grafico!B176</f>
        <v>5595.9</v>
      </c>
      <c r="S181" s="24">
        <f>Metodo_Grafico!C176</f>
        <v>1</v>
      </c>
      <c r="T181" s="25">
        <f t="shared" si="14"/>
        <v>0.69826208896989317</v>
      </c>
      <c r="U181" s="26">
        <f>1-Kaplan_Meier!G176</f>
        <v>0.69920931344598714</v>
      </c>
      <c r="V181" s="25">
        <f t="shared" si="15"/>
        <v>9.4722447609396632E-4</v>
      </c>
    </row>
    <row r="182" spans="18:22" ht="14.5" x14ac:dyDescent="0.35">
      <c r="R182" s="23">
        <f>Metodo_Grafico!B177</f>
        <v>5633.6</v>
      </c>
      <c r="S182" s="24">
        <f>Metodo_Grafico!C177</f>
        <v>1</v>
      </c>
      <c r="T182" s="25">
        <f t="shared" si="14"/>
        <v>0.70298391046845221</v>
      </c>
      <c r="U182" s="26">
        <f>1-Kaplan_Meier!G177</f>
        <v>0.70891223881869714</v>
      </c>
      <c r="V182" s="25">
        <f t="shared" si="15"/>
        <v>5.9283283502449269E-3</v>
      </c>
    </row>
    <row r="183" spans="18:22" ht="14.5" x14ac:dyDescent="0.35">
      <c r="R183" s="23">
        <f>Metodo_Grafico!B178</f>
        <v>5669.4</v>
      </c>
      <c r="S183" s="24">
        <f>Metodo_Grafico!C178</f>
        <v>1</v>
      </c>
      <c r="T183" s="25">
        <f t="shared" si="14"/>
        <v>0.70742652311521448</v>
      </c>
      <c r="U183" s="26">
        <f>1-Kaplan_Meier!G178</f>
        <v>0.71861516419140725</v>
      </c>
      <c r="V183" s="25">
        <f t="shared" si="15"/>
        <v>1.1188641076192773E-2</v>
      </c>
    </row>
    <row r="184" spans="18:22" ht="14.5" x14ac:dyDescent="0.35">
      <c r="R184" s="23">
        <f>Metodo_Grafico!B179</f>
        <v>5693.9</v>
      </c>
      <c r="S184" s="24">
        <f>Metodo_Grafico!C179</f>
        <v>0</v>
      </c>
      <c r="T184" s="25">
        <f t="shared" si="14"/>
        <v>0.71044359596349937</v>
      </c>
      <c r="U184" s="26">
        <f>1-Kaplan_Meier!G179</f>
        <v>0.71861516419140725</v>
      </c>
      <c r="V184" s="25">
        <f t="shared" si="15"/>
        <v>0</v>
      </c>
    </row>
    <row r="185" spans="18:22" ht="14.5" x14ac:dyDescent="0.35">
      <c r="R185" s="23">
        <f>Metodo_Grafico!B180</f>
        <v>5722.6</v>
      </c>
      <c r="S185" s="24">
        <f>Metodo_Grafico!C180</f>
        <v>1</v>
      </c>
      <c r="T185" s="25">
        <f t="shared" si="14"/>
        <v>0.7139537435460952</v>
      </c>
      <c r="U185" s="26">
        <f>1-Kaplan_Meier!G180</f>
        <v>0.72866462261314269</v>
      </c>
      <c r="V185" s="25">
        <f t="shared" si="15"/>
        <v>1.4710879067047489E-2</v>
      </c>
    </row>
    <row r="186" spans="18:22" ht="14.5" x14ac:dyDescent="0.35">
      <c r="R186" s="23">
        <f>Metodo_Grafico!B181</f>
        <v>5728.9</v>
      </c>
      <c r="S186" s="24">
        <f>Metodo_Grafico!C181</f>
        <v>1</v>
      </c>
      <c r="T186" s="25">
        <f t="shared" si="14"/>
        <v>0.71472076907108595</v>
      </c>
      <c r="U186" s="26">
        <f>1-Kaplan_Meier!G181</f>
        <v>0.73871408103487823</v>
      </c>
      <c r="V186" s="25">
        <f t="shared" si="15"/>
        <v>2.3993311963792285E-2</v>
      </c>
    </row>
    <row r="187" spans="18:22" ht="14.5" x14ac:dyDescent="0.35">
      <c r="R187" s="23">
        <f>Metodo_Grafico!B182</f>
        <v>5766.2</v>
      </c>
      <c r="S187" s="24">
        <f>Metodo_Grafico!C182</f>
        <v>1</v>
      </c>
      <c r="T187" s="25">
        <f t="shared" si="14"/>
        <v>0.71923619771006209</v>
      </c>
      <c r="U187" s="26">
        <f>1-Kaplan_Meier!G182</f>
        <v>0.74876353945661367</v>
      </c>
      <c r="V187" s="25">
        <f t="shared" si="15"/>
        <v>2.9527341746551583E-2</v>
      </c>
    </row>
    <row r="188" spans="18:22" ht="14.5" x14ac:dyDescent="0.35">
      <c r="R188" s="23">
        <f>Metodo_Grafico!B183</f>
        <v>5793.4</v>
      </c>
      <c r="S188" s="24">
        <f>Metodo_Grafico!C183</f>
        <v>0</v>
      </c>
      <c r="T188" s="25">
        <f t="shared" si="14"/>
        <v>0.72250098947736929</v>
      </c>
      <c r="U188" s="26">
        <f>1-Kaplan_Meier!G183</f>
        <v>0.74876353945661367</v>
      </c>
      <c r="V188" s="25">
        <f t="shared" si="15"/>
        <v>0</v>
      </c>
    </row>
    <row r="189" spans="18:22" ht="14.5" x14ac:dyDescent="0.35">
      <c r="R189" s="23">
        <f>Metodo_Grafico!B184</f>
        <v>5854</v>
      </c>
      <c r="S189" s="24">
        <f>Metodo_Grafico!C184</f>
        <v>1</v>
      </c>
      <c r="T189" s="25">
        <f t="shared" si="14"/>
        <v>0.72968958729580047</v>
      </c>
      <c r="U189" s="26">
        <f>1-Kaplan_Meier!G184</f>
        <v>0.75923172531258798</v>
      </c>
      <c r="V189" s="25">
        <f t="shared" si="15"/>
        <v>2.9542138016787511E-2</v>
      </c>
    </row>
    <row r="190" spans="18:22" ht="14.5" x14ac:dyDescent="0.35">
      <c r="R190" s="23">
        <f>Metodo_Grafico!B185</f>
        <v>5855.8</v>
      </c>
      <c r="S190" s="24">
        <f>Metodo_Grafico!C185</f>
        <v>1</v>
      </c>
      <c r="T190" s="25">
        <f t="shared" si="14"/>
        <v>0.72990130701127875</v>
      </c>
      <c r="U190" s="26">
        <f>1-Kaplan_Meier!G185</f>
        <v>0.76969991116856251</v>
      </c>
      <c r="V190" s="25">
        <f t="shared" si="15"/>
        <v>3.9798604157283757E-2</v>
      </c>
    </row>
    <row r="191" spans="18:22" ht="14.5" x14ac:dyDescent="0.35">
      <c r="R191" s="23">
        <f>Metodo_Grafico!B186</f>
        <v>5960.9</v>
      </c>
      <c r="S191" s="24">
        <f>Metodo_Grafico!C186</f>
        <v>1</v>
      </c>
      <c r="T191" s="25">
        <f t="shared" si="14"/>
        <v>0.7420822031931551</v>
      </c>
      <c r="U191" s="26">
        <f>1-Kaplan_Meier!G186</f>
        <v>0.78016809702453682</v>
      </c>
      <c r="V191" s="25">
        <f t="shared" si="15"/>
        <v>3.8085893831381723E-2</v>
      </c>
    </row>
    <row r="192" spans="18:22" ht="14.5" x14ac:dyDescent="0.35">
      <c r="R192" s="23">
        <f>Metodo_Grafico!B187</f>
        <v>6036.1</v>
      </c>
      <c r="S192" s="24">
        <f>Metodo_Grafico!C187</f>
        <v>1</v>
      </c>
      <c r="T192" s="25">
        <f t="shared" si="14"/>
        <v>0.75057820464951008</v>
      </c>
      <c r="U192" s="26">
        <f>1-Kaplan_Meier!G187</f>
        <v>0.79063628288051135</v>
      </c>
      <c r="V192" s="25">
        <f t="shared" si="15"/>
        <v>4.0058078231001271E-2</v>
      </c>
    </row>
    <row r="193" spans="18:22" ht="14.5" x14ac:dyDescent="0.35">
      <c r="R193" s="23">
        <f>Metodo_Grafico!B188</f>
        <v>6049.4</v>
      </c>
      <c r="S193" s="24">
        <f>Metodo_Grafico!C188</f>
        <v>1</v>
      </c>
      <c r="T193" s="25">
        <f t="shared" si="14"/>
        <v>0.7520616958072126</v>
      </c>
      <c r="U193" s="26">
        <f>1-Kaplan_Meier!G188</f>
        <v>0.80110446873648578</v>
      </c>
      <c r="V193" s="25">
        <f t="shared" si="15"/>
        <v>4.9042772929273171E-2</v>
      </c>
    </row>
    <row r="194" spans="18:22" ht="14.5" x14ac:dyDescent="0.35">
      <c r="R194" s="23">
        <f>Metodo_Grafico!B189</f>
        <v>6133</v>
      </c>
      <c r="S194" s="24">
        <f>Metodo_Grafico!C189</f>
        <v>0</v>
      </c>
      <c r="T194" s="25">
        <f t="shared" si="14"/>
        <v>0.76125457825004084</v>
      </c>
      <c r="U194" s="26">
        <f>1-Kaplan_Meier!G189</f>
        <v>0.80110446873648578</v>
      </c>
      <c r="V194" s="25">
        <f t="shared" si="15"/>
        <v>0</v>
      </c>
    </row>
    <row r="195" spans="18:22" ht="14.5" x14ac:dyDescent="0.35">
      <c r="R195" s="23">
        <f>Metodo_Grafico!B190</f>
        <v>6198.9</v>
      </c>
      <c r="S195" s="24">
        <f>Metodo_Grafico!C190</f>
        <v>0</v>
      </c>
      <c r="T195" s="25">
        <f t="shared" si="14"/>
        <v>0.76834047377685</v>
      </c>
      <c r="U195" s="26">
        <f>1-Kaplan_Meier!G190</f>
        <v>0.80110446873648578</v>
      </c>
      <c r="V195" s="25">
        <f t="shared" si="15"/>
        <v>0</v>
      </c>
    </row>
    <row r="196" spans="18:22" ht="14.5" x14ac:dyDescent="0.35">
      <c r="R196" s="23">
        <f>Metodo_Grafico!B191</f>
        <v>6264.4</v>
      </c>
      <c r="S196" s="24">
        <f>Metodo_Grafico!C191</f>
        <v>0</v>
      </c>
      <c r="T196" s="25">
        <f t="shared" si="14"/>
        <v>0.77524290591751721</v>
      </c>
      <c r="U196" s="26">
        <f>1-Kaplan_Meier!G191</f>
        <v>0.80110446873648578</v>
      </c>
      <c r="V196" s="25">
        <f t="shared" si="15"/>
        <v>0</v>
      </c>
    </row>
    <row r="197" spans="18:22" ht="14.5" x14ac:dyDescent="0.35">
      <c r="R197" s="23">
        <f>Metodo_Grafico!B192</f>
        <v>6276.6</v>
      </c>
      <c r="S197" s="24">
        <f>Metodo_Grafico!C192</f>
        <v>1</v>
      </c>
      <c r="T197" s="25">
        <f t="shared" si="14"/>
        <v>0.77651308120330675</v>
      </c>
      <c r="U197" s="26">
        <f>1-Kaplan_Meier!G192</f>
        <v>0.81353543944045548</v>
      </c>
      <c r="V197" s="25">
        <f t="shared" si="15"/>
        <v>3.7022358237148723E-2</v>
      </c>
    </row>
    <row r="198" spans="18:22" ht="14.5" x14ac:dyDescent="0.35">
      <c r="R198" s="23">
        <f>Metodo_Grafico!B193</f>
        <v>6280.4</v>
      </c>
      <c r="S198" s="24">
        <f>Metodo_Grafico!C193</f>
        <v>1</v>
      </c>
      <c r="T198" s="25">
        <f t="shared" si="14"/>
        <v>0.77690771767970457</v>
      </c>
      <c r="U198" s="26">
        <f>1-Kaplan_Meier!G193</f>
        <v>0.82596641014442507</v>
      </c>
      <c r="V198" s="25">
        <f t="shared" si="15"/>
        <v>4.9058692464720499E-2</v>
      </c>
    </row>
    <row r="199" spans="18:22" ht="14.5" x14ac:dyDescent="0.35">
      <c r="R199" s="23">
        <f>Metodo_Grafico!B194</f>
        <v>6618.6</v>
      </c>
      <c r="S199" s="24">
        <f>Metodo_Grafico!C194</f>
        <v>0</v>
      </c>
      <c r="T199" s="25">
        <f t="shared" si="14"/>
        <v>0.81015025681586772</v>
      </c>
      <c r="U199" s="26">
        <f>1-Kaplan_Meier!G194</f>
        <v>0.82596641014442507</v>
      </c>
      <c r="V199" s="25">
        <f t="shared" si="15"/>
        <v>0</v>
      </c>
    </row>
    <row r="200" spans="18:22" ht="14.5" x14ac:dyDescent="0.35">
      <c r="R200" s="23">
        <f>Metodo_Grafico!B195</f>
        <v>6816.2</v>
      </c>
      <c r="S200" s="24">
        <f>Metodo_Grafico!C195</f>
        <v>1</v>
      </c>
      <c r="T200" s="25">
        <f t="shared" si="14"/>
        <v>0.82786964404361718</v>
      </c>
      <c r="U200" s="26">
        <f>1-Kaplan_Meier!G195</f>
        <v>0.83935360936408465</v>
      </c>
      <c r="V200" s="25">
        <f t="shared" si="15"/>
        <v>1.1483965320467471E-2</v>
      </c>
    </row>
    <row r="201" spans="18:22" ht="14.5" x14ac:dyDescent="0.35">
      <c r="R201" s="23">
        <f>Metodo_Grafico!B196</f>
        <v>7132.8</v>
      </c>
      <c r="S201" s="24">
        <f>Metodo_Grafico!C196</f>
        <v>1</v>
      </c>
      <c r="T201" s="25">
        <f t="shared" si="14"/>
        <v>0.85371212337770042</v>
      </c>
      <c r="U201" s="26">
        <f>1-Kaplan_Meier!G196</f>
        <v>0.85274080858374424</v>
      </c>
      <c r="V201" s="25">
        <f t="shared" si="15"/>
        <v>9.7131479395617948E-4</v>
      </c>
    </row>
    <row r="202" spans="18:22" ht="14.5" x14ac:dyDescent="0.35">
      <c r="R202" s="23">
        <f>Metodo_Grafico!B197</f>
        <v>7267</v>
      </c>
      <c r="S202" s="24">
        <f>Metodo_Grafico!C197</f>
        <v>1</v>
      </c>
      <c r="T202" s="25">
        <f t="shared" si="14"/>
        <v>0.86374728562361558</v>
      </c>
      <c r="U202" s="26">
        <f>1-Kaplan_Meier!G197</f>
        <v>0.86612800780340393</v>
      </c>
      <c r="V202" s="25">
        <f t="shared" si="15"/>
        <v>2.3807221797883527E-3</v>
      </c>
    </row>
    <row r="203" spans="18:22" ht="14.5" x14ac:dyDescent="0.35">
      <c r="R203" s="23">
        <f>Metodo_Grafico!B198</f>
        <v>7354.4</v>
      </c>
      <c r="S203" s="24">
        <f>Metodo_Grafico!C198</f>
        <v>1</v>
      </c>
      <c r="T203" s="25">
        <f t="shared" si="14"/>
        <v>0.86999741909673434</v>
      </c>
      <c r="U203" s="26">
        <f>1-Kaplan_Meier!G198</f>
        <v>0.87951520702306352</v>
      </c>
      <c r="V203" s="25">
        <f t="shared" si="15"/>
        <v>9.5177879263291798E-3</v>
      </c>
    </row>
    <row r="204" spans="18:22" ht="14.5" x14ac:dyDescent="0.35">
      <c r="R204" s="23">
        <f>Metodo_Grafico!B199</f>
        <v>7492.8</v>
      </c>
      <c r="S204" s="24">
        <f>Metodo_Grafico!C199</f>
        <v>0</v>
      </c>
      <c r="T204" s="25">
        <f t="shared" si="14"/>
        <v>0.87944465723579635</v>
      </c>
      <c r="U204" s="26">
        <f>1-Kaplan_Meier!G199</f>
        <v>0.87951520702306352</v>
      </c>
      <c r="V204" s="25">
        <f t="shared" si="15"/>
        <v>0</v>
      </c>
    </row>
    <row r="205" spans="18:22" ht="14.5" x14ac:dyDescent="0.35">
      <c r="R205" s="23">
        <f>Metodo_Grafico!B200</f>
        <v>7523.3</v>
      </c>
      <c r="S205" s="24">
        <f>Metodo_Grafico!C200</f>
        <v>0</v>
      </c>
      <c r="T205" s="25">
        <f t="shared" ref="T205:T212" si="16">1-EXP(-((R205/$I$6)^$I$5))</f>
        <v>0.88145372478661166</v>
      </c>
      <c r="U205" s="26">
        <f>1-Kaplan_Meier!G200</f>
        <v>0.87951520702306352</v>
      </c>
      <c r="V205" s="25">
        <f t="shared" ref="V205:V212" si="17">IF(S205=1,ABS(T205-U205),0)</f>
        <v>0</v>
      </c>
    </row>
    <row r="206" spans="18:22" ht="14.5" x14ac:dyDescent="0.35">
      <c r="R206" s="23">
        <f>Metodo_Grafico!B201</f>
        <v>7613.7</v>
      </c>
      <c r="S206" s="24">
        <f>Metodo_Grafico!C201</f>
        <v>0</v>
      </c>
      <c r="T206" s="25">
        <f t="shared" si="16"/>
        <v>0.88725676964439704</v>
      </c>
      <c r="U206" s="26">
        <f>1-Kaplan_Meier!G201</f>
        <v>0.87951520702306352</v>
      </c>
      <c r="V206" s="25">
        <f t="shared" si="17"/>
        <v>0</v>
      </c>
    </row>
    <row r="207" spans="18:22" ht="14.5" x14ac:dyDescent="0.35">
      <c r="R207" s="23">
        <f>Metodo_Grafico!B202</f>
        <v>7937.4</v>
      </c>
      <c r="S207" s="24">
        <f>Metodo_Grafico!C202</f>
        <v>1</v>
      </c>
      <c r="T207" s="25">
        <f t="shared" si="16"/>
        <v>0.9062400348060935</v>
      </c>
      <c r="U207" s="26">
        <f>1-Kaplan_Meier!G202</f>
        <v>0.89959600585255295</v>
      </c>
      <c r="V207" s="25">
        <f t="shared" si="17"/>
        <v>6.6440289535405483E-3</v>
      </c>
    </row>
    <row r="208" spans="18:22" ht="14.5" x14ac:dyDescent="0.35">
      <c r="R208" s="23">
        <f>Metodo_Grafico!B203</f>
        <v>8053.9</v>
      </c>
      <c r="S208" s="24">
        <f>Metodo_Grafico!C203</f>
        <v>0</v>
      </c>
      <c r="T208" s="25">
        <f t="shared" si="16"/>
        <v>0.91241565933659474</v>
      </c>
      <c r="U208" s="26">
        <f>1-Kaplan_Meier!G203</f>
        <v>0.89959600585255295</v>
      </c>
      <c r="V208" s="25">
        <f t="shared" si="17"/>
        <v>0</v>
      </c>
    </row>
    <row r="209" spans="18:22" ht="14.5" x14ac:dyDescent="0.35">
      <c r="R209" s="23">
        <f>Metodo_Grafico!B204</f>
        <v>8102.4</v>
      </c>
      <c r="S209" s="24">
        <f>Metodo_Grafico!C204</f>
        <v>1</v>
      </c>
      <c r="T209" s="25">
        <f t="shared" si="16"/>
        <v>0.91488873480551558</v>
      </c>
      <c r="U209" s="26">
        <f>1-Kaplan_Meier!G204</f>
        <v>0.92469700438941471</v>
      </c>
      <c r="V209" s="25">
        <f t="shared" si="17"/>
        <v>9.8082695838991318E-3</v>
      </c>
    </row>
    <row r="210" spans="18:22" ht="14.5" x14ac:dyDescent="0.35">
      <c r="R210" s="23">
        <f>Metodo_Grafico!B205</f>
        <v>8605.7999999999993</v>
      </c>
      <c r="S210" s="24">
        <f>Metodo_Grafico!C205</f>
        <v>0</v>
      </c>
      <c r="T210" s="25">
        <f t="shared" si="16"/>
        <v>0.93738209795630134</v>
      </c>
      <c r="U210" s="26">
        <f>1-Kaplan_Meier!G205</f>
        <v>0.92469700438941471</v>
      </c>
      <c r="V210" s="25">
        <f t="shared" si="17"/>
        <v>0</v>
      </c>
    </row>
    <row r="211" spans="18:22" ht="14.5" x14ac:dyDescent="0.35">
      <c r="R211" s="23">
        <f>Metodo_Grafico!B206</f>
        <v>8811.7000000000007</v>
      </c>
      <c r="S211" s="24">
        <f>Metodo_Grafico!C206</f>
        <v>0</v>
      </c>
      <c r="T211" s="25">
        <f t="shared" si="16"/>
        <v>0.94504720776917694</v>
      </c>
      <c r="U211" s="26">
        <f>1-Kaplan_Meier!G206</f>
        <v>0.92469700438941471</v>
      </c>
      <c r="V211" s="25">
        <f t="shared" si="17"/>
        <v>0</v>
      </c>
    </row>
    <row r="212" spans="18:22" ht="14.5" x14ac:dyDescent="0.35">
      <c r="R212" s="23">
        <f>Metodo_Grafico!B207</f>
        <v>9165.7000000000007</v>
      </c>
      <c r="S212" s="24">
        <f>Metodo_Grafico!C207</f>
        <v>0</v>
      </c>
      <c r="T212" s="25">
        <f t="shared" si="16"/>
        <v>0.95639623558893694</v>
      </c>
      <c r="U212" s="26">
        <f>1-Kaplan_Meier!G207</f>
        <v>0.92469700438941471</v>
      </c>
      <c r="V212" s="25">
        <f t="shared" si="17"/>
        <v>0</v>
      </c>
    </row>
  </sheetData>
  <mergeCells count="1">
    <mergeCell ref="M28:Q36"/>
  </mergeCells>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207"/>
  <sheetViews>
    <sheetView showGridLines="0" topLeftCell="F1" zoomScale="85" zoomScaleNormal="85" workbookViewId="0">
      <pane ySplit="7" topLeftCell="A8" activePane="bottomLeft" state="frozen"/>
      <selection pane="bottomLeft" activeCell="I23" sqref="I23"/>
    </sheetView>
  </sheetViews>
  <sheetFormatPr defaultColWidth="8.7265625" defaultRowHeight="15" customHeight="1" x14ac:dyDescent="0.35"/>
  <cols>
    <col min="1" max="1" width="6" customWidth="1"/>
    <col min="2" max="2" width="13" customWidth="1"/>
    <col min="3" max="3" width="11" customWidth="1"/>
    <col min="4" max="4" width="13" customWidth="1"/>
    <col min="5" max="5" width="11" customWidth="1"/>
    <col min="6" max="6" width="12" customWidth="1"/>
    <col min="7" max="7" width="16" customWidth="1"/>
    <col min="8" max="9" width="15" customWidth="1"/>
    <col min="10" max="12" width="14" customWidth="1"/>
    <col min="13" max="13" width="3" customWidth="1"/>
    <col min="14" max="14" width="32" customWidth="1"/>
    <col min="15" max="15" width="14" customWidth="1"/>
    <col min="16" max="20" width="11" customWidth="1"/>
  </cols>
  <sheetData>
    <row r="1" spans="1:17" ht="21.75" customHeight="1" x14ac:dyDescent="0.4">
      <c r="A1" s="1" t="s">
        <v>119</v>
      </c>
    </row>
    <row r="2" spans="1:17" ht="14.5" x14ac:dyDescent="0.35">
      <c r="A2" s="2" t="s">
        <v>120</v>
      </c>
    </row>
    <row r="4" spans="1:17" ht="14.5" x14ac:dyDescent="0.35">
      <c r="A4" s="10" t="s">
        <v>28</v>
      </c>
      <c r="B4" s="11">
        <f>Metodo_Grafico!$B$4</f>
        <v>200</v>
      </c>
      <c r="N4" s="3" t="s">
        <v>121</v>
      </c>
    </row>
    <row r="5" spans="1:17" ht="14.5" x14ac:dyDescent="0.35">
      <c r="A5" s="10" t="s">
        <v>122</v>
      </c>
      <c r="B5" s="32">
        <v>1.959964</v>
      </c>
      <c r="N5" s="4" t="s">
        <v>123</v>
      </c>
      <c r="O5" s="33">
        <f>INDEX($B$8:$B$207,COUNTIF($G$8:$G$207,"&gt;0.5")+1)</f>
        <v>4118.5</v>
      </c>
    </row>
    <row r="6" spans="1:17" ht="14.5" x14ac:dyDescent="0.35">
      <c r="N6" s="4" t="s">
        <v>124</v>
      </c>
      <c r="O6" s="14">
        <f>G207</f>
        <v>7.5302995610585316E-2</v>
      </c>
    </row>
    <row r="7" spans="1:17" ht="31.5" customHeight="1" x14ac:dyDescent="0.35">
      <c r="A7" s="67" t="s">
        <v>125</v>
      </c>
      <c r="B7" s="67" t="s">
        <v>126</v>
      </c>
      <c r="C7" s="67" t="s">
        <v>127</v>
      </c>
      <c r="D7" s="67" t="s">
        <v>128</v>
      </c>
      <c r="E7" s="67" t="s">
        <v>129</v>
      </c>
      <c r="F7" s="67" t="s">
        <v>130</v>
      </c>
      <c r="G7" s="67" t="s">
        <v>131</v>
      </c>
      <c r="H7" s="67" t="s">
        <v>132</v>
      </c>
      <c r="I7" s="67" t="s">
        <v>133</v>
      </c>
      <c r="J7" s="67" t="s">
        <v>134</v>
      </c>
      <c r="K7" s="67" t="s">
        <v>135</v>
      </c>
      <c r="L7" s="67" t="s">
        <v>136</v>
      </c>
      <c r="N7" s="4" t="s">
        <v>137</v>
      </c>
      <c r="O7" s="8">
        <f>B207</f>
        <v>9165.7000000000007</v>
      </c>
    </row>
    <row r="8" spans="1:17" ht="14.5" x14ac:dyDescent="0.35">
      <c r="A8" s="7">
        <v>1</v>
      </c>
      <c r="B8" s="12">
        <f>Metodo_Grafico!B8</f>
        <v>401.7</v>
      </c>
      <c r="C8" s="13">
        <f>Metodo_Grafico!C8</f>
        <v>1</v>
      </c>
      <c r="D8" s="7">
        <f t="shared" ref="D8:D39" si="0">$B$4-A8+1</f>
        <v>200</v>
      </c>
      <c r="E8" s="7">
        <f t="shared" ref="E8:E39" si="1">C8</f>
        <v>1</v>
      </c>
      <c r="F8" s="50">
        <f t="shared" ref="F8:F39" si="2">IF(C8=1,(D8-E8)/D8,1)</f>
        <v>0.995</v>
      </c>
      <c r="G8" s="51">
        <f>1*F8</f>
        <v>0.995</v>
      </c>
      <c r="H8" s="50">
        <f t="shared" ref="H8:H39" si="3">IF(AND(C8=1,D8-E8&gt;0),E8/(D8*(D8-E8)),0)</f>
        <v>2.5125628140703518E-5</v>
      </c>
      <c r="I8" s="50">
        <f>0+H8</f>
        <v>2.5125628140703518E-5</v>
      </c>
      <c r="J8" s="50">
        <f t="shared" ref="J8:J39" si="4">G8*SQRT(I8)</f>
        <v>4.9874843358150003E-3</v>
      </c>
      <c r="K8" s="50">
        <f t="shared" ref="K8:K39" si="5">IF(OR(G8&gt;=1,G8&lt;=0),"",G8^EXP($B$5*SQRT(I8)/ABS(LN(G8))))</f>
        <v>0.9650412178213531</v>
      </c>
      <c r="L8" s="50">
        <f t="shared" ref="L8:L39" si="6">IF(OR(G8&gt;=1,G8&lt;=0),"",G8^EXP(-$B$5*SQRT(I8)/ABS(LN(G8))))</f>
        <v>0.99929416652189229</v>
      </c>
      <c r="N8" s="4" t="s">
        <v>138</v>
      </c>
      <c r="O8" s="7" t="str">
        <f>IF(C207=0,"Si - la curva no llega a cero","No")</f>
        <v>Si - la curva no llega a cero</v>
      </c>
    </row>
    <row r="9" spans="1:17" ht="14.5" x14ac:dyDescent="0.35">
      <c r="A9" s="7">
        <v>2</v>
      </c>
      <c r="B9" s="12">
        <f>Metodo_Grafico!B9</f>
        <v>449.3</v>
      </c>
      <c r="C9" s="13">
        <f>Metodo_Grafico!C9</f>
        <v>1</v>
      </c>
      <c r="D9" s="7">
        <f t="shared" si="0"/>
        <v>199</v>
      </c>
      <c r="E9" s="7">
        <f t="shared" si="1"/>
        <v>1</v>
      </c>
      <c r="F9" s="50">
        <f t="shared" si="2"/>
        <v>0.99497487437185927</v>
      </c>
      <c r="G9" s="51">
        <f t="shared" ref="G9:G40" si="7">G8*F9</f>
        <v>0.99</v>
      </c>
      <c r="H9" s="50">
        <f t="shared" si="3"/>
        <v>2.5379422364346987E-5</v>
      </c>
      <c r="I9" s="50">
        <f t="shared" ref="I9:I40" si="8">I8+H9</f>
        <v>5.0505050505050505E-5</v>
      </c>
      <c r="J9" s="50">
        <f t="shared" si="4"/>
        <v>7.0356236397351437E-3</v>
      </c>
      <c r="K9" s="50">
        <f t="shared" si="5"/>
        <v>0.96061086304165144</v>
      </c>
      <c r="L9" s="50">
        <f t="shared" si="6"/>
        <v>0.9974896056008804</v>
      </c>
    </row>
    <row r="10" spans="1:17" ht="14.5" x14ac:dyDescent="0.35">
      <c r="A10" s="7">
        <v>3</v>
      </c>
      <c r="B10" s="12">
        <f>Metodo_Grafico!B10</f>
        <v>455.5</v>
      </c>
      <c r="C10" s="13">
        <f>Metodo_Grafico!C10</f>
        <v>1</v>
      </c>
      <c r="D10" s="7">
        <f t="shared" si="0"/>
        <v>198</v>
      </c>
      <c r="E10" s="7">
        <f t="shared" si="1"/>
        <v>1</v>
      </c>
      <c r="F10" s="50">
        <f t="shared" si="2"/>
        <v>0.99494949494949492</v>
      </c>
      <c r="G10" s="51">
        <f t="shared" si="7"/>
        <v>0.98499999999999999</v>
      </c>
      <c r="H10" s="50">
        <f t="shared" si="3"/>
        <v>2.5637081474644928E-5</v>
      </c>
      <c r="I10" s="50">
        <f t="shared" si="8"/>
        <v>7.6142131979695433E-5</v>
      </c>
      <c r="J10" s="50">
        <f t="shared" si="4"/>
        <v>8.5950567188355434E-3</v>
      </c>
      <c r="K10" s="50">
        <f t="shared" si="5"/>
        <v>0.9542196563888482</v>
      </c>
      <c r="L10" s="50">
        <f t="shared" si="6"/>
        <v>0.99513744135389592</v>
      </c>
      <c r="N10" s="10" t="s">
        <v>139</v>
      </c>
      <c r="P10" s="10" t="s">
        <v>140</v>
      </c>
      <c r="Q10" s="10" t="s">
        <v>141</v>
      </c>
    </row>
    <row r="11" spans="1:17" ht="14.5" x14ac:dyDescent="0.35">
      <c r="A11" s="7">
        <v>4</v>
      </c>
      <c r="B11" s="12">
        <f>Metodo_Grafico!B11</f>
        <v>528.29999999999995</v>
      </c>
      <c r="C11" s="13">
        <f>Metodo_Grafico!C11</f>
        <v>1</v>
      </c>
      <c r="D11" s="7">
        <f t="shared" si="0"/>
        <v>197</v>
      </c>
      <c r="E11" s="7">
        <f t="shared" si="1"/>
        <v>1</v>
      </c>
      <c r="F11" s="50">
        <f t="shared" si="2"/>
        <v>0.99492385786802029</v>
      </c>
      <c r="G11" s="51">
        <f t="shared" si="7"/>
        <v>0.98</v>
      </c>
      <c r="H11" s="50">
        <f t="shared" si="3"/>
        <v>2.589868434683518E-5</v>
      </c>
      <c r="I11" s="50">
        <f t="shared" si="8"/>
        <v>1.0204081632653062E-4</v>
      </c>
      <c r="J11" s="50">
        <f t="shared" si="4"/>
        <v>9.899494936611665E-3</v>
      </c>
      <c r="K11" s="50">
        <f t="shared" si="5"/>
        <v>0.94759398171309528</v>
      </c>
      <c r="L11" s="50">
        <f t="shared" si="6"/>
        <v>0.99244636280119736</v>
      </c>
      <c r="N11" s="4" t="s">
        <v>142</v>
      </c>
      <c r="O11" s="6">
        <f>IFERROR(LOOKUP(1000,$B$8:$B$207,$G$8:$G$207),1)</f>
        <v>0.95</v>
      </c>
      <c r="P11" s="6">
        <f>IFERROR(LOOKUP(1000,$B$8:$B$207,$K$8:$K$207),"")</f>
        <v>0.90906609135229077</v>
      </c>
      <c r="Q11" s="6">
        <f>IFERROR(LOOKUP(1000,$B$8:$B$207,$L$8:$L$207),"")</f>
        <v>0.97278058743373774</v>
      </c>
    </row>
    <row r="12" spans="1:17" ht="14.5" x14ac:dyDescent="0.35">
      <c r="A12" s="7">
        <v>5</v>
      </c>
      <c r="B12" s="12">
        <f>Metodo_Grafico!B12</f>
        <v>602</v>
      </c>
      <c r="C12" s="13">
        <f>Metodo_Grafico!C12</f>
        <v>1</v>
      </c>
      <c r="D12" s="7">
        <f t="shared" si="0"/>
        <v>196</v>
      </c>
      <c r="E12" s="7">
        <f t="shared" si="1"/>
        <v>1</v>
      </c>
      <c r="F12" s="50">
        <f t="shared" si="2"/>
        <v>0.99489795918367352</v>
      </c>
      <c r="G12" s="51">
        <f t="shared" si="7"/>
        <v>0.97499999999999998</v>
      </c>
      <c r="H12" s="50">
        <f t="shared" si="3"/>
        <v>2.6164311878597592E-5</v>
      </c>
      <c r="I12" s="50">
        <f t="shared" si="8"/>
        <v>1.2820512820512821E-4</v>
      </c>
      <c r="J12" s="50">
        <f t="shared" si="4"/>
        <v>1.1039701082909808E-2</v>
      </c>
      <c r="K12" s="50">
        <f t="shared" si="5"/>
        <v>0.94098485952676436</v>
      </c>
      <c r="L12" s="50">
        <f t="shared" si="6"/>
        <v>0.98951759826857899</v>
      </c>
      <c r="N12" s="4" t="s">
        <v>143</v>
      </c>
      <c r="O12" s="6">
        <f>IFERROR(LOOKUP(2000,$B$8:$B$207,$G$8:$G$207),1)</f>
        <v>0.87538058679044117</v>
      </c>
      <c r="P12" s="6">
        <f>IFERROR(LOOKUP(2000,$B$8:$B$207,$K$8:$K$207),"")</f>
        <v>0.81967729258983746</v>
      </c>
      <c r="Q12" s="6">
        <f>IFERROR(LOOKUP(2000,$B$8:$B$207,$L$8:$L$207),"")</f>
        <v>0.91476496855653822</v>
      </c>
    </row>
    <row r="13" spans="1:17" ht="14.5" x14ac:dyDescent="0.35">
      <c r="A13" s="7">
        <v>6</v>
      </c>
      <c r="B13" s="12">
        <f>Metodo_Grafico!B13</f>
        <v>707.6</v>
      </c>
      <c r="C13" s="13">
        <f>Metodo_Grafico!C13</f>
        <v>1</v>
      </c>
      <c r="D13" s="7">
        <f t="shared" si="0"/>
        <v>195</v>
      </c>
      <c r="E13" s="7">
        <f t="shared" si="1"/>
        <v>1</v>
      </c>
      <c r="F13" s="50">
        <f t="shared" si="2"/>
        <v>0.99487179487179489</v>
      </c>
      <c r="G13" s="51">
        <f t="shared" si="7"/>
        <v>0.97</v>
      </c>
      <c r="H13" s="50">
        <f t="shared" si="3"/>
        <v>2.6434047052603755E-5</v>
      </c>
      <c r="I13" s="50">
        <f t="shared" si="8"/>
        <v>1.5463917525773197E-4</v>
      </c>
      <c r="J13" s="50">
        <f t="shared" si="4"/>
        <v>1.2062338081814819E-2</v>
      </c>
      <c r="K13" s="50">
        <f t="shared" si="5"/>
        <v>0.934446773015849</v>
      </c>
      <c r="L13" s="50">
        <f t="shared" si="6"/>
        <v>0.98640949488018181</v>
      </c>
      <c r="N13" s="4" t="s">
        <v>144</v>
      </c>
      <c r="O13" s="6">
        <f>IFERROR(LOOKUP(3000,$B$8:$B$207,$G$8:$G$207),1)</f>
        <v>0.72015612868085299</v>
      </c>
      <c r="P13" s="6">
        <f>IFERROR(LOOKUP(3000,$B$8:$B$207,$K$8:$K$207),"")</f>
        <v>0.64729091845525699</v>
      </c>
      <c r="Q13" s="6">
        <f>IFERROR(LOOKUP(3000,$B$8:$B$207,$L$8:$L$207),"")</f>
        <v>0.78053475588110932</v>
      </c>
    </row>
    <row r="14" spans="1:17" ht="14.5" x14ac:dyDescent="0.35">
      <c r="A14" s="7">
        <v>7</v>
      </c>
      <c r="B14" s="12">
        <f>Metodo_Grafico!B14</f>
        <v>820.7</v>
      </c>
      <c r="C14" s="13">
        <f>Metodo_Grafico!C14</f>
        <v>1</v>
      </c>
      <c r="D14" s="7">
        <f t="shared" si="0"/>
        <v>194</v>
      </c>
      <c r="E14" s="7">
        <f t="shared" si="1"/>
        <v>1</v>
      </c>
      <c r="F14" s="50">
        <f t="shared" si="2"/>
        <v>0.99484536082474229</v>
      </c>
      <c r="G14" s="51">
        <f t="shared" si="7"/>
        <v>0.96499999999999997</v>
      </c>
      <c r="H14" s="50">
        <f t="shared" si="3"/>
        <v>2.6707975001335399E-5</v>
      </c>
      <c r="I14" s="50">
        <f t="shared" si="8"/>
        <v>1.8134715025906737E-4</v>
      </c>
      <c r="J14" s="50">
        <f t="shared" si="4"/>
        <v>1.2995191418367025E-2</v>
      </c>
      <c r="K14" s="50">
        <f t="shared" si="5"/>
        <v>0.92798963585524386</v>
      </c>
      <c r="L14" s="50">
        <f t="shared" si="6"/>
        <v>0.98315939670214381</v>
      </c>
      <c r="N14" s="4" t="s">
        <v>145</v>
      </c>
      <c r="O14" s="6">
        <f>IFERROR(LOOKUP(4000,$B$8:$B$207,$G$8:$G$207),1)</f>
        <v>0.51588682400789876</v>
      </c>
      <c r="P14" s="6">
        <f>IFERROR(LOOKUP(4000,$B$8:$B$207,$K$8:$K$207),"")</f>
        <v>0.4341765516642011</v>
      </c>
      <c r="Q14" s="6">
        <f>IFERROR(LOOKUP(4000,$B$8:$B$207,$L$8:$L$207),"")</f>
        <v>0.59151320308120947</v>
      </c>
    </row>
    <row r="15" spans="1:17" ht="14.5" x14ac:dyDescent="0.35">
      <c r="A15" s="7">
        <v>8</v>
      </c>
      <c r="B15" s="12">
        <f>Metodo_Grafico!B15</f>
        <v>871.6</v>
      </c>
      <c r="C15" s="13">
        <f>Metodo_Grafico!C15</f>
        <v>1</v>
      </c>
      <c r="D15" s="7">
        <f t="shared" si="0"/>
        <v>193</v>
      </c>
      <c r="E15" s="7">
        <f t="shared" si="1"/>
        <v>1</v>
      </c>
      <c r="F15" s="50">
        <f t="shared" si="2"/>
        <v>0.99481865284974091</v>
      </c>
      <c r="G15" s="51">
        <f t="shared" si="7"/>
        <v>0.96</v>
      </c>
      <c r="H15" s="50">
        <f t="shared" si="3"/>
        <v>2.6986183074265975E-5</v>
      </c>
      <c r="I15" s="50">
        <f t="shared" si="8"/>
        <v>2.0833333333333335E-4</v>
      </c>
      <c r="J15" s="50">
        <f t="shared" si="4"/>
        <v>1.3856406460551019E-2</v>
      </c>
      <c r="K15" s="50">
        <f t="shared" si="5"/>
        <v>0.92161107104376561</v>
      </c>
      <c r="L15" s="50">
        <f t="shared" si="6"/>
        <v>0.9797929541667445</v>
      </c>
      <c r="N15" s="4" t="s">
        <v>146</v>
      </c>
      <c r="O15" s="6">
        <f>IFERROR(LOOKUP(5000,$B$8:$B$207,$G$8:$G$207),1)</f>
        <v>0.38662425715875615</v>
      </c>
      <c r="P15" s="6">
        <f>IFERROR(LOOKUP(5000,$B$8:$B$207,$K$8:$K$207),"")</f>
        <v>0.30591270341485888</v>
      </c>
      <c r="Q15" s="6">
        <f>IFERROR(LOOKUP(5000,$B$8:$B$207,$L$8:$L$207),"")</f>
        <v>0.46652766474413104</v>
      </c>
    </row>
    <row r="16" spans="1:17" ht="14.5" x14ac:dyDescent="0.35">
      <c r="A16" s="7">
        <v>9</v>
      </c>
      <c r="B16" s="12">
        <f>Metodo_Grafico!B16</f>
        <v>873.6</v>
      </c>
      <c r="C16" s="13">
        <f>Metodo_Grafico!C16</f>
        <v>1</v>
      </c>
      <c r="D16" s="7">
        <f t="shared" si="0"/>
        <v>192</v>
      </c>
      <c r="E16" s="7">
        <f t="shared" si="1"/>
        <v>1</v>
      </c>
      <c r="F16" s="50">
        <f t="shared" si="2"/>
        <v>0.99479166666666663</v>
      </c>
      <c r="G16" s="51">
        <f t="shared" si="7"/>
        <v>0.95499999999999996</v>
      </c>
      <c r="H16" s="50">
        <f t="shared" si="3"/>
        <v>2.7268760907504364E-5</v>
      </c>
      <c r="I16" s="50">
        <f t="shared" si="8"/>
        <v>2.3560209424083772E-4</v>
      </c>
      <c r="J16" s="50">
        <f t="shared" si="4"/>
        <v>1.4658615214269049E-2</v>
      </c>
      <c r="K16" s="50">
        <f t="shared" si="5"/>
        <v>0.9153053286465449</v>
      </c>
      <c r="L16" s="50">
        <f t="shared" si="6"/>
        <v>0.97632870785670789</v>
      </c>
      <c r="N16" s="4" t="s">
        <v>147</v>
      </c>
      <c r="O16" s="6">
        <f>IFERROR(LOOKUP(6000,$B$8:$B$207,$G$8:$G$207),1)</f>
        <v>0.21983190297546312</v>
      </c>
      <c r="P16" s="6">
        <f>IFERROR(LOOKUP(6000,$B$8:$B$207,$K$8:$K$207),"")</f>
        <v>0.14927588191067978</v>
      </c>
      <c r="Q16" s="6">
        <f>IFERROR(LOOKUP(6000,$B$8:$B$207,$L$8:$L$207),"")</f>
        <v>0.29921378873878457</v>
      </c>
    </row>
    <row r="17" spans="1:20" ht="14.5" x14ac:dyDescent="0.35">
      <c r="A17" s="7">
        <v>10</v>
      </c>
      <c r="B17" s="12">
        <f>Metodo_Grafico!B17</f>
        <v>941.7</v>
      </c>
      <c r="C17" s="13">
        <f>Metodo_Grafico!C17</f>
        <v>1</v>
      </c>
      <c r="D17" s="7">
        <f t="shared" si="0"/>
        <v>191</v>
      </c>
      <c r="E17" s="7">
        <f t="shared" si="1"/>
        <v>1</v>
      </c>
      <c r="F17" s="50">
        <f t="shared" si="2"/>
        <v>0.99476439790575921</v>
      </c>
      <c r="G17" s="51">
        <f t="shared" si="7"/>
        <v>0.95</v>
      </c>
      <c r="H17" s="50">
        <f t="shared" si="3"/>
        <v>2.7555800496004409E-5</v>
      </c>
      <c r="I17" s="50">
        <f t="shared" si="8"/>
        <v>2.6315789473684215E-4</v>
      </c>
      <c r="J17" s="50">
        <f t="shared" si="4"/>
        <v>1.5411035007422441E-2</v>
      </c>
      <c r="K17" s="50">
        <f t="shared" si="5"/>
        <v>0.90906609135229077</v>
      </c>
      <c r="L17" s="50">
        <f t="shared" si="6"/>
        <v>0.97278058743373774</v>
      </c>
      <c r="N17" s="4" t="s">
        <v>148</v>
      </c>
      <c r="O17" s="6">
        <f>IFERROR(LOOKUP(8000,$B$8:$B$207,$G$8:$G$207),1)</f>
        <v>0.10040399414744708</v>
      </c>
      <c r="P17" s="6">
        <f>IFERROR(LOOKUP(8000,$B$8:$B$207,$K$8:$K$207),"")</f>
        <v>4.6926286918852901E-2</v>
      </c>
      <c r="Q17" s="6">
        <f>IFERROR(LOOKUP(8000,$B$8:$B$207,$L$8:$L$207),"")</f>
        <v>0.17780845476545118</v>
      </c>
    </row>
    <row r="18" spans="1:20" ht="14.5" x14ac:dyDescent="0.35">
      <c r="A18" s="7">
        <v>11</v>
      </c>
      <c r="B18" s="12">
        <f>Metodo_Grafico!B18</f>
        <v>960.8</v>
      </c>
      <c r="C18" s="13">
        <f>Metodo_Grafico!C18</f>
        <v>0</v>
      </c>
      <c r="D18" s="7">
        <f t="shared" si="0"/>
        <v>190</v>
      </c>
      <c r="E18" s="7">
        <f t="shared" si="1"/>
        <v>0</v>
      </c>
      <c r="F18" s="50">
        <f t="shared" si="2"/>
        <v>1</v>
      </c>
      <c r="G18" s="51">
        <f t="shared" si="7"/>
        <v>0.95</v>
      </c>
      <c r="H18" s="50">
        <f t="shared" si="3"/>
        <v>0</v>
      </c>
      <c r="I18" s="50">
        <f t="shared" si="8"/>
        <v>2.6315789473684215E-4</v>
      </c>
      <c r="J18" s="50">
        <f t="shared" si="4"/>
        <v>1.5411035007422441E-2</v>
      </c>
      <c r="K18" s="50">
        <f t="shared" si="5"/>
        <v>0.90906609135229077</v>
      </c>
      <c r="L18" s="50">
        <f t="shared" si="6"/>
        <v>0.97278058743373774</v>
      </c>
    </row>
    <row r="19" spans="1:20" ht="14.5" x14ac:dyDescent="0.35">
      <c r="A19" s="7">
        <v>12</v>
      </c>
      <c r="B19" s="12">
        <f>Metodo_Grafico!B19</f>
        <v>1024.2</v>
      </c>
      <c r="C19" s="13">
        <f>Metodo_Grafico!C19</f>
        <v>0</v>
      </c>
      <c r="D19" s="7">
        <f t="shared" si="0"/>
        <v>189</v>
      </c>
      <c r="E19" s="7">
        <f t="shared" si="1"/>
        <v>0</v>
      </c>
      <c r="F19" s="50">
        <f t="shared" si="2"/>
        <v>1</v>
      </c>
      <c r="G19" s="51">
        <f t="shared" si="7"/>
        <v>0.95</v>
      </c>
      <c r="H19" s="50">
        <f t="shared" si="3"/>
        <v>0</v>
      </c>
      <c r="I19" s="50">
        <f t="shared" si="8"/>
        <v>2.6315789473684215E-4</v>
      </c>
      <c r="J19" s="50">
        <f t="shared" si="4"/>
        <v>1.5411035007422441E-2</v>
      </c>
      <c r="K19" s="50">
        <f t="shared" si="5"/>
        <v>0.90906609135229077</v>
      </c>
      <c r="L19" s="50">
        <f t="shared" si="6"/>
        <v>0.97278058743373774</v>
      </c>
    </row>
    <row r="20" spans="1:20" ht="14.5" x14ac:dyDescent="0.35">
      <c r="A20" s="7">
        <v>13</v>
      </c>
      <c r="B20" s="12">
        <f>Metodo_Grafico!B20</f>
        <v>1073.5</v>
      </c>
      <c r="C20" s="13">
        <f>Metodo_Grafico!C20</f>
        <v>0</v>
      </c>
      <c r="D20" s="7">
        <f t="shared" si="0"/>
        <v>188</v>
      </c>
      <c r="E20" s="7">
        <f t="shared" si="1"/>
        <v>0</v>
      </c>
      <c r="F20" s="50">
        <f t="shared" si="2"/>
        <v>1</v>
      </c>
      <c r="G20" s="51">
        <f t="shared" si="7"/>
        <v>0.95</v>
      </c>
      <c r="H20" s="50">
        <f t="shared" si="3"/>
        <v>0</v>
      </c>
      <c r="I20" s="50">
        <f t="shared" si="8"/>
        <v>2.6315789473684215E-4</v>
      </c>
      <c r="J20" s="50">
        <f t="shared" si="4"/>
        <v>1.5411035007422441E-2</v>
      </c>
      <c r="K20" s="50">
        <f t="shared" si="5"/>
        <v>0.90906609135229077</v>
      </c>
      <c r="L20" s="50">
        <f t="shared" si="6"/>
        <v>0.97278058743373774</v>
      </c>
      <c r="N20" s="3" t="s">
        <v>149</v>
      </c>
    </row>
    <row r="21" spans="1:20" ht="15" customHeight="1" x14ac:dyDescent="0.35">
      <c r="A21" s="7">
        <v>14</v>
      </c>
      <c r="B21" s="12">
        <f>Metodo_Grafico!B21</f>
        <v>1077.0999999999999</v>
      </c>
      <c r="C21" s="13">
        <f>Metodo_Grafico!C21</f>
        <v>1</v>
      </c>
      <c r="D21" s="7">
        <f t="shared" si="0"/>
        <v>187</v>
      </c>
      <c r="E21" s="7">
        <f t="shared" si="1"/>
        <v>1</v>
      </c>
      <c r="F21" s="50">
        <f t="shared" si="2"/>
        <v>0.99465240641711228</v>
      </c>
      <c r="G21" s="51">
        <f t="shared" si="7"/>
        <v>0.9449197860962566</v>
      </c>
      <c r="H21" s="50">
        <f t="shared" si="3"/>
        <v>2.8750503133804843E-5</v>
      </c>
      <c r="I21" s="50">
        <f t="shared" si="8"/>
        <v>2.9190839787064698E-4</v>
      </c>
      <c r="J21" s="50">
        <f t="shared" si="4"/>
        <v>1.6144263511375451E-2</v>
      </c>
      <c r="K21" s="50">
        <f t="shared" si="5"/>
        <v>0.902746267691383</v>
      </c>
      <c r="L21" s="50">
        <f t="shared" si="6"/>
        <v>0.96911472174250901</v>
      </c>
      <c r="N21" s="99" t="s">
        <v>150</v>
      </c>
      <c r="O21" s="99"/>
      <c r="P21" s="99"/>
      <c r="Q21" s="99"/>
      <c r="R21" s="99"/>
      <c r="S21" s="99"/>
      <c r="T21" s="99"/>
    </row>
    <row r="22" spans="1:20" ht="14.5" x14ac:dyDescent="0.35">
      <c r="A22" s="7">
        <v>15</v>
      </c>
      <c r="B22" s="12">
        <f>Metodo_Grafico!B22</f>
        <v>1099.2</v>
      </c>
      <c r="C22" s="13">
        <f>Metodo_Grafico!C22</f>
        <v>1</v>
      </c>
      <c r="D22" s="7">
        <f t="shared" si="0"/>
        <v>186</v>
      </c>
      <c r="E22" s="7">
        <f t="shared" si="1"/>
        <v>1</v>
      </c>
      <c r="F22" s="50">
        <f t="shared" si="2"/>
        <v>0.9946236559139785</v>
      </c>
      <c r="G22" s="51">
        <f t="shared" si="7"/>
        <v>0.93983957219251324</v>
      </c>
      <c r="H22" s="50">
        <f t="shared" si="3"/>
        <v>2.9061319383900029E-5</v>
      </c>
      <c r="I22" s="50">
        <f t="shared" si="8"/>
        <v>3.2096971725454698E-4</v>
      </c>
      <c r="J22" s="50">
        <f t="shared" si="4"/>
        <v>1.683781590905082E-2</v>
      </c>
      <c r="K22" s="50">
        <f t="shared" si="5"/>
        <v>0.89648936340835805</v>
      </c>
      <c r="L22" s="50">
        <f t="shared" si="6"/>
        <v>0.96538180465084222</v>
      </c>
      <c r="N22" s="99"/>
      <c r="O22" s="99"/>
      <c r="P22" s="99"/>
      <c r="Q22" s="99"/>
      <c r="R22" s="99"/>
      <c r="S22" s="99"/>
      <c r="T22" s="99"/>
    </row>
    <row r="23" spans="1:20" ht="14.5" x14ac:dyDescent="0.35">
      <c r="A23" s="7">
        <v>16</v>
      </c>
      <c r="B23" s="12">
        <f>Metodo_Grafico!B23</f>
        <v>1133.3</v>
      </c>
      <c r="C23" s="13">
        <f>Metodo_Grafico!C23</f>
        <v>0</v>
      </c>
      <c r="D23" s="7">
        <f t="shared" si="0"/>
        <v>185</v>
      </c>
      <c r="E23" s="7">
        <f t="shared" si="1"/>
        <v>0</v>
      </c>
      <c r="F23" s="50">
        <f t="shared" si="2"/>
        <v>1</v>
      </c>
      <c r="G23" s="51">
        <f t="shared" si="7"/>
        <v>0.93983957219251324</v>
      </c>
      <c r="H23" s="50">
        <f t="shared" si="3"/>
        <v>0</v>
      </c>
      <c r="I23" s="50">
        <f t="shared" si="8"/>
        <v>3.2096971725454698E-4</v>
      </c>
      <c r="J23" s="50">
        <f t="shared" si="4"/>
        <v>1.683781590905082E-2</v>
      </c>
      <c r="K23" s="50">
        <f t="shared" si="5"/>
        <v>0.89648936340835805</v>
      </c>
      <c r="L23" s="50">
        <f t="shared" si="6"/>
        <v>0.96538180465084222</v>
      </c>
      <c r="N23" s="99"/>
      <c r="O23" s="99"/>
      <c r="P23" s="99"/>
      <c r="Q23" s="99"/>
      <c r="R23" s="99"/>
      <c r="S23" s="99"/>
      <c r="T23" s="99"/>
    </row>
    <row r="24" spans="1:20" ht="14.5" x14ac:dyDescent="0.35">
      <c r="A24" s="7">
        <v>17</v>
      </c>
      <c r="B24" s="12">
        <f>Metodo_Grafico!B24</f>
        <v>1161.5999999999999</v>
      </c>
      <c r="C24" s="13">
        <f>Metodo_Grafico!C24</f>
        <v>1</v>
      </c>
      <c r="D24" s="7">
        <f t="shared" si="0"/>
        <v>184</v>
      </c>
      <c r="E24" s="7">
        <f t="shared" si="1"/>
        <v>1</v>
      </c>
      <c r="F24" s="50">
        <f t="shared" si="2"/>
        <v>0.99456521739130432</v>
      </c>
      <c r="G24" s="51">
        <f t="shared" si="7"/>
        <v>0.93473174843059736</v>
      </c>
      <c r="H24" s="50">
        <f t="shared" si="3"/>
        <v>2.9698265621287717E-5</v>
      </c>
      <c r="I24" s="50">
        <f t="shared" si="8"/>
        <v>3.5066798287583468E-4</v>
      </c>
      <c r="J24" s="50">
        <f t="shared" si="4"/>
        <v>1.7503909187110062E-2</v>
      </c>
      <c r="K24" s="50">
        <f t="shared" si="5"/>
        <v>0.89024261392026449</v>
      </c>
      <c r="L24" s="50">
        <f t="shared" si="6"/>
        <v>0.9615730409454516</v>
      </c>
      <c r="N24" s="99"/>
      <c r="O24" s="99"/>
      <c r="P24" s="99"/>
      <c r="Q24" s="99"/>
      <c r="R24" s="99"/>
      <c r="S24" s="99"/>
      <c r="T24" s="99"/>
    </row>
    <row r="25" spans="1:20" ht="14.5" x14ac:dyDescent="0.35">
      <c r="A25" s="7">
        <v>18</v>
      </c>
      <c r="B25" s="12">
        <f>Metodo_Grafico!B25</f>
        <v>1196.5999999999999</v>
      </c>
      <c r="C25" s="13">
        <f>Metodo_Grafico!C25</f>
        <v>0</v>
      </c>
      <c r="D25" s="7">
        <f t="shared" si="0"/>
        <v>183</v>
      </c>
      <c r="E25" s="7">
        <f t="shared" si="1"/>
        <v>0</v>
      </c>
      <c r="F25" s="50">
        <f t="shared" si="2"/>
        <v>1</v>
      </c>
      <c r="G25" s="51">
        <f t="shared" si="7"/>
        <v>0.93473174843059736</v>
      </c>
      <c r="H25" s="50">
        <f t="shared" si="3"/>
        <v>0</v>
      </c>
      <c r="I25" s="50">
        <f t="shared" si="8"/>
        <v>3.5066798287583468E-4</v>
      </c>
      <c r="J25" s="50">
        <f t="shared" si="4"/>
        <v>1.7503909187110062E-2</v>
      </c>
      <c r="K25" s="50">
        <f t="shared" si="5"/>
        <v>0.89024261392026449</v>
      </c>
      <c r="L25" s="50">
        <f t="shared" si="6"/>
        <v>0.9615730409454516</v>
      </c>
      <c r="N25" s="99"/>
      <c r="O25" s="99"/>
      <c r="P25" s="99"/>
      <c r="Q25" s="99"/>
      <c r="R25" s="99"/>
      <c r="S25" s="99"/>
      <c r="T25" s="99"/>
    </row>
    <row r="26" spans="1:20" ht="14.5" x14ac:dyDescent="0.35">
      <c r="A26" s="7">
        <v>19</v>
      </c>
      <c r="B26" s="12">
        <f>Metodo_Grafico!B26</f>
        <v>1230.9000000000001</v>
      </c>
      <c r="C26" s="13">
        <f>Metodo_Grafico!C26</f>
        <v>1</v>
      </c>
      <c r="D26" s="7">
        <f t="shared" si="0"/>
        <v>182</v>
      </c>
      <c r="E26" s="7">
        <f t="shared" si="1"/>
        <v>1</v>
      </c>
      <c r="F26" s="50">
        <f t="shared" si="2"/>
        <v>0.99450549450549453</v>
      </c>
      <c r="G26" s="51">
        <f t="shared" si="7"/>
        <v>0.92959585970295677</v>
      </c>
      <c r="H26" s="50">
        <f t="shared" si="3"/>
        <v>3.0356383947544167E-5</v>
      </c>
      <c r="I26" s="50">
        <f t="shared" si="8"/>
        <v>3.8102436682337884E-4</v>
      </c>
      <c r="J26" s="50">
        <f t="shared" si="4"/>
        <v>1.8145567522636123E-2</v>
      </c>
      <c r="K26" s="50">
        <f t="shared" si="5"/>
        <v>0.8840029200331162</v>
      </c>
      <c r="L26" s="50">
        <f t="shared" si="6"/>
        <v>0.95769310323023793</v>
      </c>
      <c r="N26" s="99"/>
      <c r="O26" s="99"/>
      <c r="P26" s="99"/>
      <c r="Q26" s="99"/>
      <c r="R26" s="99"/>
      <c r="S26" s="99"/>
      <c r="T26" s="99"/>
    </row>
    <row r="27" spans="1:20" ht="14.5" x14ac:dyDescent="0.35">
      <c r="A27" s="7">
        <v>20</v>
      </c>
      <c r="B27" s="12">
        <f>Metodo_Grafico!B27</f>
        <v>1240.7</v>
      </c>
      <c r="C27" s="13">
        <f>Metodo_Grafico!C27</f>
        <v>0</v>
      </c>
      <c r="D27" s="7">
        <f t="shared" si="0"/>
        <v>181</v>
      </c>
      <c r="E27" s="7">
        <f t="shared" si="1"/>
        <v>0</v>
      </c>
      <c r="F27" s="50">
        <f t="shared" si="2"/>
        <v>1</v>
      </c>
      <c r="G27" s="51">
        <f t="shared" si="7"/>
        <v>0.92959585970295677</v>
      </c>
      <c r="H27" s="50">
        <f t="shared" si="3"/>
        <v>0</v>
      </c>
      <c r="I27" s="50">
        <f t="shared" si="8"/>
        <v>3.8102436682337884E-4</v>
      </c>
      <c r="J27" s="50">
        <f t="shared" si="4"/>
        <v>1.8145567522636123E-2</v>
      </c>
      <c r="K27" s="50">
        <f t="shared" si="5"/>
        <v>0.8840029200331162</v>
      </c>
      <c r="L27" s="50">
        <f t="shared" si="6"/>
        <v>0.95769310323023793</v>
      </c>
      <c r="N27" s="99"/>
      <c r="O27" s="99"/>
      <c r="P27" s="99"/>
      <c r="Q27" s="99"/>
      <c r="R27" s="99"/>
      <c r="S27" s="99"/>
      <c r="T27" s="99"/>
    </row>
    <row r="28" spans="1:20" ht="14.5" x14ac:dyDescent="0.35">
      <c r="A28" s="7">
        <v>21</v>
      </c>
      <c r="B28" s="12">
        <f>Metodo_Grafico!B28</f>
        <v>1265.2</v>
      </c>
      <c r="C28" s="13">
        <f>Metodo_Grafico!C28</f>
        <v>0</v>
      </c>
      <c r="D28" s="7">
        <f t="shared" si="0"/>
        <v>180</v>
      </c>
      <c r="E28" s="7">
        <f t="shared" si="1"/>
        <v>0</v>
      </c>
      <c r="F28" s="50">
        <f t="shared" si="2"/>
        <v>1</v>
      </c>
      <c r="G28" s="51">
        <f t="shared" si="7"/>
        <v>0.92959585970295677</v>
      </c>
      <c r="H28" s="50">
        <f t="shared" si="3"/>
        <v>0</v>
      </c>
      <c r="I28" s="50">
        <f t="shared" si="8"/>
        <v>3.8102436682337884E-4</v>
      </c>
      <c r="J28" s="50">
        <f t="shared" si="4"/>
        <v>1.8145567522636123E-2</v>
      </c>
      <c r="K28" s="50">
        <f t="shared" si="5"/>
        <v>0.8840029200331162</v>
      </c>
      <c r="L28" s="50">
        <f t="shared" si="6"/>
        <v>0.95769310323023793</v>
      </c>
      <c r="N28" s="99"/>
      <c r="O28" s="99"/>
      <c r="P28" s="99"/>
      <c r="Q28" s="99"/>
      <c r="R28" s="99"/>
      <c r="S28" s="99"/>
      <c r="T28" s="99"/>
    </row>
    <row r="29" spans="1:20" ht="14.5" x14ac:dyDescent="0.35">
      <c r="A29" s="7">
        <v>22</v>
      </c>
      <c r="B29" s="12">
        <f>Metodo_Grafico!B29</f>
        <v>1308.3</v>
      </c>
      <c r="C29" s="13">
        <f>Metodo_Grafico!C29</f>
        <v>0</v>
      </c>
      <c r="D29" s="7">
        <f t="shared" si="0"/>
        <v>179</v>
      </c>
      <c r="E29" s="7">
        <f t="shared" si="1"/>
        <v>0</v>
      </c>
      <c r="F29" s="50">
        <f t="shared" si="2"/>
        <v>1</v>
      </c>
      <c r="G29" s="51">
        <f t="shared" si="7"/>
        <v>0.92959585970295677</v>
      </c>
      <c r="H29" s="50">
        <f t="shared" si="3"/>
        <v>0</v>
      </c>
      <c r="I29" s="50">
        <f t="shared" si="8"/>
        <v>3.8102436682337884E-4</v>
      </c>
      <c r="J29" s="50">
        <f t="shared" si="4"/>
        <v>1.8145567522636123E-2</v>
      </c>
      <c r="K29" s="50">
        <f t="shared" si="5"/>
        <v>0.8840029200331162</v>
      </c>
      <c r="L29" s="50">
        <f t="shared" si="6"/>
        <v>0.95769310323023793</v>
      </c>
      <c r="N29" s="99"/>
      <c r="O29" s="99"/>
      <c r="P29" s="99"/>
      <c r="Q29" s="99"/>
      <c r="R29" s="99"/>
      <c r="S29" s="99"/>
      <c r="T29" s="99"/>
    </row>
    <row r="30" spans="1:20" ht="14.5" x14ac:dyDescent="0.35">
      <c r="A30" s="7">
        <v>23</v>
      </c>
      <c r="B30" s="12">
        <f>Metodo_Grafico!B30</f>
        <v>1360.3</v>
      </c>
      <c r="C30" s="13">
        <f>Metodo_Grafico!C30</f>
        <v>1</v>
      </c>
      <c r="D30" s="7">
        <f t="shared" si="0"/>
        <v>178</v>
      </c>
      <c r="E30" s="7">
        <f t="shared" si="1"/>
        <v>1</v>
      </c>
      <c r="F30" s="50">
        <f t="shared" si="2"/>
        <v>0.9943820224719101</v>
      </c>
      <c r="G30" s="51">
        <f t="shared" si="7"/>
        <v>0.92437341105294013</v>
      </c>
      <c r="H30" s="50">
        <f t="shared" si="3"/>
        <v>3.1739986034406146E-5</v>
      </c>
      <c r="I30" s="50">
        <f t="shared" si="8"/>
        <v>4.1276435285778502E-4</v>
      </c>
      <c r="J30" s="50">
        <f t="shared" si="4"/>
        <v>1.878012751143053E-2</v>
      </c>
      <c r="K30" s="50">
        <f t="shared" si="5"/>
        <v>0.87767279256994601</v>
      </c>
      <c r="L30" s="50">
        <f t="shared" si="6"/>
        <v>0.95371096646295261</v>
      </c>
    </row>
    <row r="31" spans="1:20" ht="14.5" x14ac:dyDescent="0.35">
      <c r="A31" s="7">
        <v>24</v>
      </c>
      <c r="B31" s="12">
        <f>Metodo_Grafico!B31</f>
        <v>1392.9</v>
      </c>
      <c r="C31" s="13">
        <f>Metodo_Grafico!C31</f>
        <v>1</v>
      </c>
      <c r="D31" s="7">
        <f t="shared" si="0"/>
        <v>177</v>
      </c>
      <c r="E31" s="7">
        <f t="shared" si="1"/>
        <v>1</v>
      </c>
      <c r="F31" s="50">
        <f t="shared" si="2"/>
        <v>0.99435028248587576</v>
      </c>
      <c r="G31" s="51">
        <f t="shared" si="7"/>
        <v>0.9191509624029236</v>
      </c>
      <c r="H31" s="50">
        <f t="shared" si="3"/>
        <v>3.2100667693888034E-5</v>
      </c>
      <c r="I31" s="50">
        <f t="shared" si="8"/>
        <v>4.4486502055167307E-4</v>
      </c>
      <c r="J31" s="50">
        <f t="shared" si="4"/>
        <v>1.9386569912360336E-2</v>
      </c>
      <c r="K31" s="50">
        <f t="shared" si="5"/>
        <v>0.87139410387780647</v>
      </c>
      <c r="L31" s="50">
        <f t="shared" si="6"/>
        <v>0.94968099340017542</v>
      </c>
    </row>
    <row r="32" spans="1:20" ht="14.5" x14ac:dyDescent="0.35">
      <c r="A32" s="7">
        <v>25</v>
      </c>
      <c r="B32" s="12">
        <f>Metodo_Grafico!B32</f>
        <v>1441.9</v>
      </c>
      <c r="C32" s="13">
        <f>Metodo_Grafico!C32</f>
        <v>1</v>
      </c>
      <c r="D32" s="7">
        <f t="shared" si="0"/>
        <v>176</v>
      </c>
      <c r="E32" s="7">
        <f t="shared" si="1"/>
        <v>1</v>
      </c>
      <c r="F32" s="50">
        <f t="shared" si="2"/>
        <v>0.99431818181818177</v>
      </c>
      <c r="G32" s="51">
        <f t="shared" si="7"/>
        <v>0.91392851375290696</v>
      </c>
      <c r="H32" s="50">
        <f t="shared" si="3"/>
        <v>3.2467532467532468E-5</v>
      </c>
      <c r="I32" s="50">
        <f t="shared" si="8"/>
        <v>4.7733255301920553E-4</v>
      </c>
      <c r="J32" s="50">
        <f t="shared" si="4"/>
        <v>1.996745681308169E-2</v>
      </c>
      <c r="K32" s="50">
        <f t="shared" si="5"/>
        <v>0.86516222530536191</v>
      </c>
      <c r="L32" s="50">
        <f t="shared" si="6"/>
        <v>0.94560713391665452</v>
      </c>
    </row>
    <row r="33" spans="1:12" ht="14.5" x14ac:dyDescent="0.35">
      <c r="A33" s="7">
        <v>26</v>
      </c>
      <c r="B33" s="12">
        <f>Metodo_Grafico!B33</f>
        <v>1442.2</v>
      </c>
      <c r="C33" s="13">
        <f>Metodo_Grafico!C33</f>
        <v>1</v>
      </c>
      <c r="D33" s="7">
        <f t="shared" si="0"/>
        <v>175</v>
      </c>
      <c r="E33" s="7">
        <f t="shared" si="1"/>
        <v>1</v>
      </c>
      <c r="F33" s="50">
        <f t="shared" si="2"/>
        <v>0.99428571428571433</v>
      </c>
      <c r="G33" s="51">
        <f t="shared" si="7"/>
        <v>0.90870606510289043</v>
      </c>
      <c r="H33" s="50">
        <f t="shared" si="3"/>
        <v>3.2840722495894909E-5</v>
      </c>
      <c r="I33" s="50">
        <f t="shared" si="8"/>
        <v>5.1017327551510048E-4</v>
      </c>
      <c r="J33" s="50">
        <f t="shared" si="4"/>
        <v>2.052495810451101E-2</v>
      </c>
      <c r="K33" s="50">
        <f t="shared" si="5"/>
        <v>0.85897324750278237</v>
      </c>
      <c r="L33" s="50">
        <f t="shared" si="6"/>
        <v>0.94149278311332263</v>
      </c>
    </row>
    <row r="34" spans="1:12" ht="14.5" x14ac:dyDescent="0.35">
      <c r="A34" s="7">
        <v>27</v>
      </c>
      <c r="B34" s="12">
        <f>Metodo_Grafico!B34</f>
        <v>1449.1</v>
      </c>
      <c r="C34" s="13">
        <f>Metodo_Grafico!C34</f>
        <v>0</v>
      </c>
      <c r="D34" s="7">
        <f t="shared" si="0"/>
        <v>174</v>
      </c>
      <c r="E34" s="7">
        <f t="shared" si="1"/>
        <v>0</v>
      </c>
      <c r="F34" s="50">
        <f t="shared" si="2"/>
        <v>1</v>
      </c>
      <c r="G34" s="51">
        <f t="shared" si="7"/>
        <v>0.90870606510289043</v>
      </c>
      <c r="H34" s="50">
        <f t="shared" si="3"/>
        <v>0</v>
      </c>
      <c r="I34" s="50">
        <f t="shared" si="8"/>
        <v>5.1017327551510048E-4</v>
      </c>
      <c r="J34" s="50">
        <f t="shared" si="4"/>
        <v>2.052495810451101E-2</v>
      </c>
      <c r="K34" s="50">
        <f t="shared" si="5"/>
        <v>0.85897324750278237</v>
      </c>
      <c r="L34" s="50">
        <f t="shared" si="6"/>
        <v>0.94149278311332263</v>
      </c>
    </row>
    <row r="35" spans="1:12" ht="14.5" x14ac:dyDescent="0.35">
      <c r="A35" s="7">
        <v>28</v>
      </c>
      <c r="B35" s="12">
        <f>Metodo_Grafico!B35</f>
        <v>1472.7</v>
      </c>
      <c r="C35" s="13">
        <f>Metodo_Grafico!C35</f>
        <v>1</v>
      </c>
      <c r="D35" s="7">
        <f t="shared" si="0"/>
        <v>173</v>
      </c>
      <c r="E35" s="7">
        <f t="shared" si="1"/>
        <v>1</v>
      </c>
      <c r="F35" s="50">
        <f t="shared" si="2"/>
        <v>0.9942196531791907</v>
      </c>
      <c r="G35" s="51">
        <f t="shared" si="7"/>
        <v>0.90345342888842284</v>
      </c>
      <c r="H35" s="50">
        <f t="shared" si="3"/>
        <v>3.360666756284447E-5</v>
      </c>
      <c r="I35" s="50">
        <f t="shared" si="8"/>
        <v>5.4377994307794493E-4</v>
      </c>
      <c r="J35" s="50">
        <f t="shared" si="4"/>
        <v>2.106771152170157E-2</v>
      </c>
      <c r="K35" s="50">
        <f t="shared" si="5"/>
        <v>0.85277753556584801</v>
      </c>
      <c r="L35" s="50">
        <f t="shared" si="6"/>
        <v>0.93732163254302348</v>
      </c>
    </row>
    <row r="36" spans="1:12" ht="14.5" x14ac:dyDescent="0.35">
      <c r="A36" s="7">
        <v>29</v>
      </c>
      <c r="B36" s="12">
        <f>Metodo_Grafico!B36</f>
        <v>1472.8</v>
      </c>
      <c r="C36" s="13">
        <f>Metodo_Grafico!C36</f>
        <v>0</v>
      </c>
      <c r="D36" s="7">
        <f t="shared" si="0"/>
        <v>172</v>
      </c>
      <c r="E36" s="7">
        <f t="shared" si="1"/>
        <v>0</v>
      </c>
      <c r="F36" s="50">
        <f t="shared" si="2"/>
        <v>1</v>
      </c>
      <c r="G36" s="51">
        <f t="shared" si="7"/>
        <v>0.90345342888842284</v>
      </c>
      <c r="H36" s="50">
        <f t="shared" si="3"/>
        <v>0</v>
      </c>
      <c r="I36" s="50">
        <f t="shared" si="8"/>
        <v>5.4377994307794493E-4</v>
      </c>
      <c r="J36" s="50">
        <f t="shared" si="4"/>
        <v>2.106771152170157E-2</v>
      </c>
      <c r="K36" s="50">
        <f t="shared" si="5"/>
        <v>0.85277753556584801</v>
      </c>
      <c r="L36" s="50">
        <f t="shared" si="6"/>
        <v>0.93732163254302348</v>
      </c>
    </row>
    <row r="37" spans="1:12" ht="14.5" x14ac:dyDescent="0.35">
      <c r="A37" s="7">
        <v>30</v>
      </c>
      <c r="B37" s="12">
        <f>Metodo_Grafico!B37</f>
        <v>1474.1</v>
      </c>
      <c r="C37" s="13">
        <f>Metodo_Grafico!C37</f>
        <v>0</v>
      </c>
      <c r="D37" s="7">
        <f t="shared" si="0"/>
        <v>171</v>
      </c>
      <c r="E37" s="7">
        <f t="shared" si="1"/>
        <v>0</v>
      </c>
      <c r="F37" s="50">
        <f t="shared" si="2"/>
        <v>1</v>
      </c>
      <c r="G37" s="51">
        <f t="shared" si="7"/>
        <v>0.90345342888842284</v>
      </c>
      <c r="H37" s="50">
        <f t="shared" si="3"/>
        <v>0</v>
      </c>
      <c r="I37" s="50">
        <f t="shared" si="8"/>
        <v>5.4377994307794493E-4</v>
      </c>
      <c r="J37" s="50">
        <f t="shared" si="4"/>
        <v>2.106771152170157E-2</v>
      </c>
      <c r="K37" s="50">
        <f t="shared" si="5"/>
        <v>0.85277753556584801</v>
      </c>
      <c r="L37" s="50">
        <f t="shared" si="6"/>
        <v>0.93732163254302348</v>
      </c>
    </row>
    <row r="38" spans="1:12" ht="14.5" x14ac:dyDescent="0.35">
      <c r="A38" s="7">
        <v>31</v>
      </c>
      <c r="B38" s="12">
        <f>Metodo_Grafico!B38</f>
        <v>1528.3</v>
      </c>
      <c r="C38" s="13">
        <f>Metodo_Grafico!C38</f>
        <v>0</v>
      </c>
      <c r="D38" s="7">
        <f t="shared" si="0"/>
        <v>170</v>
      </c>
      <c r="E38" s="7">
        <f t="shared" si="1"/>
        <v>0</v>
      </c>
      <c r="F38" s="50">
        <f t="shared" si="2"/>
        <v>1</v>
      </c>
      <c r="G38" s="51">
        <f t="shared" si="7"/>
        <v>0.90345342888842284</v>
      </c>
      <c r="H38" s="50">
        <f t="shared" si="3"/>
        <v>0</v>
      </c>
      <c r="I38" s="50">
        <f t="shared" si="8"/>
        <v>5.4377994307794493E-4</v>
      </c>
      <c r="J38" s="50">
        <f t="shared" si="4"/>
        <v>2.106771152170157E-2</v>
      </c>
      <c r="K38" s="50">
        <f t="shared" si="5"/>
        <v>0.85277753556584801</v>
      </c>
      <c r="L38" s="50">
        <f t="shared" si="6"/>
        <v>0.93732163254302348</v>
      </c>
    </row>
    <row r="39" spans="1:12" ht="14.5" x14ac:dyDescent="0.35">
      <c r="A39" s="7">
        <v>32</v>
      </c>
      <c r="B39" s="12">
        <f>Metodo_Grafico!B39</f>
        <v>1535.6</v>
      </c>
      <c r="C39" s="13">
        <f>Metodo_Grafico!C39</f>
        <v>0</v>
      </c>
      <c r="D39" s="7">
        <f t="shared" si="0"/>
        <v>169</v>
      </c>
      <c r="E39" s="7">
        <f t="shared" si="1"/>
        <v>0</v>
      </c>
      <c r="F39" s="50">
        <f t="shared" si="2"/>
        <v>1</v>
      </c>
      <c r="G39" s="51">
        <f t="shared" si="7"/>
        <v>0.90345342888842284</v>
      </c>
      <c r="H39" s="50">
        <f t="shared" si="3"/>
        <v>0</v>
      </c>
      <c r="I39" s="50">
        <f t="shared" si="8"/>
        <v>5.4377994307794493E-4</v>
      </c>
      <c r="J39" s="50">
        <f t="shared" si="4"/>
        <v>2.106771152170157E-2</v>
      </c>
      <c r="K39" s="50">
        <f t="shared" si="5"/>
        <v>0.85277753556584801</v>
      </c>
      <c r="L39" s="50">
        <f t="shared" si="6"/>
        <v>0.93732163254302348</v>
      </c>
    </row>
    <row r="40" spans="1:12" ht="14.5" x14ac:dyDescent="0.35">
      <c r="A40" s="7">
        <v>33</v>
      </c>
      <c r="B40" s="12">
        <f>Metodo_Grafico!B40</f>
        <v>1544.6</v>
      </c>
      <c r="C40" s="13">
        <f>Metodo_Grafico!C40</f>
        <v>0</v>
      </c>
      <c r="D40" s="7">
        <f t="shared" ref="D40:D71" si="9">$B$4-A40+1</f>
        <v>168</v>
      </c>
      <c r="E40" s="7">
        <f t="shared" ref="E40:E71" si="10">C40</f>
        <v>0</v>
      </c>
      <c r="F40" s="50">
        <f t="shared" ref="F40:F71" si="11">IF(C40=1,(D40-E40)/D40,1)</f>
        <v>1</v>
      </c>
      <c r="G40" s="51">
        <f t="shared" si="7"/>
        <v>0.90345342888842284</v>
      </c>
      <c r="H40" s="50">
        <f t="shared" ref="H40:H71" si="12">IF(AND(C40=1,D40-E40&gt;0),E40/(D40*(D40-E40)),0)</f>
        <v>0</v>
      </c>
      <c r="I40" s="50">
        <f t="shared" si="8"/>
        <v>5.4377994307794493E-4</v>
      </c>
      <c r="J40" s="50">
        <f t="shared" ref="J40:J71" si="13">G40*SQRT(I40)</f>
        <v>2.106771152170157E-2</v>
      </c>
      <c r="K40" s="50">
        <f t="shared" ref="K40:K71" si="14">IF(OR(G40&gt;=1,G40&lt;=0),"",G40^EXP($B$5*SQRT(I40)/ABS(LN(G40))))</f>
        <v>0.85277753556584801</v>
      </c>
      <c r="L40" s="50">
        <f t="shared" ref="L40:L71" si="15">IF(OR(G40&gt;=1,G40&lt;=0),"",G40^EXP(-$B$5*SQRT(I40)/ABS(LN(G40))))</f>
        <v>0.93732163254302348</v>
      </c>
    </row>
    <row r="41" spans="1:12" ht="14.5" x14ac:dyDescent="0.35">
      <c r="A41" s="7">
        <v>34</v>
      </c>
      <c r="B41" s="12">
        <f>Metodo_Grafico!B41</f>
        <v>1575.6</v>
      </c>
      <c r="C41" s="13">
        <f>Metodo_Grafico!C41</f>
        <v>0</v>
      </c>
      <c r="D41" s="7">
        <f t="shared" si="9"/>
        <v>167</v>
      </c>
      <c r="E41" s="7">
        <f t="shared" si="10"/>
        <v>0</v>
      </c>
      <c r="F41" s="50">
        <f t="shared" si="11"/>
        <v>1</v>
      </c>
      <c r="G41" s="51">
        <f t="shared" ref="G41:G72" si="16">G40*F41</f>
        <v>0.90345342888842284</v>
      </c>
      <c r="H41" s="50">
        <f t="shared" si="12"/>
        <v>0</v>
      </c>
      <c r="I41" s="50">
        <f t="shared" ref="I41:I72" si="17">I40+H41</f>
        <v>5.4377994307794493E-4</v>
      </c>
      <c r="J41" s="50">
        <f t="shared" si="13"/>
        <v>2.106771152170157E-2</v>
      </c>
      <c r="K41" s="50">
        <f t="shared" si="14"/>
        <v>0.85277753556584801</v>
      </c>
      <c r="L41" s="50">
        <f t="shared" si="15"/>
        <v>0.93732163254302348</v>
      </c>
    </row>
    <row r="42" spans="1:12" ht="14.5" x14ac:dyDescent="0.35">
      <c r="A42" s="7">
        <v>35</v>
      </c>
      <c r="B42" s="12">
        <f>Metodo_Grafico!B42</f>
        <v>1615.9</v>
      </c>
      <c r="C42" s="13">
        <f>Metodo_Grafico!C42</f>
        <v>0</v>
      </c>
      <c r="D42" s="7">
        <f t="shared" si="9"/>
        <v>166</v>
      </c>
      <c r="E42" s="7">
        <f t="shared" si="10"/>
        <v>0</v>
      </c>
      <c r="F42" s="50">
        <f t="shared" si="11"/>
        <v>1</v>
      </c>
      <c r="G42" s="51">
        <f t="shared" si="16"/>
        <v>0.90345342888842284</v>
      </c>
      <c r="H42" s="50">
        <f t="shared" si="12"/>
        <v>0</v>
      </c>
      <c r="I42" s="50">
        <f t="shared" si="17"/>
        <v>5.4377994307794493E-4</v>
      </c>
      <c r="J42" s="50">
        <f t="shared" si="13"/>
        <v>2.106771152170157E-2</v>
      </c>
      <c r="K42" s="50">
        <f t="shared" si="14"/>
        <v>0.85277753556584801</v>
      </c>
      <c r="L42" s="50">
        <f t="shared" si="15"/>
        <v>0.93732163254302348</v>
      </c>
    </row>
    <row r="43" spans="1:12" ht="14.5" x14ac:dyDescent="0.35">
      <c r="A43" s="7">
        <v>36</v>
      </c>
      <c r="B43" s="12">
        <f>Metodo_Grafico!B43</f>
        <v>1642.5</v>
      </c>
      <c r="C43" s="13">
        <f>Metodo_Grafico!C43</f>
        <v>1</v>
      </c>
      <c r="D43" s="7">
        <f t="shared" si="9"/>
        <v>165</v>
      </c>
      <c r="E43" s="7">
        <f t="shared" si="10"/>
        <v>1</v>
      </c>
      <c r="F43" s="50">
        <f t="shared" si="11"/>
        <v>0.9939393939393939</v>
      </c>
      <c r="G43" s="51">
        <f t="shared" si="16"/>
        <v>0.8979779535618263</v>
      </c>
      <c r="H43" s="50">
        <f t="shared" si="12"/>
        <v>3.6954915003695491E-5</v>
      </c>
      <c r="I43" s="50">
        <f t="shared" si="17"/>
        <v>5.8073485808164042E-4</v>
      </c>
      <c r="J43" s="50">
        <f t="shared" si="13"/>
        <v>2.1639868722984713E-2</v>
      </c>
      <c r="K43" s="50">
        <f t="shared" si="14"/>
        <v>0.84627907490229659</v>
      </c>
      <c r="L43" s="50">
        <f t="shared" si="15"/>
        <v>0.9329725544928068</v>
      </c>
    </row>
    <row r="44" spans="1:12" ht="14.5" x14ac:dyDescent="0.35">
      <c r="A44" s="7">
        <v>37</v>
      </c>
      <c r="B44" s="12">
        <f>Metodo_Grafico!B44</f>
        <v>1670.7</v>
      </c>
      <c r="C44" s="13">
        <f>Metodo_Grafico!C44</f>
        <v>0</v>
      </c>
      <c r="D44" s="7">
        <f t="shared" si="9"/>
        <v>164</v>
      </c>
      <c r="E44" s="7">
        <f t="shared" si="10"/>
        <v>0</v>
      </c>
      <c r="F44" s="50">
        <f t="shared" si="11"/>
        <v>1</v>
      </c>
      <c r="G44" s="51">
        <f t="shared" si="16"/>
        <v>0.8979779535618263</v>
      </c>
      <c r="H44" s="50">
        <f t="shared" si="12"/>
        <v>0</v>
      </c>
      <c r="I44" s="50">
        <f t="shared" si="17"/>
        <v>5.8073485808164042E-4</v>
      </c>
      <c r="J44" s="50">
        <f t="shared" si="13"/>
        <v>2.1639868722984713E-2</v>
      </c>
      <c r="K44" s="50">
        <f t="shared" si="14"/>
        <v>0.84627907490229659</v>
      </c>
      <c r="L44" s="50">
        <f t="shared" si="15"/>
        <v>0.9329725544928068</v>
      </c>
    </row>
    <row r="45" spans="1:12" ht="14.5" x14ac:dyDescent="0.35">
      <c r="A45" s="7">
        <v>38</v>
      </c>
      <c r="B45" s="12">
        <f>Metodo_Grafico!B45</f>
        <v>1712.9</v>
      </c>
      <c r="C45" s="13">
        <f>Metodo_Grafico!C45</f>
        <v>0</v>
      </c>
      <c r="D45" s="7">
        <f t="shared" si="9"/>
        <v>163</v>
      </c>
      <c r="E45" s="7">
        <f t="shared" si="10"/>
        <v>0</v>
      </c>
      <c r="F45" s="50">
        <f t="shared" si="11"/>
        <v>1</v>
      </c>
      <c r="G45" s="51">
        <f t="shared" si="16"/>
        <v>0.8979779535618263</v>
      </c>
      <c r="H45" s="50">
        <f t="shared" si="12"/>
        <v>0</v>
      </c>
      <c r="I45" s="50">
        <f t="shared" si="17"/>
        <v>5.8073485808164042E-4</v>
      </c>
      <c r="J45" s="50">
        <f t="shared" si="13"/>
        <v>2.1639868722984713E-2</v>
      </c>
      <c r="K45" s="50">
        <f t="shared" si="14"/>
        <v>0.84627907490229659</v>
      </c>
      <c r="L45" s="50">
        <f t="shared" si="15"/>
        <v>0.9329725544928068</v>
      </c>
    </row>
    <row r="46" spans="1:12" ht="14.5" x14ac:dyDescent="0.35">
      <c r="A46" s="7">
        <v>39</v>
      </c>
      <c r="B46" s="12">
        <f>Metodo_Grafico!B46</f>
        <v>1728</v>
      </c>
      <c r="C46" s="13">
        <f>Metodo_Grafico!C46</f>
        <v>1</v>
      </c>
      <c r="D46" s="7">
        <f t="shared" si="9"/>
        <v>162</v>
      </c>
      <c r="E46" s="7">
        <f t="shared" si="10"/>
        <v>1</v>
      </c>
      <c r="F46" s="50">
        <f t="shared" si="11"/>
        <v>0.99382716049382713</v>
      </c>
      <c r="G46" s="51">
        <f t="shared" si="16"/>
        <v>0.89243487977440761</v>
      </c>
      <c r="H46" s="50">
        <f t="shared" si="12"/>
        <v>3.8340618050762975E-5</v>
      </c>
      <c r="I46" s="50">
        <f t="shared" si="17"/>
        <v>6.1907547613240343E-4</v>
      </c>
      <c r="J46" s="50">
        <f t="shared" si="13"/>
        <v>2.220487516904552E-2</v>
      </c>
      <c r="K46" s="50">
        <f t="shared" si="14"/>
        <v>0.83972247184258486</v>
      </c>
      <c r="L46" s="50">
        <f t="shared" si="15"/>
        <v>0.92854288579283195</v>
      </c>
    </row>
    <row r="47" spans="1:12" ht="14.5" x14ac:dyDescent="0.35">
      <c r="A47" s="7">
        <v>40</v>
      </c>
      <c r="B47" s="12">
        <f>Metodo_Grafico!B47</f>
        <v>1758.9</v>
      </c>
      <c r="C47" s="13">
        <f>Metodo_Grafico!C47</f>
        <v>0</v>
      </c>
      <c r="D47" s="7">
        <f t="shared" si="9"/>
        <v>161</v>
      </c>
      <c r="E47" s="7">
        <f t="shared" si="10"/>
        <v>0</v>
      </c>
      <c r="F47" s="50">
        <f t="shared" si="11"/>
        <v>1</v>
      </c>
      <c r="G47" s="51">
        <f t="shared" si="16"/>
        <v>0.89243487977440761</v>
      </c>
      <c r="H47" s="50">
        <f t="shared" si="12"/>
        <v>0</v>
      </c>
      <c r="I47" s="50">
        <f t="shared" si="17"/>
        <v>6.1907547613240343E-4</v>
      </c>
      <c r="J47" s="50">
        <f t="shared" si="13"/>
        <v>2.220487516904552E-2</v>
      </c>
      <c r="K47" s="50">
        <f t="shared" si="14"/>
        <v>0.83972247184258486</v>
      </c>
      <c r="L47" s="50">
        <f t="shared" si="15"/>
        <v>0.92854288579283195</v>
      </c>
    </row>
    <row r="48" spans="1:12" ht="14.5" x14ac:dyDescent="0.35">
      <c r="A48" s="7">
        <v>41</v>
      </c>
      <c r="B48" s="12">
        <f>Metodo_Grafico!B48</f>
        <v>1775.5</v>
      </c>
      <c r="C48" s="13">
        <f>Metodo_Grafico!C48</f>
        <v>0</v>
      </c>
      <c r="D48" s="7">
        <f t="shared" si="9"/>
        <v>160</v>
      </c>
      <c r="E48" s="7">
        <f t="shared" si="10"/>
        <v>0</v>
      </c>
      <c r="F48" s="50">
        <f t="shared" si="11"/>
        <v>1</v>
      </c>
      <c r="G48" s="51">
        <f t="shared" si="16"/>
        <v>0.89243487977440761</v>
      </c>
      <c r="H48" s="50">
        <f t="shared" si="12"/>
        <v>0</v>
      </c>
      <c r="I48" s="50">
        <f t="shared" si="17"/>
        <v>6.1907547613240343E-4</v>
      </c>
      <c r="J48" s="50">
        <f t="shared" si="13"/>
        <v>2.220487516904552E-2</v>
      </c>
      <c r="K48" s="50">
        <f t="shared" si="14"/>
        <v>0.83972247184258486</v>
      </c>
      <c r="L48" s="50">
        <f t="shared" si="15"/>
        <v>0.92854288579283195</v>
      </c>
    </row>
    <row r="49" spans="1:12" ht="14.5" x14ac:dyDescent="0.35">
      <c r="A49" s="7">
        <v>42</v>
      </c>
      <c r="B49" s="12">
        <f>Metodo_Grafico!B49</f>
        <v>1821.5</v>
      </c>
      <c r="C49" s="13">
        <f>Metodo_Grafico!C49</f>
        <v>0</v>
      </c>
      <c r="D49" s="7">
        <f t="shared" si="9"/>
        <v>159</v>
      </c>
      <c r="E49" s="7">
        <f t="shared" si="10"/>
        <v>0</v>
      </c>
      <c r="F49" s="50">
        <f t="shared" si="11"/>
        <v>1</v>
      </c>
      <c r="G49" s="51">
        <f t="shared" si="16"/>
        <v>0.89243487977440761</v>
      </c>
      <c r="H49" s="50">
        <f t="shared" si="12"/>
        <v>0</v>
      </c>
      <c r="I49" s="50">
        <f t="shared" si="17"/>
        <v>6.1907547613240343E-4</v>
      </c>
      <c r="J49" s="50">
        <f t="shared" si="13"/>
        <v>2.220487516904552E-2</v>
      </c>
      <c r="K49" s="50">
        <f t="shared" si="14"/>
        <v>0.83972247184258486</v>
      </c>
      <c r="L49" s="50">
        <f t="shared" si="15"/>
        <v>0.92854288579283195</v>
      </c>
    </row>
    <row r="50" spans="1:12" ht="14.5" x14ac:dyDescent="0.35">
      <c r="A50" s="7">
        <v>43</v>
      </c>
      <c r="B50" s="12">
        <f>Metodo_Grafico!B50</f>
        <v>1884.7</v>
      </c>
      <c r="C50" s="13">
        <f>Metodo_Grafico!C50</f>
        <v>1</v>
      </c>
      <c r="D50" s="7">
        <f t="shared" si="9"/>
        <v>158</v>
      </c>
      <c r="E50" s="7">
        <f t="shared" si="10"/>
        <v>1</v>
      </c>
      <c r="F50" s="50">
        <f t="shared" si="11"/>
        <v>0.99367088607594933</v>
      </c>
      <c r="G50" s="51">
        <f t="shared" si="16"/>
        <v>0.88678655775051896</v>
      </c>
      <c r="H50" s="50">
        <f t="shared" si="12"/>
        <v>4.0312827541723776E-5</v>
      </c>
      <c r="I50" s="50">
        <f t="shared" si="17"/>
        <v>6.593883036741272E-4</v>
      </c>
      <c r="J50" s="50">
        <f t="shared" si="13"/>
        <v>2.2771399413010509E-2</v>
      </c>
      <c r="K50" s="50">
        <f t="shared" si="14"/>
        <v>0.83305070182394503</v>
      </c>
      <c r="L50" s="50">
        <f t="shared" si="15"/>
        <v>0.92400930887562538</v>
      </c>
    </row>
    <row r="51" spans="1:12" ht="14.5" x14ac:dyDescent="0.35">
      <c r="A51" s="7">
        <v>44</v>
      </c>
      <c r="B51" s="12">
        <f>Metodo_Grafico!B51</f>
        <v>1888.1</v>
      </c>
      <c r="C51" s="13">
        <f>Metodo_Grafico!C51</f>
        <v>0</v>
      </c>
      <c r="D51" s="7">
        <f t="shared" si="9"/>
        <v>157</v>
      </c>
      <c r="E51" s="7">
        <f t="shared" si="10"/>
        <v>0</v>
      </c>
      <c r="F51" s="50">
        <f t="shared" si="11"/>
        <v>1</v>
      </c>
      <c r="G51" s="51">
        <f t="shared" si="16"/>
        <v>0.88678655775051896</v>
      </c>
      <c r="H51" s="50">
        <f t="shared" si="12"/>
        <v>0</v>
      </c>
      <c r="I51" s="50">
        <f t="shared" si="17"/>
        <v>6.593883036741272E-4</v>
      </c>
      <c r="J51" s="50">
        <f t="shared" si="13"/>
        <v>2.2771399413010509E-2</v>
      </c>
      <c r="K51" s="50">
        <f t="shared" si="14"/>
        <v>0.83305070182394503</v>
      </c>
      <c r="L51" s="50">
        <f t="shared" si="15"/>
        <v>0.92400930887562538</v>
      </c>
    </row>
    <row r="52" spans="1:12" ht="14.5" x14ac:dyDescent="0.35">
      <c r="A52" s="7">
        <v>45</v>
      </c>
      <c r="B52" s="12">
        <f>Metodo_Grafico!B52</f>
        <v>1900.4</v>
      </c>
      <c r="C52" s="13">
        <f>Metodo_Grafico!C52</f>
        <v>1</v>
      </c>
      <c r="D52" s="7">
        <f t="shared" si="9"/>
        <v>156</v>
      </c>
      <c r="E52" s="7">
        <f t="shared" si="10"/>
        <v>1</v>
      </c>
      <c r="F52" s="50">
        <f t="shared" si="11"/>
        <v>0.99358974358974361</v>
      </c>
      <c r="G52" s="51">
        <f t="shared" si="16"/>
        <v>0.88110202853416952</v>
      </c>
      <c r="H52" s="50">
        <f t="shared" si="12"/>
        <v>4.1356492969396195E-5</v>
      </c>
      <c r="I52" s="50">
        <f t="shared" si="17"/>
        <v>7.0074479664352339E-4</v>
      </c>
      <c r="J52" s="50">
        <f t="shared" si="13"/>
        <v>2.3324166979585469E-2</v>
      </c>
      <c r="K52" s="50">
        <f t="shared" si="14"/>
        <v>0.82636982782028068</v>
      </c>
      <c r="L52" s="50">
        <f t="shared" si="15"/>
        <v>0.91941639087177718</v>
      </c>
    </row>
    <row r="53" spans="1:12" ht="14.5" x14ac:dyDescent="0.35">
      <c r="A53" s="7">
        <v>46</v>
      </c>
      <c r="B53" s="12">
        <f>Metodo_Grafico!B53</f>
        <v>1922.1</v>
      </c>
      <c r="C53" s="13">
        <f>Metodo_Grafico!C53</f>
        <v>0</v>
      </c>
      <c r="D53" s="7">
        <f t="shared" si="9"/>
        <v>155</v>
      </c>
      <c r="E53" s="7">
        <f t="shared" si="10"/>
        <v>0</v>
      </c>
      <c r="F53" s="50">
        <f t="shared" si="11"/>
        <v>1</v>
      </c>
      <c r="G53" s="51">
        <f t="shared" si="16"/>
        <v>0.88110202853416952</v>
      </c>
      <c r="H53" s="50">
        <f t="shared" si="12"/>
        <v>0</v>
      </c>
      <c r="I53" s="50">
        <f t="shared" si="17"/>
        <v>7.0074479664352339E-4</v>
      </c>
      <c r="J53" s="50">
        <f t="shared" si="13"/>
        <v>2.3324166979585469E-2</v>
      </c>
      <c r="K53" s="50">
        <f t="shared" si="14"/>
        <v>0.82636982782028068</v>
      </c>
      <c r="L53" s="50">
        <f t="shared" si="15"/>
        <v>0.91941639087177718</v>
      </c>
    </row>
    <row r="54" spans="1:12" ht="14.5" x14ac:dyDescent="0.35">
      <c r="A54" s="7">
        <v>47</v>
      </c>
      <c r="B54" s="12">
        <f>Metodo_Grafico!B54</f>
        <v>1978.3</v>
      </c>
      <c r="C54" s="13">
        <f>Metodo_Grafico!C54</f>
        <v>1</v>
      </c>
      <c r="D54" s="7">
        <f t="shared" si="9"/>
        <v>154</v>
      </c>
      <c r="E54" s="7">
        <f t="shared" si="10"/>
        <v>1</v>
      </c>
      <c r="F54" s="50">
        <f t="shared" si="11"/>
        <v>0.99350649350649356</v>
      </c>
      <c r="G54" s="51">
        <f t="shared" si="16"/>
        <v>0.87538058679044117</v>
      </c>
      <c r="H54" s="50">
        <f t="shared" si="12"/>
        <v>4.2441218911807148E-5</v>
      </c>
      <c r="I54" s="50">
        <f t="shared" si="17"/>
        <v>7.4318601555533052E-4</v>
      </c>
      <c r="J54" s="50">
        <f t="shared" si="13"/>
        <v>2.3864133813590007E-2</v>
      </c>
      <c r="K54" s="50">
        <f t="shared" si="14"/>
        <v>0.81967729258983746</v>
      </c>
      <c r="L54" s="50">
        <f t="shared" si="15"/>
        <v>0.91476496855653822</v>
      </c>
    </row>
    <row r="55" spans="1:12" ht="14.5" x14ac:dyDescent="0.35">
      <c r="A55" s="7">
        <v>48</v>
      </c>
      <c r="B55" s="12">
        <f>Metodo_Grafico!B55</f>
        <v>2009.2</v>
      </c>
      <c r="C55" s="13">
        <f>Metodo_Grafico!C55</f>
        <v>1</v>
      </c>
      <c r="D55" s="7">
        <f t="shared" si="9"/>
        <v>153</v>
      </c>
      <c r="E55" s="7">
        <f t="shared" si="10"/>
        <v>1</v>
      </c>
      <c r="F55" s="50">
        <f t="shared" si="11"/>
        <v>0.99346405228758172</v>
      </c>
      <c r="G55" s="51">
        <f t="shared" si="16"/>
        <v>0.86965914504671282</v>
      </c>
      <c r="H55" s="50">
        <f t="shared" si="12"/>
        <v>4.2999656002751977E-5</v>
      </c>
      <c r="I55" s="50">
        <f t="shared" si="17"/>
        <v>7.8618567155808248E-4</v>
      </c>
      <c r="J55" s="50">
        <f t="shared" si="13"/>
        <v>2.4384375102823496E-2</v>
      </c>
      <c r="K55" s="50">
        <f t="shared" si="14"/>
        <v>0.81302634690809805</v>
      </c>
      <c r="L55" s="50">
        <f t="shared" si="15"/>
        <v>0.91008051429322423</v>
      </c>
    </row>
    <row r="56" spans="1:12" ht="14.5" x14ac:dyDescent="0.35">
      <c r="A56" s="7">
        <v>49</v>
      </c>
      <c r="B56" s="12">
        <f>Metodo_Grafico!B56</f>
        <v>2040</v>
      </c>
      <c r="C56" s="13">
        <f>Metodo_Grafico!C56</f>
        <v>1</v>
      </c>
      <c r="D56" s="7">
        <f t="shared" si="9"/>
        <v>152</v>
      </c>
      <c r="E56" s="7">
        <f t="shared" si="10"/>
        <v>1</v>
      </c>
      <c r="F56" s="50">
        <f t="shared" si="11"/>
        <v>0.99342105263157898</v>
      </c>
      <c r="G56" s="51">
        <f t="shared" si="16"/>
        <v>0.86393770330298447</v>
      </c>
      <c r="H56" s="50">
        <f t="shared" si="12"/>
        <v>4.3569187870338097E-5</v>
      </c>
      <c r="I56" s="50">
        <f t="shared" si="17"/>
        <v>8.2975485942842061E-4</v>
      </c>
      <c r="J56" s="50">
        <f t="shared" si="13"/>
        <v>2.4886127957928498E-2</v>
      </c>
      <c r="K56" s="50">
        <f t="shared" si="14"/>
        <v>0.80641408418980498</v>
      </c>
      <c r="L56" s="50">
        <f t="shared" si="15"/>
        <v>0.90536484811536277</v>
      </c>
    </row>
    <row r="57" spans="1:12" ht="14.5" x14ac:dyDescent="0.35">
      <c r="A57" s="7">
        <v>50</v>
      </c>
      <c r="B57" s="12">
        <f>Metodo_Grafico!B57</f>
        <v>2063.6</v>
      </c>
      <c r="C57" s="13">
        <f>Metodo_Grafico!C57</f>
        <v>1</v>
      </c>
      <c r="D57" s="7">
        <f t="shared" si="9"/>
        <v>151</v>
      </c>
      <c r="E57" s="7">
        <f t="shared" si="10"/>
        <v>1</v>
      </c>
      <c r="F57" s="50">
        <f t="shared" si="11"/>
        <v>0.99337748344370858</v>
      </c>
      <c r="G57" s="51">
        <f t="shared" si="16"/>
        <v>0.85821626155925612</v>
      </c>
      <c r="H57" s="50">
        <f t="shared" si="12"/>
        <v>4.4150110375275938E-5</v>
      </c>
      <c r="I57" s="50">
        <f t="shared" si="17"/>
        <v>8.7390496980369655E-4</v>
      </c>
      <c r="J57" s="50">
        <f t="shared" si="13"/>
        <v>2.5370489341408183E-2</v>
      </c>
      <c r="K57" s="50">
        <f t="shared" si="14"/>
        <v>0.7998379628789658</v>
      </c>
      <c r="L57" s="50">
        <f t="shared" si="15"/>
        <v>0.90061960456480072</v>
      </c>
    </row>
    <row r="58" spans="1:12" ht="14.5" x14ac:dyDescent="0.35">
      <c r="A58" s="7">
        <v>51</v>
      </c>
      <c r="B58" s="12">
        <f>Metodo_Grafico!B58</f>
        <v>2071.6999999999998</v>
      </c>
      <c r="C58" s="13">
        <f>Metodo_Grafico!C58</f>
        <v>1</v>
      </c>
      <c r="D58" s="7">
        <f t="shared" si="9"/>
        <v>150</v>
      </c>
      <c r="E58" s="7">
        <f t="shared" si="10"/>
        <v>1</v>
      </c>
      <c r="F58" s="50">
        <f t="shared" si="11"/>
        <v>0.99333333333333329</v>
      </c>
      <c r="G58" s="51">
        <f t="shared" si="16"/>
        <v>0.85249481981552766</v>
      </c>
      <c r="H58" s="50">
        <f t="shared" si="12"/>
        <v>4.4742729306487698E-5</v>
      </c>
      <c r="I58" s="50">
        <f t="shared" si="17"/>
        <v>9.1864769911018421E-4</v>
      </c>
      <c r="J58" s="50">
        <f t="shared" si="13"/>
        <v>2.5838437321315414E-2</v>
      </c>
      <c r="K58" s="50">
        <f t="shared" si="14"/>
        <v>0.79329574544933279</v>
      </c>
      <c r="L58" s="50">
        <f t="shared" si="15"/>
        <v>0.89584625818171026</v>
      </c>
    </row>
    <row r="59" spans="1:12" ht="14.5" x14ac:dyDescent="0.35">
      <c r="A59" s="7">
        <v>52</v>
      </c>
      <c r="B59" s="12">
        <f>Metodo_Grafico!B59</f>
        <v>2085.5</v>
      </c>
      <c r="C59" s="13">
        <f>Metodo_Grafico!C59</f>
        <v>0</v>
      </c>
      <c r="D59" s="7">
        <f t="shared" si="9"/>
        <v>149</v>
      </c>
      <c r="E59" s="7">
        <f t="shared" si="10"/>
        <v>0</v>
      </c>
      <c r="F59" s="50">
        <f t="shared" si="11"/>
        <v>1</v>
      </c>
      <c r="G59" s="51">
        <f t="shared" si="16"/>
        <v>0.85249481981552766</v>
      </c>
      <c r="H59" s="50">
        <f t="shared" si="12"/>
        <v>0</v>
      </c>
      <c r="I59" s="50">
        <f t="shared" si="17"/>
        <v>9.1864769911018421E-4</v>
      </c>
      <c r="J59" s="50">
        <f t="shared" si="13"/>
        <v>2.5838437321315414E-2</v>
      </c>
      <c r="K59" s="50">
        <f t="shared" si="14"/>
        <v>0.79329574544933279</v>
      </c>
      <c r="L59" s="50">
        <f t="shared" si="15"/>
        <v>0.89584625818171026</v>
      </c>
    </row>
    <row r="60" spans="1:12" ht="14.5" x14ac:dyDescent="0.35">
      <c r="A60" s="7">
        <v>53</v>
      </c>
      <c r="B60" s="12">
        <f>Metodo_Grafico!B60</f>
        <v>2087.1</v>
      </c>
      <c r="C60" s="13">
        <f>Metodo_Grafico!C60</f>
        <v>1</v>
      </c>
      <c r="D60" s="7">
        <f t="shared" si="9"/>
        <v>148</v>
      </c>
      <c r="E60" s="7">
        <f t="shared" si="10"/>
        <v>1</v>
      </c>
      <c r="F60" s="50">
        <f t="shared" si="11"/>
        <v>0.9932432432432432</v>
      </c>
      <c r="G60" s="51">
        <f t="shared" si="16"/>
        <v>0.84673471968163894</v>
      </c>
      <c r="H60" s="50">
        <f t="shared" si="12"/>
        <v>4.5964331678617394E-5</v>
      </c>
      <c r="I60" s="50">
        <f t="shared" si="17"/>
        <v>9.6461203078880163E-4</v>
      </c>
      <c r="J60" s="50">
        <f t="shared" si="13"/>
        <v>2.6298059590732007E-2</v>
      </c>
      <c r="K60" s="50">
        <f t="shared" si="14"/>
        <v>0.78673052422211531</v>
      </c>
      <c r="L60" s="50">
        <f t="shared" si="15"/>
        <v>0.89101963914075721</v>
      </c>
    </row>
    <row r="61" spans="1:12" ht="14.5" x14ac:dyDescent="0.35">
      <c r="A61" s="7">
        <v>54</v>
      </c>
      <c r="B61" s="12">
        <f>Metodo_Grafico!B61</f>
        <v>2110.6</v>
      </c>
      <c r="C61" s="13">
        <f>Metodo_Grafico!C61</f>
        <v>1</v>
      </c>
      <c r="D61" s="7">
        <f t="shared" si="9"/>
        <v>147</v>
      </c>
      <c r="E61" s="7">
        <f t="shared" si="10"/>
        <v>1</v>
      </c>
      <c r="F61" s="50">
        <f t="shared" si="11"/>
        <v>0.99319727891156462</v>
      </c>
      <c r="G61" s="51">
        <f t="shared" si="16"/>
        <v>0.84097461954775021</v>
      </c>
      <c r="H61" s="50">
        <f t="shared" si="12"/>
        <v>4.6593980057776538E-5</v>
      </c>
      <c r="I61" s="50">
        <f t="shared" si="17"/>
        <v>1.0112060108465781E-3</v>
      </c>
      <c r="J61" s="50">
        <f t="shared" si="13"/>
        <v>2.6742543463637976E-2</v>
      </c>
      <c r="K61" s="50">
        <f t="shared" si="14"/>
        <v>0.78019653281042711</v>
      </c>
      <c r="L61" s="50">
        <f t="shared" si="15"/>
        <v>0.88616693652217804</v>
      </c>
    </row>
    <row r="62" spans="1:12" ht="14.5" x14ac:dyDescent="0.35">
      <c r="A62" s="7">
        <v>55</v>
      </c>
      <c r="B62" s="12">
        <f>Metodo_Grafico!B62</f>
        <v>2153.1999999999998</v>
      </c>
      <c r="C62" s="13">
        <f>Metodo_Grafico!C62</f>
        <v>1</v>
      </c>
      <c r="D62" s="7">
        <f t="shared" si="9"/>
        <v>146</v>
      </c>
      <c r="E62" s="7">
        <f t="shared" si="10"/>
        <v>1</v>
      </c>
      <c r="F62" s="50">
        <f t="shared" si="11"/>
        <v>0.99315068493150682</v>
      </c>
      <c r="G62" s="51">
        <f t="shared" si="16"/>
        <v>0.83521451941386149</v>
      </c>
      <c r="H62" s="50">
        <f t="shared" si="12"/>
        <v>4.7236655644780349E-5</v>
      </c>
      <c r="I62" s="50">
        <f t="shared" si="17"/>
        <v>1.0584426664913586E-3</v>
      </c>
      <c r="J62" s="50">
        <f t="shared" si="13"/>
        <v>2.7172631841766253E-2</v>
      </c>
      <c r="K62" s="50">
        <f t="shared" si="14"/>
        <v>0.77369209601937716</v>
      </c>
      <c r="L62" s="50">
        <f t="shared" si="15"/>
        <v>0.88128929227953245</v>
      </c>
    </row>
    <row r="63" spans="1:12" ht="14.5" x14ac:dyDescent="0.35">
      <c r="A63" s="7">
        <v>56</v>
      </c>
      <c r="B63" s="12">
        <f>Metodo_Grafico!B63</f>
        <v>2167.1999999999998</v>
      </c>
      <c r="C63" s="13">
        <f>Metodo_Grafico!C63</f>
        <v>0</v>
      </c>
      <c r="D63" s="7">
        <f t="shared" si="9"/>
        <v>145</v>
      </c>
      <c r="E63" s="7">
        <f t="shared" si="10"/>
        <v>0</v>
      </c>
      <c r="F63" s="50">
        <f t="shared" si="11"/>
        <v>1</v>
      </c>
      <c r="G63" s="51">
        <f t="shared" si="16"/>
        <v>0.83521451941386149</v>
      </c>
      <c r="H63" s="50">
        <f t="shared" si="12"/>
        <v>0</v>
      </c>
      <c r="I63" s="50">
        <f t="shared" si="17"/>
        <v>1.0584426664913586E-3</v>
      </c>
      <c r="J63" s="50">
        <f t="shared" si="13"/>
        <v>2.7172631841766253E-2</v>
      </c>
      <c r="K63" s="50">
        <f t="shared" si="14"/>
        <v>0.77369209601937716</v>
      </c>
      <c r="L63" s="50">
        <f t="shared" si="15"/>
        <v>0.88128929227953245</v>
      </c>
    </row>
    <row r="64" spans="1:12" ht="14.5" x14ac:dyDescent="0.35">
      <c r="A64" s="7">
        <v>57</v>
      </c>
      <c r="B64" s="12">
        <f>Metodo_Grafico!B64</f>
        <v>2186.8000000000002</v>
      </c>
      <c r="C64" s="13">
        <f>Metodo_Grafico!C64</f>
        <v>1</v>
      </c>
      <c r="D64" s="7">
        <f t="shared" si="9"/>
        <v>144</v>
      </c>
      <c r="E64" s="7">
        <f t="shared" si="10"/>
        <v>1</v>
      </c>
      <c r="F64" s="50">
        <f t="shared" si="11"/>
        <v>0.99305555555555558</v>
      </c>
      <c r="G64" s="51">
        <f t="shared" si="16"/>
        <v>0.82941441858459863</v>
      </c>
      <c r="H64" s="50">
        <f t="shared" si="12"/>
        <v>4.8562548562548563E-5</v>
      </c>
      <c r="I64" s="50">
        <f t="shared" si="17"/>
        <v>1.1070052150539071E-3</v>
      </c>
      <c r="J64" s="50">
        <f t="shared" si="13"/>
        <v>2.7596017666666604E-2</v>
      </c>
      <c r="K64" s="50">
        <f t="shared" si="14"/>
        <v>0.76716010474902996</v>
      </c>
      <c r="L64" s="50">
        <f t="shared" si="15"/>
        <v>0.87635973160668057</v>
      </c>
    </row>
    <row r="65" spans="1:12" ht="14.5" x14ac:dyDescent="0.35">
      <c r="A65" s="7">
        <v>58</v>
      </c>
      <c r="B65" s="12">
        <f>Metodo_Grafico!B65</f>
        <v>2189.6999999999998</v>
      </c>
      <c r="C65" s="13">
        <f>Metodo_Grafico!C65</f>
        <v>0</v>
      </c>
      <c r="D65" s="7">
        <f t="shared" si="9"/>
        <v>143</v>
      </c>
      <c r="E65" s="7">
        <f t="shared" si="10"/>
        <v>0</v>
      </c>
      <c r="F65" s="50">
        <f t="shared" si="11"/>
        <v>1</v>
      </c>
      <c r="G65" s="51">
        <f t="shared" si="16"/>
        <v>0.82941441858459863</v>
      </c>
      <c r="H65" s="50">
        <f t="shared" si="12"/>
        <v>0</v>
      </c>
      <c r="I65" s="50">
        <f t="shared" si="17"/>
        <v>1.1070052150539071E-3</v>
      </c>
      <c r="J65" s="50">
        <f t="shared" si="13"/>
        <v>2.7596017666666604E-2</v>
      </c>
      <c r="K65" s="50">
        <f t="shared" si="14"/>
        <v>0.76716010474902996</v>
      </c>
      <c r="L65" s="50">
        <f t="shared" si="15"/>
        <v>0.87635973160668057</v>
      </c>
    </row>
    <row r="66" spans="1:12" ht="14.5" x14ac:dyDescent="0.35">
      <c r="A66" s="7">
        <v>59</v>
      </c>
      <c r="B66" s="12">
        <f>Metodo_Grafico!B66</f>
        <v>2289.6999999999998</v>
      </c>
      <c r="C66" s="13">
        <f>Metodo_Grafico!C66</f>
        <v>1</v>
      </c>
      <c r="D66" s="7">
        <f t="shared" si="9"/>
        <v>142</v>
      </c>
      <c r="E66" s="7">
        <f t="shared" si="10"/>
        <v>1</v>
      </c>
      <c r="F66" s="50">
        <f t="shared" si="11"/>
        <v>0.99295774647887325</v>
      </c>
      <c r="G66" s="51">
        <f t="shared" si="16"/>
        <v>0.82357347197484798</v>
      </c>
      <c r="H66" s="50">
        <f t="shared" si="12"/>
        <v>4.9945060433523126E-5</v>
      </c>
      <c r="I66" s="50">
        <f t="shared" si="17"/>
        <v>1.1569502754874303E-3</v>
      </c>
      <c r="J66" s="50">
        <f t="shared" si="13"/>
        <v>2.8013004825269423E-2</v>
      </c>
      <c r="K66" s="50">
        <f t="shared" si="14"/>
        <v>0.76059927150583118</v>
      </c>
      <c r="L66" s="50">
        <f t="shared" si="15"/>
        <v>0.87137799396999516</v>
      </c>
    </row>
    <row r="67" spans="1:12" ht="14.5" x14ac:dyDescent="0.35">
      <c r="A67" s="7">
        <v>60</v>
      </c>
      <c r="B67" s="12">
        <f>Metodo_Grafico!B67</f>
        <v>2298.1999999999998</v>
      </c>
      <c r="C67" s="13">
        <f>Metodo_Grafico!C67</f>
        <v>0</v>
      </c>
      <c r="D67" s="7">
        <f t="shared" si="9"/>
        <v>141</v>
      </c>
      <c r="E67" s="7">
        <f t="shared" si="10"/>
        <v>0</v>
      </c>
      <c r="F67" s="50">
        <f t="shared" si="11"/>
        <v>1</v>
      </c>
      <c r="G67" s="51">
        <f t="shared" si="16"/>
        <v>0.82357347197484798</v>
      </c>
      <c r="H67" s="50">
        <f t="shared" si="12"/>
        <v>0</v>
      </c>
      <c r="I67" s="50">
        <f t="shared" si="17"/>
        <v>1.1569502754874303E-3</v>
      </c>
      <c r="J67" s="50">
        <f t="shared" si="13"/>
        <v>2.8013004825269423E-2</v>
      </c>
      <c r="K67" s="50">
        <f t="shared" si="14"/>
        <v>0.76059927150583118</v>
      </c>
      <c r="L67" s="50">
        <f t="shared" si="15"/>
        <v>0.87137799396999516</v>
      </c>
    </row>
    <row r="68" spans="1:12" ht="14.5" x14ac:dyDescent="0.35">
      <c r="A68" s="7">
        <v>61</v>
      </c>
      <c r="B68" s="12">
        <f>Metodo_Grafico!B68</f>
        <v>2302.4</v>
      </c>
      <c r="C68" s="13">
        <f>Metodo_Grafico!C68</f>
        <v>1</v>
      </c>
      <c r="D68" s="7">
        <f t="shared" si="9"/>
        <v>140</v>
      </c>
      <c r="E68" s="7">
        <f t="shared" si="10"/>
        <v>1</v>
      </c>
      <c r="F68" s="50">
        <f t="shared" si="11"/>
        <v>0.99285714285714288</v>
      </c>
      <c r="G68" s="51">
        <f t="shared" si="16"/>
        <v>0.81769080431788477</v>
      </c>
      <c r="H68" s="50">
        <f t="shared" si="12"/>
        <v>5.1387461459403907E-5</v>
      </c>
      <c r="I68" s="50">
        <f t="shared" si="17"/>
        <v>1.2083377369468342E-3</v>
      </c>
      <c r="J68" s="50">
        <f t="shared" si="13"/>
        <v>2.8423874909269693E-2</v>
      </c>
      <c r="K68" s="50">
        <f t="shared" si="14"/>
        <v>0.75400830966104715</v>
      </c>
      <c r="L68" s="50">
        <f t="shared" si="15"/>
        <v>0.86634374882058274</v>
      </c>
    </row>
    <row r="69" spans="1:12" ht="14.5" x14ac:dyDescent="0.35">
      <c r="A69" s="7">
        <v>62</v>
      </c>
      <c r="B69" s="12">
        <f>Metodo_Grafico!B69</f>
        <v>2338.6999999999998</v>
      </c>
      <c r="C69" s="13">
        <f>Metodo_Grafico!C69</f>
        <v>1</v>
      </c>
      <c r="D69" s="7">
        <f t="shared" si="9"/>
        <v>139</v>
      </c>
      <c r="E69" s="7">
        <f t="shared" si="10"/>
        <v>1</v>
      </c>
      <c r="F69" s="50">
        <f t="shared" si="11"/>
        <v>0.9928057553956835</v>
      </c>
      <c r="G69" s="51">
        <f t="shared" si="16"/>
        <v>0.81180813666092155</v>
      </c>
      <c r="H69" s="50">
        <f t="shared" si="12"/>
        <v>5.2132207277656134E-5</v>
      </c>
      <c r="I69" s="50">
        <f t="shared" si="17"/>
        <v>1.2604699442244902E-3</v>
      </c>
      <c r="J69" s="50">
        <f t="shared" si="13"/>
        <v>2.8821703565847154E-2</v>
      </c>
      <c r="K69" s="50">
        <f t="shared" si="14"/>
        <v>0.74744435687498323</v>
      </c>
      <c r="L69" s="50">
        <f t="shared" si="15"/>
        <v>0.86128684525078825</v>
      </c>
    </row>
    <row r="70" spans="1:12" ht="14.5" x14ac:dyDescent="0.35">
      <c r="A70" s="7">
        <v>63</v>
      </c>
      <c r="B70" s="12">
        <f>Metodo_Grafico!B70</f>
        <v>2361.4</v>
      </c>
      <c r="C70" s="13">
        <f>Metodo_Grafico!C70</f>
        <v>1</v>
      </c>
      <c r="D70" s="7">
        <f t="shared" si="9"/>
        <v>138</v>
      </c>
      <c r="E70" s="7">
        <f t="shared" si="10"/>
        <v>1</v>
      </c>
      <c r="F70" s="50">
        <f t="shared" si="11"/>
        <v>0.99275362318840576</v>
      </c>
      <c r="G70" s="51">
        <f t="shared" si="16"/>
        <v>0.80592546900395834</v>
      </c>
      <c r="H70" s="50">
        <f t="shared" si="12"/>
        <v>5.2893261398497828E-5</v>
      </c>
      <c r="I70" s="50">
        <f t="shared" si="17"/>
        <v>1.3133632056229879E-3</v>
      </c>
      <c r="J70" s="50">
        <f t="shared" si="13"/>
        <v>2.9207023711426579E-2</v>
      </c>
      <c r="K70" s="50">
        <f t="shared" si="14"/>
        <v>0.74090620209944369</v>
      </c>
      <c r="L70" s="50">
        <f t="shared" si="15"/>
        <v>0.85620810922785906</v>
      </c>
    </row>
    <row r="71" spans="1:12" ht="14.5" x14ac:dyDescent="0.35">
      <c r="A71" s="7">
        <v>64</v>
      </c>
      <c r="B71" s="12">
        <f>Metodo_Grafico!B71</f>
        <v>2372.5</v>
      </c>
      <c r="C71" s="13">
        <f>Metodo_Grafico!C71</f>
        <v>0</v>
      </c>
      <c r="D71" s="7">
        <f t="shared" si="9"/>
        <v>137</v>
      </c>
      <c r="E71" s="7">
        <f t="shared" si="10"/>
        <v>0</v>
      </c>
      <c r="F71" s="50">
        <f t="shared" si="11"/>
        <v>1</v>
      </c>
      <c r="G71" s="51">
        <f t="shared" si="16"/>
        <v>0.80592546900395834</v>
      </c>
      <c r="H71" s="50">
        <f t="shared" si="12"/>
        <v>0</v>
      </c>
      <c r="I71" s="50">
        <f t="shared" si="17"/>
        <v>1.3133632056229879E-3</v>
      </c>
      <c r="J71" s="50">
        <f t="shared" si="13"/>
        <v>2.9207023711426579E-2</v>
      </c>
      <c r="K71" s="50">
        <f t="shared" si="14"/>
        <v>0.74090620209944369</v>
      </c>
      <c r="L71" s="50">
        <f t="shared" si="15"/>
        <v>0.85620810922785906</v>
      </c>
    </row>
    <row r="72" spans="1:12" ht="14.5" x14ac:dyDescent="0.35">
      <c r="A72" s="7">
        <v>65</v>
      </c>
      <c r="B72" s="12">
        <f>Metodo_Grafico!B72</f>
        <v>2388.3000000000002</v>
      </c>
      <c r="C72" s="13">
        <f>Metodo_Grafico!C72</f>
        <v>1</v>
      </c>
      <c r="D72" s="7">
        <f t="shared" ref="D72:D103" si="18">$B$4-A72+1</f>
        <v>136</v>
      </c>
      <c r="E72" s="7">
        <f t="shared" ref="E72:E103" si="19">C72</f>
        <v>1</v>
      </c>
      <c r="F72" s="50">
        <f t="shared" ref="F72:F103" si="20">IF(C72=1,(D72-E72)/D72,1)</f>
        <v>0.99264705882352944</v>
      </c>
      <c r="G72" s="51">
        <f t="shared" si="16"/>
        <v>0.79999954643775273</v>
      </c>
      <c r="H72" s="50">
        <f t="shared" ref="H72:H103" si="21">IF(AND(C72=1,D72-E72&gt;0),E72/(D72*(D72-E72)),0)</f>
        <v>5.4466230936819171E-5</v>
      </c>
      <c r="I72" s="50">
        <f t="shared" si="17"/>
        <v>1.3678294365598071E-3</v>
      </c>
      <c r="J72" s="50">
        <f t="shared" ref="J72:J103" si="22">G72*SQRT(I72)</f>
        <v>2.9587325779213115E-2</v>
      </c>
      <c r="K72" s="50">
        <f t="shared" ref="K72:K103" si="23">IF(OR(G72&gt;=1,G72&lt;=0),"",G72^EXP($B$5*SQRT(I72)/ABS(LN(G72))))</f>
        <v>0.73433423368896145</v>
      </c>
      <c r="L72" s="50">
        <f t="shared" ref="L72:L103" si="24">IF(OR(G72&gt;=1,G72&lt;=0),"",G72^EXP(-$B$5*SQRT(I72)/ABS(LN(G72))))</f>
        <v>0.85107720863813319</v>
      </c>
    </row>
    <row r="73" spans="1:12" ht="14.5" x14ac:dyDescent="0.35">
      <c r="A73" s="7">
        <v>66</v>
      </c>
      <c r="B73" s="12">
        <f>Metodo_Grafico!B73</f>
        <v>2396.1999999999998</v>
      </c>
      <c r="C73" s="13">
        <f>Metodo_Grafico!C73</f>
        <v>1</v>
      </c>
      <c r="D73" s="7">
        <f t="shared" si="18"/>
        <v>135</v>
      </c>
      <c r="E73" s="7">
        <f t="shared" si="19"/>
        <v>1</v>
      </c>
      <c r="F73" s="50">
        <f t="shared" si="20"/>
        <v>0.99259259259259258</v>
      </c>
      <c r="G73" s="51">
        <f t="shared" ref="G73:G104" si="25">G72*F73</f>
        <v>0.79407362387154712</v>
      </c>
      <c r="H73" s="50">
        <f t="shared" si="21"/>
        <v>5.5279159756771699E-5</v>
      </c>
      <c r="I73" s="50">
        <f t="shared" ref="I73:I104" si="26">I72+H73</f>
        <v>1.4231085963165788E-3</v>
      </c>
      <c r="J73" s="50">
        <f t="shared" si="22"/>
        <v>2.9955722008781174E-2</v>
      </c>
      <c r="K73" s="50">
        <f t="shared" si="23"/>
        <v>0.72778683618908291</v>
      </c>
      <c r="L73" s="50">
        <f t="shared" si="24"/>
        <v>0.84592546773722876</v>
      </c>
    </row>
    <row r="74" spans="1:12" ht="14.5" x14ac:dyDescent="0.35">
      <c r="A74" s="7">
        <v>67</v>
      </c>
      <c r="B74" s="12">
        <f>Metodo_Grafico!B74</f>
        <v>2411.5</v>
      </c>
      <c r="C74" s="13">
        <f>Metodo_Grafico!C74</f>
        <v>1</v>
      </c>
      <c r="D74" s="7">
        <f t="shared" si="18"/>
        <v>134</v>
      </c>
      <c r="E74" s="7">
        <f t="shared" si="19"/>
        <v>1</v>
      </c>
      <c r="F74" s="50">
        <f t="shared" si="20"/>
        <v>0.9925373134328358</v>
      </c>
      <c r="G74" s="51">
        <f t="shared" si="25"/>
        <v>0.78814770130534151</v>
      </c>
      <c r="H74" s="50">
        <f t="shared" si="21"/>
        <v>5.6110425317023906E-5</v>
      </c>
      <c r="I74" s="50">
        <f t="shared" si="26"/>
        <v>1.4792190216336026E-3</v>
      </c>
      <c r="J74" s="50">
        <f t="shared" si="22"/>
        <v>3.0312646486014696E-2</v>
      </c>
      <c r="K74" s="50">
        <f t="shared" si="23"/>
        <v>0.72126302918865293</v>
      </c>
      <c r="L74" s="50">
        <f t="shared" si="24"/>
        <v>0.84075356608471497</v>
      </c>
    </row>
    <row r="75" spans="1:12" ht="14.5" x14ac:dyDescent="0.35">
      <c r="A75" s="7">
        <v>68</v>
      </c>
      <c r="B75" s="12">
        <f>Metodo_Grafico!B75</f>
        <v>2435.6999999999998</v>
      </c>
      <c r="C75" s="13">
        <f>Metodo_Grafico!C75</f>
        <v>0</v>
      </c>
      <c r="D75" s="7">
        <f t="shared" si="18"/>
        <v>133</v>
      </c>
      <c r="E75" s="7">
        <f t="shared" si="19"/>
        <v>0</v>
      </c>
      <c r="F75" s="50">
        <f t="shared" si="20"/>
        <v>1</v>
      </c>
      <c r="G75" s="51">
        <f t="shared" si="25"/>
        <v>0.78814770130534151</v>
      </c>
      <c r="H75" s="50">
        <f t="shared" si="21"/>
        <v>0</v>
      </c>
      <c r="I75" s="50">
        <f t="shared" si="26"/>
        <v>1.4792190216336026E-3</v>
      </c>
      <c r="J75" s="50">
        <f t="shared" si="22"/>
        <v>3.0312646486014696E-2</v>
      </c>
      <c r="K75" s="50">
        <f t="shared" si="23"/>
        <v>0.72126302918865293</v>
      </c>
      <c r="L75" s="50">
        <f t="shared" si="24"/>
        <v>0.84075356608471497</v>
      </c>
    </row>
    <row r="76" spans="1:12" ht="14.5" x14ac:dyDescent="0.35">
      <c r="A76" s="7">
        <v>69</v>
      </c>
      <c r="B76" s="12">
        <f>Metodo_Grafico!B76</f>
        <v>2447.4</v>
      </c>
      <c r="C76" s="13">
        <f>Metodo_Grafico!C76</f>
        <v>0</v>
      </c>
      <c r="D76" s="7">
        <f t="shared" si="18"/>
        <v>132</v>
      </c>
      <c r="E76" s="7">
        <f t="shared" si="19"/>
        <v>0</v>
      </c>
      <c r="F76" s="50">
        <f t="shared" si="20"/>
        <v>1</v>
      </c>
      <c r="G76" s="51">
        <f t="shared" si="25"/>
        <v>0.78814770130534151</v>
      </c>
      <c r="H76" s="50">
        <f t="shared" si="21"/>
        <v>0</v>
      </c>
      <c r="I76" s="50">
        <f t="shared" si="26"/>
        <v>1.4792190216336026E-3</v>
      </c>
      <c r="J76" s="50">
        <f t="shared" si="22"/>
        <v>3.0312646486014696E-2</v>
      </c>
      <c r="K76" s="50">
        <f t="shared" si="23"/>
        <v>0.72126302918865293</v>
      </c>
      <c r="L76" s="50">
        <f t="shared" si="24"/>
        <v>0.84075356608471497</v>
      </c>
    </row>
    <row r="77" spans="1:12" ht="14.5" x14ac:dyDescent="0.35">
      <c r="A77" s="7">
        <v>70</v>
      </c>
      <c r="B77" s="12">
        <f>Metodo_Grafico!B77</f>
        <v>2448.5</v>
      </c>
      <c r="C77" s="13">
        <f>Metodo_Grafico!C77</f>
        <v>1</v>
      </c>
      <c r="D77" s="7">
        <f t="shared" si="18"/>
        <v>131</v>
      </c>
      <c r="E77" s="7">
        <f t="shared" si="19"/>
        <v>1</v>
      </c>
      <c r="F77" s="50">
        <f t="shared" si="20"/>
        <v>0.99236641221374045</v>
      </c>
      <c r="G77" s="51">
        <f t="shared" si="25"/>
        <v>0.78213130663888852</v>
      </c>
      <c r="H77" s="50">
        <f t="shared" si="21"/>
        <v>5.8719906048150323E-5</v>
      </c>
      <c r="I77" s="50">
        <f t="shared" si="26"/>
        <v>1.537938927681753E-3</v>
      </c>
      <c r="J77" s="50">
        <f t="shared" si="22"/>
        <v>3.0672502799362372E-2</v>
      </c>
      <c r="K77" s="50">
        <f t="shared" si="23"/>
        <v>0.71464126965832764</v>
      </c>
      <c r="L77" s="50">
        <f t="shared" si="24"/>
        <v>0.83549621449664313</v>
      </c>
    </row>
    <row r="78" spans="1:12" ht="14.5" x14ac:dyDescent="0.35">
      <c r="A78" s="7">
        <v>71</v>
      </c>
      <c r="B78" s="12">
        <f>Metodo_Grafico!B78</f>
        <v>2448.6</v>
      </c>
      <c r="C78" s="13">
        <f>Metodo_Grafico!C78</f>
        <v>0</v>
      </c>
      <c r="D78" s="7">
        <f t="shared" si="18"/>
        <v>130</v>
      </c>
      <c r="E78" s="7">
        <f t="shared" si="19"/>
        <v>0</v>
      </c>
      <c r="F78" s="50">
        <f t="shared" si="20"/>
        <v>1</v>
      </c>
      <c r="G78" s="51">
        <f t="shared" si="25"/>
        <v>0.78213130663888852</v>
      </c>
      <c r="H78" s="50">
        <f t="shared" si="21"/>
        <v>0</v>
      </c>
      <c r="I78" s="50">
        <f t="shared" si="26"/>
        <v>1.537938927681753E-3</v>
      </c>
      <c r="J78" s="50">
        <f t="shared" si="22"/>
        <v>3.0672502799362372E-2</v>
      </c>
      <c r="K78" s="50">
        <f t="shared" si="23"/>
        <v>0.71464126965832764</v>
      </c>
      <c r="L78" s="50">
        <f t="shared" si="24"/>
        <v>0.83549621449664313</v>
      </c>
    </row>
    <row r="79" spans="1:12" ht="14.5" x14ac:dyDescent="0.35">
      <c r="A79" s="7">
        <v>72</v>
      </c>
      <c r="B79" s="12">
        <f>Metodo_Grafico!B79</f>
        <v>2450.8000000000002</v>
      </c>
      <c r="C79" s="13">
        <f>Metodo_Grafico!C79</f>
        <v>1</v>
      </c>
      <c r="D79" s="7">
        <f t="shared" si="18"/>
        <v>129</v>
      </c>
      <c r="E79" s="7">
        <f t="shared" si="19"/>
        <v>1</v>
      </c>
      <c r="F79" s="50">
        <f t="shared" si="20"/>
        <v>0.99224806201550386</v>
      </c>
      <c r="G79" s="51">
        <f t="shared" si="25"/>
        <v>0.77606827325409089</v>
      </c>
      <c r="H79" s="50">
        <f t="shared" si="21"/>
        <v>6.0562015503875968E-5</v>
      </c>
      <c r="I79" s="50">
        <f t="shared" si="26"/>
        <v>1.5985009431856291E-3</v>
      </c>
      <c r="J79" s="50">
        <f t="shared" si="22"/>
        <v>3.1028185391980379E-2</v>
      </c>
      <c r="K79" s="50">
        <f t="shared" si="23"/>
        <v>0.70798099435832273</v>
      </c>
      <c r="L79" s="50">
        <f t="shared" si="24"/>
        <v>0.8301849532144534</v>
      </c>
    </row>
    <row r="80" spans="1:12" ht="14.5" x14ac:dyDescent="0.35">
      <c r="A80" s="7">
        <v>73</v>
      </c>
      <c r="B80" s="12">
        <f>Metodo_Grafico!B80</f>
        <v>2474.1</v>
      </c>
      <c r="C80" s="13">
        <f>Metodo_Grafico!C80</f>
        <v>1</v>
      </c>
      <c r="D80" s="7">
        <f t="shared" si="18"/>
        <v>128</v>
      </c>
      <c r="E80" s="7">
        <f t="shared" si="19"/>
        <v>1</v>
      </c>
      <c r="F80" s="50">
        <f t="shared" si="20"/>
        <v>0.9921875</v>
      </c>
      <c r="G80" s="51">
        <f t="shared" si="25"/>
        <v>0.77000523986929326</v>
      </c>
      <c r="H80" s="50">
        <f t="shared" si="21"/>
        <v>6.1515748031496062E-5</v>
      </c>
      <c r="I80" s="50">
        <f t="shared" si="26"/>
        <v>1.660016691217125E-3</v>
      </c>
      <c r="J80" s="50">
        <f t="shared" si="22"/>
        <v>3.1372556344753937E-2</v>
      </c>
      <c r="K80" s="50">
        <f t="shared" si="23"/>
        <v>0.70134427836202018</v>
      </c>
      <c r="L80" s="50">
        <f t="shared" si="24"/>
        <v>0.82485391083270876</v>
      </c>
    </row>
    <row r="81" spans="1:12" ht="14.5" x14ac:dyDescent="0.35">
      <c r="A81" s="7">
        <v>74</v>
      </c>
      <c r="B81" s="12">
        <f>Metodo_Grafico!B81</f>
        <v>2480.6</v>
      </c>
      <c r="C81" s="13">
        <f>Metodo_Grafico!C81</f>
        <v>1</v>
      </c>
      <c r="D81" s="7">
        <f t="shared" si="18"/>
        <v>127</v>
      </c>
      <c r="E81" s="7">
        <f t="shared" si="19"/>
        <v>1</v>
      </c>
      <c r="F81" s="50">
        <f t="shared" si="20"/>
        <v>0.99212598425196852</v>
      </c>
      <c r="G81" s="51">
        <f t="shared" si="25"/>
        <v>0.76394220648449573</v>
      </c>
      <c r="H81" s="50">
        <f t="shared" si="21"/>
        <v>6.2492188476440439E-5</v>
      </c>
      <c r="I81" s="50">
        <f t="shared" si="26"/>
        <v>1.7225088796935656E-3</v>
      </c>
      <c r="J81" s="50">
        <f t="shared" si="22"/>
        <v>3.1705984240106184E-2</v>
      </c>
      <c r="K81" s="50">
        <f t="shared" si="23"/>
        <v>0.69473027208059346</v>
      </c>
      <c r="L81" s="50">
        <f t="shared" si="24"/>
        <v>0.81950365969395933</v>
      </c>
    </row>
    <row r="82" spans="1:12" ht="14.5" x14ac:dyDescent="0.35">
      <c r="A82" s="7">
        <v>75</v>
      </c>
      <c r="B82" s="12">
        <f>Metodo_Grafico!B82</f>
        <v>2505.5</v>
      </c>
      <c r="C82" s="13">
        <f>Metodo_Grafico!C82</f>
        <v>1</v>
      </c>
      <c r="D82" s="7">
        <f t="shared" si="18"/>
        <v>126</v>
      </c>
      <c r="E82" s="7">
        <f t="shared" si="19"/>
        <v>1</v>
      </c>
      <c r="F82" s="50">
        <f t="shared" si="20"/>
        <v>0.99206349206349209</v>
      </c>
      <c r="G82" s="51">
        <f t="shared" si="25"/>
        <v>0.75787917309969821</v>
      </c>
      <c r="H82" s="50">
        <f t="shared" si="21"/>
        <v>6.3492063492063489E-5</v>
      </c>
      <c r="I82" s="50">
        <f t="shared" si="26"/>
        <v>1.786000943185629E-3</v>
      </c>
      <c r="J82" s="50">
        <f t="shared" si="22"/>
        <v>3.2028810839717529E-2</v>
      </c>
      <c r="K82" s="50">
        <f t="shared" si="23"/>
        <v>0.68813819288873446</v>
      </c>
      <c r="L82" s="50">
        <f t="shared" si="24"/>
        <v>0.81413473362401201</v>
      </c>
    </row>
    <row r="83" spans="1:12" ht="14.5" x14ac:dyDescent="0.35">
      <c r="A83" s="7">
        <v>76</v>
      </c>
      <c r="B83" s="12">
        <f>Metodo_Grafico!B83</f>
        <v>2577.6</v>
      </c>
      <c r="C83" s="13">
        <f>Metodo_Grafico!C83</f>
        <v>1</v>
      </c>
      <c r="D83" s="7">
        <f t="shared" si="18"/>
        <v>125</v>
      </c>
      <c r="E83" s="7">
        <f t="shared" si="19"/>
        <v>1</v>
      </c>
      <c r="F83" s="50">
        <f t="shared" si="20"/>
        <v>0.99199999999999999</v>
      </c>
      <c r="G83" s="51">
        <f t="shared" si="25"/>
        <v>0.75181613971490058</v>
      </c>
      <c r="H83" s="50">
        <f t="shared" si="21"/>
        <v>6.4516129032258067E-5</v>
      </c>
      <c r="I83" s="50">
        <f t="shared" si="26"/>
        <v>1.8505170722178871E-3</v>
      </c>
      <c r="J83" s="50">
        <f t="shared" si="22"/>
        <v>3.234135360683589E-2</v>
      </c>
      <c r="K83" s="50">
        <f t="shared" si="23"/>
        <v>0.68156731828433081</v>
      </c>
      <c r="L83" s="50">
        <f t="shared" si="24"/>
        <v>0.80874763126093396</v>
      </c>
    </row>
    <row r="84" spans="1:12" ht="14.5" x14ac:dyDescent="0.35">
      <c r="A84" s="7">
        <v>77</v>
      </c>
      <c r="B84" s="12">
        <f>Metodo_Grafico!B84</f>
        <v>2587.9</v>
      </c>
      <c r="C84" s="13">
        <f>Metodo_Grafico!C84</f>
        <v>0</v>
      </c>
      <c r="D84" s="7">
        <f t="shared" si="18"/>
        <v>124</v>
      </c>
      <c r="E84" s="7">
        <f t="shared" si="19"/>
        <v>0</v>
      </c>
      <c r="F84" s="50">
        <f t="shared" si="20"/>
        <v>1</v>
      </c>
      <c r="G84" s="51">
        <f t="shared" si="25"/>
        <v>0.75181613971490058</v>
      </c>
      <c r="H84" s="50">
        <f t="shared" si="21"/>
        <v>0</v>
      </c>
      <c r="I84" s="50">
        <f t="shared" si="26"/>
        <v>1.8505170722178871E-3</v>
      </c>
      <c r="J84" s="50">
        <f t="shared" si="22"/>
        <v>3.234135360683589E-2</v>
      </c>
      <c r="K84" s="50">
        <f t="shared" si="23"/>
        <v>0.68156731828433081</v>
      </c>
      <c r="L84" s="50">
        <f t="shared" si="24"/>
        <v>0.80874763126093396</v>
      </c>
    </row>
    <row r="85" spans="1:12" ht="14.5" x14ac:dyDescent="0.35">
      <c r="A85" s="7">
        <v>78</v>
      </c>
      <c r="B85" s="12">
        <f>Metodo_Grafico!B85</f>
        <v>2624.6</v>
      </c>
      <c r="C85" s="13">
        <f>Metodo_Grafico!C85</f>
        <v>0</v>
      </c>
      <c r="D85" s="7">
        <f t="shared" si="18"/>
        <v>123</v>
      </c>
      <c r="E85" s="7">
        <f t="shared" si="19"/>
        <v>0</v>
      </c>
      <c r="F85" s="50">
        <f t="shared" si="20"/>
        <v>1</v>
      </c>
      <c r="G85" s="51">
        <f t="shared" si="25"/>
        <v>0.75181613971490058</v>
      </c>
      <c r="H85" s="50">
        <f t="shared" si="21"/>
        <v>0</v>
      </c>
      <c r="I85" s="50">
        <f t="shared" si="26"/>
        <v>1.8505170722178871E-3</v>
      </c>
      <c r="J85" s="50">
        <f t="shared" si="22"/>
        <v>3.234135360683589E-2</v>
      </c>
      <c r="K85" s="50">
        <f t="shared" si="23"/>
        <v>0.68156731828433081</v>
      </c>
      <c r="L85" s="50">
        <f t="shared" si="24"/>
        <v>0.80874763126093396</v>
      </c>
    </row>
    <row r="86" spans="1:12" ht="14.5" x14ac:dyDescent="0.35">
      <c r="A86" s="7">
        <v>79</v>
      </c>
      <c r="B86" s="12">
        <f>Metodo_Grafico!B86</f>
        <v>2673.1</v>
      </c>
      <c r="C86" s="13">
        <f>Metodo_Grafico!C86</f>
        <v>0</v>
      </c>
      <c r="D86" s="7">
        <f t="shared" si="18"/>
        <v>122</v>
      </c>
      <c r="E86" s="7">
        <f t="shared" si="19"/>
        <v>0</v>
      </c>
      <c r="F86" s="50">
        <f t="shared" si="20"/>
        <v>1</v>
      </c>
      <c r="G86" s="51">
        <f t="shared" si="25"/>
        <v>0.75181613971490058</v>
      </c>
      <c r="H86" s="50">
        <f t="shared" si="21"/>
        <v>0</v>
      </c>
      <c r="I86" s="50">
        <f t="shared" si="26"/>
        <v>1.8505170722178871E-3</v>
      </c>
      <c r="J86" s="50">
        <f t="shared" si="22"/>
        <v>3.234135360683589E-2</v>
      </c>
      <c r="K86" s="50">
        <f t="shared" si="23"/>
        <v>0.68156731828433081</v>
      </c>
      <c r="L86" s="50">
        <f t="shared" si="24"/>
        <v>0.80874763126093396</v>
      </c>
    </row>
    <row r="87" spans="1:12" ht="14.5" x14ac:dyDescent="0.35">
      <c r="A87" s="7">
        <v>80</v>
      </c>
      <c r="B87" s="12">
        <f>Metodo_Grafico!B87</f>
        <v>2686.6</v>
      </c>
      <c r="C87" s="13">
        <f>Metodo_Grafico!C87</f>
        <v>1</v>
      </c>
      <c r="D87" s="7">
        <f t="shared" si="18"/>
        <v>121</v>
      </c>
      <c r="E87" s="7">
        <f t="shared" si="19"/>
        <v>1</v>
      </c>
      <c r="F87" s="50">
        <f t="shared" si="20"/>
        <v>0.99173553719008267</v>
      </c>
      <c r="G87" s="51">
        <f t="shared" si="25"/>
        <v>0.74560278318833118</v>
      </c>
      <c r="H87" s="50">
        <f t="shared" si="21"/>
        <v>6.8870523415977955E-5</v>
      </c>
      <c r="I87" s="50">
        <f t="shared" si="26"/>
        <v>1.9193875956338652E-3</v>
      </c>
      <c r="J87" s="50">
        <f t="shared" si="22"/>
        <v>3.2665466318232354E-2</v>
      </c>
      <c r="K87" s="50">
        <f t="shared" si="23"/>
        <v>0.67482112737519762</v>
      </c>
      <c r="L87" s="50">
        <f t="shared" si="24"/>
        <v>0.80323094505671822</v>
      </c>
    </row>
    <row r="88" spans="1:12" ht="14.5" x14ac:dyDescent="0.35">
      <c r="A88" s="7">
        <v>81</v>
      </c>
      <c r="B88" s="12">
        <f>Metodo_Grafico!B88</f>
        <v>2689.4</v>
      </c>
      <c r="C88" s="13">
        <f>Metodo_Grafico!C88</f>
        <v>0</v>
      </c>
      <c r="D88" s="7">
        <f t="shared" si="18"/>
        <v>120</v>
      </c>
      <c r="E88" s="7">
        <f t="shared" si="19"/>
        <v>0</v>
      </c>
      <c r="F88" s="50">
        <f t="shared" si="20"/>
        <v>1</v>
      </c>
      <c r="G88" s="51">
        <f t="shared" si="25"/>
        <v>0.74560278318833118</v>
      </c>
      <c r="H88" s="50">
        <f t="shared" si="21"/>
        <v>0</v>
      </c>
      <c r="I88" s="50">
        <f t="shared" si="26"/>
        <v>1.9193875956338652E-3</v>
      </c>
      <c r="J88" s="50">
        <f t="shared" si="22"/>
        <v>3.2665466318232354E-2</v>
      </c>
      <c r="K88" s="50">
        <f t="shared" si="23"/>
        <v>0.67482112737519762</v>
      </c>
      <c r="L88" s="50">
        <f t="shared" si="24"/>
        <v>0.80323094505671822</v>
      </c>
    </row>
    <row r="89" spans="1:12" ht="14.5" x14ac:dyDescent="0.35">
      <c r="A89" s="7">
        <v>82</v>
      </c>
      <c r="B89" s="12">
        <f>Metodo_Grafico!B89</f>
        <v>2690.6</v>
      </c>
      <c r="C89" s="13">
        <f>Metodo_Grafico!C89</f>
        <v>1</v>
      </c>
      <c r="D89" s="7">
        <f t="shared" si="18"/>
        <v>119</v>
      </c>
      <c r="E89" s="7">
        <f t="shared" si="19"/>
        <v>1</v>
      </c>
      <c r="F89" s="50">
        <f t="shared" si="20"/>
        <v>0.99159663865546221</v>
      </c>
      <c r="G89" s="51">
        <f t="shared" si="25"/>
        <v>0.73933721358170656</v>
      </c>
      <c r="H89" s="50">
        <f t="shared" si="21"/>
        <v>7.1214926648625548E-5</v>
      </c>
      <c r="I89" s="50">
        <f t="shared" si="26"/>
        <v>1.9906025222824909E-3</v>
      </c>
      <c r="J89" s="50">
        <f t="shared" si="22"/>
        <v>3.2986393953533651E-2</v>
      </c>
      <c r="K89" s="50">
        <f t="shared" si="23"/>
        <v>0.66802928552385143</v>
      </c>
      <c r="L89" s="50">
        <f t="shared" si="24"/>
        <v>0.79765673151529892</v>
      </c>
    </row>
    <row r="90" spans="1:12" ht="14.5" x14ac:dyDescent="0.35">
      <c r="A90" s="7">
        <v>83</v>
      </c>
      <c r="B90" s="12">
        <f>Metodo_Grafico!B90</f>
        <v>2732.7</v>
      </c>
      <c r="C90" s="13">
        <f>Metodo_Grafico!C90</f>
        <v>0</v>
      </c>
      <c r="D90" s="7">
        <f t="shared" si="18"/>
        <v>118</v>
      </c>
      <c r="E90" s="7">
        <f t="shared" si="19"/>
        <v>0</v>
      </c>
      <c r="F90" s="50">
        <f t="shared" si="20"/>
        <v>1</v>
      </c>
      <c r="G90" s="51">
        <f t="shared" si="25"/>
        <v>0.73933721358170656</v>
      </c>
      <c r="H90" s="50">
        <f t="shared" si="21"/>
        <v>0</v>
      </c>
      <c r="I90" s="50">
        <f t="shared" si="26"/>
        <v>1.9906025222824909E-3</v>
      </c>
      <c r="J90" s="50">
        <f t="shared" si="22"/>
        <v>3.2986393953533651E-2</v>
      </c>
      <c r="K90" s="50">
        <f t="shared" si="23"/>
        <v>0.66802928552385143</v>
      </c>
      <c r="L90" s="50">
        <f t="shared" si="24"/>
        <v>0.79765673151529892</v>
      </c>
    </row>
    <row r="91" spans="1:12" ht="14.5" x14ac:dyDescent="0.35">
      <c r="A91" s="7">
        <v>84</v>
      </c>
      <c r="B91" s="12">
        <f>Metodo_Grafico!B91</f>
        <v>2790.3</v>
      </c>
      <c r="C91" s="13">
        <f>Metodo_Grafico!C91</f>
        <v>1</v>
      </c>
      <c r="D91" s="7">
        <f t="shared" si="18"/>
        <v>117</v>
      </c>
      <c r="E91" s="7">
        <f t="shared" si="19"/>
        <v>1</v>
      </c>
      <c r="F91" s="50">
        <f t="shared" si="20"/>
        <v>0.99145299145299148</v>
      </c>
      <c r="G91" s="51">
        <f t="shared" si="25"/>
        <v>0.7330180920981022</v>
      </c>
      <c r="H91" s="50">
        <f t="shared" si="21"/>
        <v>7.3681108163866781E-5</v>
      </c>
      <c r="I91" s="50">
        <f t="shared" si="26"/>
        <v>2.0642836304463575E-3</v>
      </c>
      <c r="J91" s="50">
        <f t="shared" si="22"/>
        <v>3.3304228548668796E-2</v>
      </c>
      <c r="K91" s="50">
        <f t="shared" si="23"/>
        <v>0.66119037823454074</v>
      </c>
      <c r="L91" s="50">
        <f t="shared" si="24"/>
        <v>0.79202388022258019</v>
      </c>
    </row>
    <row r="92" spans="1:12" ht="14.5" x14ac:dyDescent="0.35">
      <c r="A92" s="7">
        <v>85</v>
      </c>
      <c r="B92" s="12">
        <f>Metodo_Grafico!B92</f>
        <v>2840.9</v>
      </c>
      <c r="C92" s="13">
        <f>Metodo_Grafico!C92</f>
        <v>0</v>
      </c>
      <c r="D92" s="7">
        <f t="shared" si="18"/>
        <v>116</v>
      </c>
      <c r="E92" s="7">
        <f t="shared" si="19"/>
        <v>0</v>
      </c>
      <c r="F92" s="50">
        <f t="shared" si="20"/>
        <v>1</v>
      </c>
      <c r="G92" s="51">
        <f t="shared" si="25"/>
        <v>0.7330180920981022</v>
      </c>
      <c r="H92" s="50">
        <f t="shared" si="21"/>
        <v>0</v>
      </c>
      <c r="I92" s="50">
        <f t="shared" si="26"/>
        <v>2.0642836304463575E-3</v>
      </c>
      <c r="J92" s="50">
        <f t="shared" si="22"/>
        <v>3.3304228548668796E-2</v>
      </c>
      <c r="K92" s="50">
        <f t="shared" si="23"/>
        <v>0.66119037823454074</v>
      </c>
      <c r="L92" s="50">
        <f t="shared" si="24"/>
        <v>0.79202388022258019</v>
      </c>
    </row>
    <row r="93" spans="1:12" ht="14.5" x14ac:dyDescent="0.35">
      <c r="A93" s="7">
        <v>86</v>
      </c>
      <c r="B93" s="12">
        <f>Metodo_Grafico!B93</f>
        <v>2871.5</v>
      </c>
      <c r="C93" s="13">
        <f>Metodo_Grafico!C93</f>
        <v>1</v>
      </c>
      <c r="D93" s="7">
        <f t="shared" si="18"/>
        <v>115</v>
      </c>
      <c r="E93" s="7">
        <f t="shared" si="19"/>
        <v>1</v>
      </c>
      <c r="F93" s="50">
        <f t="shared" si="20"/>
        <v>0.99130434782608701</v>
      </c>
      <c r="G93" s="51">
        <f t="shared" si="25"/>
        <v>0.7266440217320318</v>
      </c>
      <c r="H93" s="50">
        <f t="shared" si="21"/>
        <v>7.6277650648360034E-5</v>
      </c>
      <c r="I93" s="50">
        <f t="shared" si="26"/>
        <v>2.1405612810947174E-3</v>
      </c>
      <c r="J93" s="50">
        <f t="shared" si="22"/>
        <v>3.3619057784751424E-2</v>
      </c>
      <c r="K93" s="50">
        <f t="shared" si="23"/>
        <v>0.65430293988568666</v>
      </c>
      <c r="L93" s="50">
        <f t="shared" si="24"/>
        <v>0.78633121554820429</v>
      </c>
    </row>
    <row r="94" spans="1:12" ht="14.5" x14ac:dyDescent="0.35">
      <c r="A94" s="7">
        <v>87</v>
      </c>
      <c r="B94" s="12">
        <f>Metodo_Grafico!B94</f>
        <v>2935.3</v>
      </c>
      <c r="C94" s="13">
        <f>Metodo_Grafico!C94</f>
        <v>0</v>
      </c>
      <c r="D94" s="7">
        <f t="shared" si="18"/>
        <v>114</v>
      </c>
      <c r="E94" s="7">
        <f t="shared" si="19"/>
        <v>0</v>
      </c>
      <c r="F94" s="50">
        <f t="shared" si="20"/>
        <v>1</v>
      </c>
      <c r="G94" s="51">
        <f t="shared" si="25"/>
        <v>0.7266440217320318</v>
      </c>
      <c r="H94" s="50">
        <f t="shared" si="21"/>
        <v>0</v>
      </c>
      <c r="I94" s="50">
        <f t="shared" si="26"/>
        <v>2.1405612810947174E-3</v>
      </c>
      <c r="J94" s="50">
        <f t="shared" si="22"/>
        <v>3.3619057784751424E-2</v>
      </c>
      <c r="K94" s="50">
        <f t="shared" si="23"/>
        <v>0.65430293988568666</v>
      </c>
      <c r="L94" s="50">
        <f t="shared" si="24"/>
        <v>0.78633121554820429</v>
      </c>
    </row>
    <row r="95" spans="1:12" ht="14.5" x14ac:dyDescent="0.35">
      <c r="A95" s="7">
        <v>88</v>
      </c>
      <c r="B95" s="12">
        <f>Metodo_Grafico!B95</f>
        <v>2953</v>
      </c>
      <c r="C95" s="13">
        <f>Metodo_Grafico!C95</f>
        <v>0</v>
      </c>
      <c r="D95" s="7">
        <f t="shared" si="18"/>
        <v>113</v>
      </c>
      <c r="E95" s="7">
        <f t="shared" si="19"/>
        <v>0</v>
      </c>
      <c r="F95" s="50">
        <f t="shared" si="20"/>
        <v>1</v>
      </c>
      <c r="G95" s="51">
        <f t="shared" si="25"/>
        <v>0.7266440217320318</v>
      </c>
      <c r="H95" s="50">
        <f t="shared" si="21"/>
        <v>0</v>
      </c>
      <c r="I95" s="50">
        <f t="shared" si="26"/>
        <v>2.1405612810947174E-3</v>
      </c>
      <c r="J95" s="50">
        <f t="shared" si="22"/>
        <v>3.3619057784751424E-2</v>
      </c>
      <c r="K95" s="50">
        <f t="shared" si="23"/>
        <v>0.65430293988568666</v>
      </c>
      <c r="L95" s="50">
        <f t="shared" si="24"/>
        <v>0.78633121554820429</v>
      </c>
    </row>
    <row r="96" spans="1:12" ht="14.5" x14ac:dyDescent="0.35">
      <c r="A96" s="7">
        <v>89</v>
      </c>
      <c r="B96" s="12">
        <f>Metodo_Grafico!B96</f>
        <v>2968.1</v>
      </c>
      <c r="C96" s="13">
        <f>Metodo_Grafico!C96</f>
        <v>1</v>
      </c>
      <c r="D96" s="7">
        <f t="shared" si="18"/>
        <v>112</v>
      </c>
      <c r="E96" s="7">
        <f t="shared" si="19"/>
        <v>1</v>
      </c>
      <c r="F96" s="50">
        <f t="shared" si="20"/>
        <v>0.9910714285714286</v>
      </c>
      <c r="G96" s="51">
        <f t="shared" si="25"/>
        <v>0.72015612868085299</v>
      </c>
      <c r="H96" s="50">
        <f t="shared" si="21"/>
        <v>8.0437580437580435E-5</v>
      </c>
      <c r="I96" s="50">
        <f t="shared" si="26"/>
        <v>2.2209988615322978E-3</v>
      </c>
      <c r="J96" s="50">
        <f t="shared" si="22"/>
        <v>3.3939139657541008E-2</v>
      </c>
      <c r="K96" s="50">
        <f t="shared" si="23"/>
        <v>0.64729091845525699</v>
      </c>
      <c r="L96" s="50">
        <f t="shared" si="24"/>
        <v>0.78053475588110932</v>
      </c>
    </row>
    <row r="97" spans="1:12" ht="14.5" x14ac:dyDescent="0.35">
      <c r="A97" s="7">
        <v>90</v>
      </c>
      <c r="B97" s="12">
        <f>Metodo_Grafico!B97</f>
        <v>2986.6</v>
      </c>
      <c r="C97" s="13">
        <f>Metodo_Grafico!C97</f>
        <v>0</v>
      </c>
      <c r="D97" s="7">
        <f t="shared" si="18"/>
        <v>111</v>
      </c>
      <c r="E97" s="7">
        <f t="shared" si="19"/>
        <v>0</v>
      </c>
      <c r="F97" s="50">
        <f t="shared" si="20"/>
        <v>1</v>
      </c>
      <c r="G97" s="51">
        <f t="shared" si="25"/>
        <v>0.72015612868085299</v>
      </c>
      <c r="H97" s="50">
        <f t="shared" si="21"/>
        <v>0</v>
      </c>
      <c r="I97" s="50">
        <f t="shared" si="26"/>
        <v>2.2209988615322978E-3</v>
      </c>
      <c r="J97" s="50">
        <f t="shared" si="22"/>
        <v>3.3939139657541008E-2</v>
      </c>
      <c r="K97" s="50">
        <f t="shared" si="23"/>
        <v>0.64729091845525699</v>
      </c>
      <c r="L97" s="50">
        <f t="shared" si="24"/>
        <v>0.78053475588110932</v>
      </c>
    </row>
    <row r="98" spans="1:12" ht="14.5" x14ac:dyDescent="0.35">
      <c r="A98" s="7">
        <v>91</v>
      </c>
      <c r="B98" s="12">
        <f>Metodo_Grafico!B98</f>
        <v>3033.6</v>
      </c>
      <c r="C98" s="13">
        <f>Metodo_Grafico!C98</f>
        <v>0</v>
      </c>
      <c r="D98" s="7">
        <f t="shared" si="18"/>
        <v>110</v>
      </c>
      <c r="E98" s="7">
        <f t="shared" si="19"/>
        <v>0</v>
      </c>
      <c r="F98" s="50">
        <f t="shared" si="20"/>
        <v>1</v>
      </c>
      <c r="G98" s="51">
        <f t="shared" si="25"/>
        <v>0.72015612868085299</v>
      </c>
      <c r="H98" s="50">
        <f t="shared" si="21"/>
        <v>0</v>
      </c>
      <c r="I98" s="50">
        <f t="shared" si="26"/>
        <v>2.2209988615322978E-3</v>
      </c>
      <c r="J98" s="50">
        <f t="shared" si="22"/>
        <v>3.3939139657541008E-2</v>
      </c>
      <c r="K98" s="50">
        <f t="shared" si="23"/>
        <v>0.64729091845525699</v>
      </c>
      <c r="L98" s="50">
        <f t="shared" si="24"/>
        <v>0.78053475588110932</v>
      </c>
    </row>
    <row r="99" spans="1:12" ht="14.5" x14ac:dyDescent="0.35">
      <c r="A99" s="7">
        <v>92</v>
      </c>
      <c r="B99" s="12">
        <f>Metodo_Grafico!B99</f>
        <v>3046.4</v>
      </c>
      <c r="C99" s="13">
        <f>Metodo_Grafico!C99</f>
        <v>1</v>
      </c>
      <c r="D99" s="7">
        <f t="shared" si="18"/>
        <v>109</v>
      </c>
      <c r="E99" s="7">
        <f t="shared" si="19"/>
        <v>1</v>
      </c>
      <c r="F99" s="50">
        <f t="shared" si="20"/>
        <v>0.99082568807339455</v>
      </c>
      <c r="G99" s="51">
        <f t="shared" si="25"/>
        <v>0.71354919172047826</v>
      </c>
      <c r="H99" s="50">
        <f t="shared" si="21"/>
        <v>8.4947332653754679E-5</v>
      </c>
      <c r="I99" s="50">
        <f t="shared" si="26"/>
        <v>2.3059461941860523E-3</v>
      </c>
      <c r="J99" s="50">
        <f t="shared" si="22"/>
        <v>3.4264823829161413E-2</v>
      </c>
      <c r="K99" s="50">
        <f t="shared" si="23"/>
        <v>0.64014864223110557</v>
      </c>
      <c r="L99" s="50">
        <f t="shared" si="24"/>
        <v>0.77463009423739837</v>
      </c>
    </row>
    <row r="100" spans="1:12" ht="14.5" x14ac:dyDescent="0.35">
      <c r="A100" s="7">
        <v>93</v>
      </c>
      <c r="B100" s="12">
        <f>Metodo_Grafico!B100</f>
        <v>3069.7</v>
      </c>
      <c r="C100" s="13">
        <f>Metodo_Grafico!C100</f>
        <v>1</v>
      </c>
      <c r="D100" s="7">
        <f t="shared" si="18"/>
        <v>108</v>
      </c>
      <c r="E100" s="7">
        <f t="shared" si="19"/>
        <v>1</v>
      </c>
      <c r="F100" s="50">
        <f t="shared" si="20"/>
        <v>0.9907407407407407</v>
      </c>
      <c r="G100" s="51">
        <f t="shared" si="25"/>
        <v>0.70694225476010342</v>
      </c>
      <c r="H100" s="50">
        <f t="shared" si="21"/>
        <v>8.6535133264105233E-5</v>
      </c>
      <c r="I100" s="50">
        <f t="shared" si="26"/>
        <v>2.3924813274501574E-3</v>
      </c>
      <c r="J100" s="50">
        <f t="shared" si="22"/>
        <v>3.4578664761514374E-2</v>
      </c>
      <c r="K100" s="50">
        <f t="shared" si="23"/>
        <v>0.63303183378499228</v>
      </c>
      <c r="L100" s="50">
        <f t="shared" si="24"/>
        <v>0.76870505543700351</v>
      </c>
    </row>
    <row r="101" spans="1:12" ht="14.5" x14ac:dyDescent="0.35">
      <c r="A101" s="7">
        <v>94</v>
      </c>
      <c r="B101" s="12">
        <f>Metodo_Grafico!B101</f>
        <v>3079.7</v>
      </c>
      <c r="C101" s="13">
        <f>Metodo_Grafico!C101</f>
        <v>0</v>
      </c>
      <c r="D101" s="7">
        <f t="shared" si="18"/>
        <v>107</v>
      </c>
      <c r="E101" s="7">
        <f t="shared" si="19"/>
        <v>0</v>
      </c>
      <c r="F101" s="50">
        <f t="shared" si="20"/>
        <v>1</v>
      </c>
      <c r="G101" s="51">
        <f t="shared" si="25"/>
        <v>0.70694225476010342</v>
      </c>
      <c r="H101" s="50">
        <f t="shared" si="21"/>
        <v>0</v>
      </c>
      <c r="I101" s="50">
        <f t="shared" si="26"/>
        <v>2.3924813274501574E-3</v>
      </c>
      <c r="J101" s="50">
        <f t="shared" si="22"/>
        <v>3.4578664761514374E-2</v>
      </c>
      <c r="K101" s="50">
        <f t="shared" si="23"/>
        <v>0.63303183378499228</v>
      </c>
      <c r="L101" s="50">
        <f t="shared" si="24"/>
        <v>0.76870505543700351</v>
      </c>
    </row>
    <row r="102" spans="1:12" ht="14.5" x14ac:dyDescent="0.35">
      <c r="A102" s="7">
        <v>95</v>
      </c>
      <c r="B102" s="12">
        <f>Metodo_Grafico!B102</f>
        <v>3131</v>
      </c>
      <c r="C102" s="13">
        <f>Metodo_Grafico!C102</f>
        <v>0</v>
      </c>
      <c r="D102" s="7">
        <f t="shared" si="18"/>
        <v>106</v>
      </c>
      <c r="E102" s="7">
        <f t="shared" si="19"/>
        <v>0</v>
      </c>
      <c r="F102" s="50">
        <f t="shared" si="20"/>
        <v>1</v>
      </c>
      <c r="G102" s="51">
        <f t="shared" si="25"/>
        <v>0.70694225476010342</v>
      </c>
      <c r="H102" s="50">
        <f t="shared" si="21"/>
        <v>0</v>
      </c>
      <c r="I102" s="50">
        <f t="shared" si="26"/>
        <v>2.3924813274501574E-3</v>
      </c>
      <c r="J102" s="50">
        <f t="shared" si="22"/>
        <v>3.4578664761514374E-2</v>
      </c>
      <c r="K102" s="50">
        <f t="shared" si="23"/>
        <v>0.63303183378499228</v>
      </c>
      <c r="L102" s="50">
        <f t="shared" si="24"/>
        <v>0.76870505543700351</v>
      </c>
    </row>
    <row r="103" spans="1:12" ht="14.5" x14ac:dyDescent="0.35">
      <c r="A103" s="7">
        <v>96</v>
      </c>
      <c r="B103" s="12">
        <f>Metodo_Grafico!B103</f>
        <v>3224.7</v>
      </c>
      <c r="C103" s="13">
        <f>Metodo_Grafico!C103</f>
        <v>0</v>
      </c>
      <c r="D103" s="7">
        <f t="shared" si="18"/>
        <v>105</v>
      </c>
      <c r="E103" s="7">
        <f t="shared" si="19"/>
        <v>0</v>
      </c>
      <c r="F103" s="50">
        <f t="shared" si="20"/>
        <v>1</v>
      </c>
      <c r="G103" s="51">
        <f t="shared" si="25"/>
        <v>0.70694225476010342</v>
      </c>
      <c r="H103" s="50">
        <f t="shared" si="21"/>
        <v>0</v>
      </c>
      <c r="I103" s="50">
        <f t="shared" si="26"/>
        <v>2.3924813274501574E-3</v>
      </c>
      <c r="J103" s="50">
        <f t="shared" si="22"/>
        <v>3.4578664761514374E-2</v>
      </c>
      <c r="K103" s="50">
        <f t="shared" si="23"/>
        <v>0.63303183378499228</v>
      </c>
      <c r="L103" s="50">
        <f t="shared" si="24"/>
        <v>0.76870505543700351</v>
      </c>
    </row>
    <row r="104" spans="1:12" ht="14.5" x14ac:dyDescent="0.35">
      <c r="A104" s="7">
        <v>97</v>
      </c>
      <c r="B104" s="12">
        <f>Metodo_Grafico!B104</f>
        <v>3257.9</v>
      </c>
      <c r="C104" s="13">
        <f>Metodo_Grafico!C104</f>
        <v>0</v>
      </c>
      <c r="D104" s="7">
        <f t="shared" ref="D104:D135" si="27">$B$4-A104+1</f>
        <v>104</v>
      </c>
      <c r="E104" s="7">
        <f t="shared" ref="E104:E135" si="28">C104</f>
        <v>0</v>
      </c>
      <c r="F104" s="50">
        <f t="shared" ref="F104:F135" si="29">IF(C104=1,(D104-E104)/D104,1)</f>
        <v>1</v>
      </c>
      <c r="G104" s="51">
        <f t="shared" si="25"/>
        <v>0.70694225476010342</v>
      </c>
      <c r="H104" s="50">
        <f t="shared" ref="H104:H135" si="30">IF(AND(C104=1,D104-E104&gt;0),E104/(D104*(D104-E104)),0)</f>
        <v>0</v>
      </c>
      <c r="I104" s="50">
        <f t="shared" si="26"/>
        <v>2.3924813274501574E-3</v>
      </c>
      <c r="J104" s="50">
        <f t="shared" ref="J104:J135" si="31">G104*SQRT(I104)</f>
        <v>3.4578664761514374E-2</v>
      </c>
      <c r="K104" s="50">
        <f t="shared" ref="K104:K135" si="32">IF(OR(G104&gt;=1,G104&lt;=0),"",G104^EXP($B$5*SQRT(I104)/ABS(LN(G104))))</f>
        <v>0.63303183378499228</v>
      </c>
      <c r="L104" s="50">
        <f t="shared" ref="L104:L135" si="33">IF(OR(G104&gt;=1,G104&lt;=0),"",G104^EXP(-$B$5*SQRT(I104)/ABS(LN(G104))))</f>
        <v>0.76870505543700351</v>
      </c>
    </row>
    <row r="105" spans="1:12" ht="14.5" x14ac:dyDescent="0.35">
      <c r="A105" s="7">
        <v>98</v>
      </c>
      <c r="B105" s="12">
        <f>Metodo_Grafico!B105</f>
        <v>3262.9</v>
      </c>
      <c r="C105" s="13">
        <f>Metodo_Grafico!C105</f>
        <v>1</v>
      </c>
      <c r="D105" s="7">
        <f t="shared" si="27"/>
        <v>103</v>
      </c>
      <c r="E105" s="7">
        <f t="shared" si="28"/>
        <v>1</v>
      </c>
      <c r="F105" s="50">
        <f t="shared" si="29"/>
        <v>0.99029126213592233</v>
      </c>
      <c r="G105" s="51">
        <f t="shared" ref="G105:G136" si="34">G104*F105</f>
        <v>0.70007873772359752</v>
      </c>
      <c r="H105" s="50">
        <f t="shared" si="30"/>
        <v>9.5183704549781079E-5</v>
      </c>
      <c r="I105" s="50">
        <f t="shared" ref="I105:I136" si="35">I104+H105</f>
        <v>2.4876650319999383E-3</v>
      </c>
      <c r="J105" s="50">
        <f t="shared" si="31"/>
        <v>3.4917475616329144E-2</v>
      </c>
      <c r="K105" s="50">
        <f t="shared" si="32"/>
        <v>0.62560721572423095</v>
      </c>
      <c r="L105" s="50">
        <f t="shared" si="33"/>
        <v>0.76256939315100669</v>
      </c>
    </row>
    <row r="106" spans="1:12" ht="14.5" x14ac:dyDescent="0.35">
      <c r="A106" s="7">
        <v>99</v>
      </c>
      <c r="B106" s="12">
        <f>Metodo_Grafico!B106</f>
        <v>3289</v>
      </c>
      <c r="C106" s="13">
        <f>Metodo_Grafico!C106</f>
        <v>0</v>
      </c>
      <c r="D106" s="7">
        <f t="shared" si="27"/>
        <v>102</v>
      </c>
      <c r="E106" s="7">
        <f t="shared" si="28"/>
        <v>0</v>
      </c>
      <c r="F106" s="50">
        <f t="shared" si="29"/>
        <v>1</v>
      </c>
      <c r="G106" s="51">
        <f t="shared" si="34"/>
        <v>0.70007873772359752</v>
      </c>
      <c r="H106" s="50">
        <f t="shared" si="30"/>
        <v>0</v>
      </c>
      <c r="I106" s="50">
        <f t="shared" si="35"/>
        <v>2.4876650319999383E-3</v>
      </c>
      <c r="J106" s="50">
        <f t="shared" si="31"/>
        <v>3.4917475616329144E-2</v>
      </c>
      <c r="K106" s="50">
        <f t="shared" si="32"/>
        <v>0.62560721572423095</v>
      </c>
      <c r="L106" s="50">
        <f t="shared" si="33"/>
        <v>0.76256939315100669</v>
      </c>
    </row>
    <row r="107" spans="1:12" ht="14.5" x14ac:dyDescent="0.35">
      <c r="A107" s="7">
        <v>100</v>
      </c>
      <c r="B107" s="12">
        <f>Metodo_Grafico!B107</f>
        <v>3290.7</v>
      </c>
      <c r="C107" s="13">
        <f>Metodo_Grafico!C107</f>
        <v>1</v>
      </c>
      <c r="D107" s="7">
        <f t="shared" si="27"/>
        <v>101</v>
      </c>
      <c r="E107" s="7">
        <f t="shared" si="28"/>
        <v>1</v>
      </c>
      <c r="F107" s="50">
        <f t="shared" si="29"/>
        <v>0.99009900990099009</v>
      </c>
      <c r="G107" s="51">
        <f t="shared" si="34"/>
        <v>0.69314726507286883</v>
      </c>
      <c r="H107" s="50">
        <f t="shared" si="30"/>
        <v>9.9009900990099017E-5</v>
      </c>
      <c r="I107" s="50">
        <f t="shared" si="35"/>
        <v>2.5866749329900374E-3</v>
      </c>
      <c r="J107" s="50">
        <f t="shared" si="31"/>
        <v>3.5253029240563623E-2</v>
      </c>
      <c r="K107" s="50">
        <f t="shared" si="32"/>
        <v>0.61812277449211372</v>
      </c>
      <c r="L107" s="50">
        <f t="shared" si="33"/>
        <v>0.75636125807555432</v>
      </c>
    </row>
    <row r="108" spans="1:12" ht="14.5" x14ac:dyDescent="0.35">
      <c r="A108" s="7">
        <v>101</v>
      </c>
      <c r="B108" s="12">
        <f>Metodo_Grafico!B108</f>
        <v>3313.9</v>
      </c>
      <c r="C108" s="13">
        <f>Metodo_Grafico!C108</f>
        <v>1</v>
      </c>
      <c r="D108" s="7">
        <f t="shared" si="27"/>
        <v>100</v>
      </c>
      <c r="E108" s="7">
        <f t="shared" si="28"/>
        <v>1</v>
      </c>
      <c r="F108" s="50">
        <f t="shared" si="29"/>
        <v>0.99</v>
      </c>
      <c r="G108" s="51">
        <f t="shared" si="34"/>
        <v>0.68621579242214015</v>
      </c>
      <c r="H108" s="50">
        <f t="shared" si="30"/>
        <v>1.0101010101010101E-4</v>
      </c>
      <c r="I108" s="50">
        <f t="shared" si="35"/>
        <v>2.6876850340001382E-3</v>
      </c>
      <c r="J108" s="50">
        <f t="shared" si="31"/>
        <v>3.5575408455941843E-2</v>
      </c>
      <c r="K108" s="50">
        <f t="shared" si="32"/>
        <v>0.61066710653721923</v>
      </c>
      <c r="L108" s="50">
        <f t="shared" si="33"/>
        <v>0.75013071887642802</v>
      </c>
    </row>
    <row r="109" spans="1:12" ht="14.5" x14ac:dyDescent="0.35">
      <c r="A109" s="7">
        <v>102</v>
      </c>
      <c r="B109" s="12">
        <f>Metodo_Grafico!B109</f>
        <v>3314.9</v>
      </c>
      <c r="C109" s="13">
        <f>Metodo_Grafico!C109</f>
        <v>1</v>
      </c>
      <c r="D109" s="7">
        <f t="shared" si="27"/>
        <v>99</v>
      </c>
      <c r="E109" s="7">
        <f t="shared" si="28"/>
        <v>1</v>
      </c>
      <c r="F109" s="50">
        <f t="shared" si="29"/>
        <v>0.98989898989898994</v>
      </c>
      <c r="G109" s="51">
        <f t="shared" si="34"/>
        <v>0.67928431977141146</v>
      </c>
      <c r="H109" s="50">
        <f t="shared" si="30"/>
        <v>1.0307153164296021E-4</v>
      </c>
      <c r="I109" s="50">
        <f t="shared" si="35"/>
        <v>2.7907565656430985E-3</v>
      </c>
      <c r="J109" s="50">
        <f t="shared" si="31"/>
        <v>3.5884968328398097E-2</v>
      </c>
      <c r="K109" s="50">
        <f t="shared" si="32"/>
        <v>0.60323930937989001</v>
      </c>
      <c r="L109" s="50">
        <f t="shared" si="33"/>
        <v>0.74387828941559497</v>
      </c>
    </row>
    <row r="110" spans="1:12" ht="14.5" x14ac:dyDescent="0.35">
      <c r="A110" s="7">
        <v>103</v>
      </c>
      <c r="B110" s="12">
        <f>Metodo_Grafico!B110</f>
        <v>3325.4</v>
      </c>
      <c r="C110" s="13">
        <f>Metodo_Grafico!C110</f>
        <v>1</v>
      </c>
      <c r="D110" s="7">
        <f t="shared" si="27"/>
        <v>98</v>
      </c>
      <c r="E110" s="7">
        <f t="shared" si="28"/>
        <v>1</v>
      </c>
      <c r="F110" s="50">
        <f t="shared" si="29"/>
        <v>0.98979591836734693</v>
      </c>
      <c r="G110" s="51">
        <f t="shared" si="34"/>
        <v>0.67235284712068277</v>
      </c>
      <c r="H110" s="50">
        <f t="shared" si="30"/>
        <v>1.0519671786240269E-4</v>
      </c>
      <c r="I110" s="50">
        <f t="shared" si="35"/>
        <v>2.8959532835055013E-3</v>
      </c>
      <c r="J110" s="50">
        <f t="shared" si="31"/>
        <v>3.6182037891820604E-2</v>
      </c>
      <c r="K110" s="50">
        <f t="shared" si="32"/>
        <v>0.5958385503722986</v>
      </c>
      <c r="L110" s="50">
        <f t="shared" si="33"/>
        <v>0.7376044475624306</v>
      </c>
    </row>
    <row r="111" spans="1:12" ht="14.5" x14ac:dyDescent="0.35">
      <c r="A111" s="7">
        <v>104</v>
      </c>
      <c r="B111" s="12">
        <f>Metodo_Grafico!B111</f>
        <v>3349</v>
      </c>
      <c r="C111" s="13">
        <f>Metodo_Grafico!C111</f>
        <v>1</v>
      </c>
      <c r="D111" s="7">
        <f t="shared" si="27"/>
        <v>97</v>
      </c>
      <c r="E111" s="7">
        <f t="shared" si="28"/>
        <v>1</v>
      </c>
      <c r="F111" s="50">
        <f t="shared" si="29"/>
        <v>0.98969072164948457</v>
      </c>
      <c r="G111" s="51">
        <f t="shared" si="34"/>
        <v>0.66542137446995409</v>
      </c>
      <c r="H111" s="50">
        <f t="shared" si="30"/>
        <v>1.0738831615120275E-4</v>
      </c>
      <c r="I111" s="50">
        <f t="shared" si="35"/>
        <v>3.0033415996567042E-3</v>
      </c>
      <c r="J111" s="50">
        <f t="shared" si="31"/>
        <v>3.6466922395948356E-2</v>
      </c>
      <c r="K111" s="50">
        <f t="shared" si="32"/>
        <v>0.58846406026469078</v>
      </c>
      <c r="L111" s="50">
        <f t="shared" si="33"/>
        <v>0.73130963811090943</v>
      </c>
    </row>
    <row r="112" spans="1:12" ht="14.5" x14ac:dyDescent="0.35">
      <c r="A112" s="7">
        <v>105</v>
      </c>
      <c r="B112" s="12">
        <f>Metodo_Grafico!B112</f>
        <v>3379.7</v>
      </c>
      <c r="C112" s="13">
        <f>Metodo_Grafico!C112</f>
        <v>1</v>
      </c>
      <c r="D112" s="7">
        <f t="shared" si="27"/>
        <v>96</v>
      </c>
      <c r="E112" s="7">
        <f t="shared" si="28"/>
        <v>1</v>
      </c>
      <c r="F112" s="50">
        <f t="shared" si="29"/>
        <v>0.98958333333333337</v>
      </c>
      <c r="G112" s="51">
        <f t="shared" si="34"/>
        <v>0.6584899018192254</v>
      </c>
      <c r="H112" s="50">
        <f t="shared" si="30"/>
        <v>1.0964912280701755E-4</v>
      </c>
      <c r="I112" s="50">
        <f t="shared" si="35"/>
        <v>3.1129907224637216E-3</v>
      </c>
      <c r="J112" s="50">
        <f t="shared" si="31"/>
        <v>3.6739905293986123E-2</v>
      </c>
      <c r="K112" s="50">
        <f t="shared" si="32"/>
        <v>0.58111512753603278</v>
      </c>
      <c r="L112" s="50">
        <f t="shared" si="33"/>
        <v>0.72499427536466332</v>
      </c>
    </row>
    <row r="113" spans="1:12" ht="14.5" x14ac:dyDescent="0.35">
      <c r="A113" s="7">
        <v>106</v>
      </c>
      <c r="B113" s="12">
        <f>Metodo_Grafico!B113</f>
        <v>3387.5</v>
      </c>
      <c r="C113" s="13">
        <f>Metodo_Grafico!C113</f>
        <v>1</v>
      </c>
      <c r="D113" s="7">
        <f t="shared" si="27"/>
        <v>95</v>
      </c>
      <c r="E113" s="7">
        <f t="shared" si="28"/>
        <v>1</v>
      </c>
      <c r="F113" s="50">
        <f t="shared" si="29"/>
        <v>0.98947368421052628</v>
      </c>
      <c r="G113" s="51">
        <f t="shared" si="34"/>
        <v>0.65155842916849671</v>
      </c>
      <c r="H113" s="50">
        <f t="shared" si="30"/>
        <v>1.1198208286674133E-4</v>
      </c>
      <c r="I113" s="50">
        <f t="shared" si="35"/>
        <v>3.2249728053304629E-3</v>
      </c>
      <c r="J113" s="50">
        <f t="shared" si="31"/>
        <v>3.7001250005128078E-2</v>
      </c>
      <c r="K113" s="50">
        <f t="shared" si="32"/>
        <v>0.57379109338398671</v>
      </c>
      <c r="L113" s="50">
        <f t="shared" si="33"/>
        <v>0.71865874543447916</v>
      </c>
    </row>
    <row r="114" spans="1:12" ht="14.5" x14ac:dyDescent="0.35">
      <c r="A114" s="7">
        <v>107</v>
      </c>
      <c r="B114" s="12">
        <f>Metodo_Grafico!B114</f>
        <v>3395</v>
      </c>
      <c r="C114" s="13">
        <f>Metodo_Grafico!C114</f>
        <v>1</v>
      </c>
      <c r="D114" s="7">
        <f t="shared" si="27"/>
        <v>94</v>
      </c>
      <c r="E114" s="7">
        <f t="shared" si="28"/>
        <v>1</v>
      </c>
      <c r="F114" s="50">
        <f t="shared" si="29"/>
        <v>0.98936170212765961</v>
      </c>
      <c r="G114" s="51">
        <f t="shared" si="34"/>
        <v>0.64462695651776802</v>
      </c>
      <c r="H114" s="50">
        <f t="shared" si="30"/>
        <v>1.1439029970258523E-4</v>
      </c>
      <c r="I114" s="50">
        <f t="shared" si="35"/>
        <v>3.3393631050330479E-3</v>
      </c>
      <c r="J114" s="50">
        <f t="shared" si="31"/>
        <v>3.7251201481628513E-2</v>
      </c>
      <c r="K114" s="50">
        <f t="shared" si="32"/>
        <v>0.56649134728572514</v>
      </c>
      <c r="L114" s="50">
        <f t="shared" si="33"/>
        <v>0.7123034082857076</v>
      </c>
    </row>
    <row r="115" spans="1:12" ht="14.5" x14ac:dyDescent="0.35">
      <c r="A115" s="7">
        <v>108</v>
      </c>
      <c r="B115" s="12">
        <f>Metodo_Grafico!B115</f>
        <v>3433.4</v>
      </c>
      <c r="C115" s="13">
        <f>Metodo_Grafico!C115</f>
        <v>0</v>
      </c>
      <c r="D115" s="7">
        <f t="shared" si="27"/>
        <v>93</v>
      </c>
      <c r="E115" s="7">
        <f t="shared" si="28"/>
        <v>0</v>
      </c>
      <c r="F115" s="50">
        <f t="shared" si="29"/>
        <v>1</v>
      </c>
      <c r="G115" s="51">
        <f t="shared" si="34"/>
        <v>0.64462695651776802</v>
      </c>
      <c r="H115" s="50">
        <f t="shared" si="30"/>
        <v>0</v>
      </c>
      <c r="I115" s="50">
        <f t="shared" si="35"/>
        <v>3.3393631050330479E-3</v>
      </c>
      <c r="J115" s="50">
        <f t="shared" si="31"/>
        <v>3.7251201481628513E-2</v>
      </c>
      <c r="K115" s="50">
        <f t="shared" si="32"/>
        <v>0.56649134728572514</v>
      </c>
      <c r="L115" s="50">
        <f t="shared" si="33"/>
        <v>0.7123034082857076</v>
      </c>
    </row>
    <row r="116" spans="1:12" ht="14.5" x14ac:dyDescent="0.35">
      <c r="A116" s="7">
        <v>109</v>
      </c>
      <c r="B116" s="12">
        <f>Metodo_Grafico!B116</f>
        <v>3449.1</v>
      </c>
      <c r="C116" s="13">
        <f>Metodo_Grafico!C116</f>
        <v>1</v>
      </c>
      <c r="D116" s="7">
        <f t="shared" si="27"/>
        <v>92</v>
      </c>
      <c r="E116" s="7">
        <f t="shared" si="28"/>
        <v>1</v>
      </c>
      <c r="F116" s="50">
        <f t="shared" si="29"/>
        <v>0.98913043478260865</v>
      </c>
      <c r="G116" s="51">
        <f t="shared" si="34"/>
        <v>0.63762014177300963</v>
      </c>
      <c r="H116" s="50">
        <f t="shared" si="30"/>
        <v>1.1944577161968466E-4</v>
      </c>
      <c r="I116" s="50">
        <f t="shared" si="35"/>
        <v>3.4588088766527325E-3</v>
      </c>
      <c r="J116" s="50">
        <f t="shared" si="31"/>
        <v>3.7499485568820892E-2</v>
      </c>
      <c r="K116" s="50">
        <f t="shared" si="32"/>
        <v>0.55912090356759336</v>
      </c>
      <c r="L116" s="50">
        <f t="shared" si="33"/>
        <v>0.70587089661706837</v>
      </c>
    </row>
    <row r="117" spans="1:12" ht="14.5" x14ac:dyDescent="0.35">
      <c r="A117" s="7">
        <v>110</v>
      </c>
      <c r="B117" s="12">
        <f>Metodo_Grafico!B117</f>
        <v>3453.9</v>
      </c>
      <c r="C117" s="13">
        <f>Metodo_Grafico!C117</f>
        <v>1</v>
      </c>
      <c r="D117" s="7">
        <f t="shared" si="27"/>
        <v>91</v>
      </c>
      <c r="E117" s="7">
        <f t="shared" si="28"/>
        <v>1</v>
      </c>
      <c r="F117" s="50">
        <f t="shared" si="29"/>
        <v>0.98901098901098905</v>
      </c>
      <c r="G117" s="51">
        <f t="shared" si="34"/>
        <v>0.63061332702825135</v>
      </c>
      <c r="H117" s="50">
        <f t="shared" si="30"/>
        <v>1.221001221001221E-4</v>
      </c>
      <c r="I117" s="50">
        <f t="shared" si="35"/>
        <v>3.5809089987528546E-3</v>
      </c>
      <c r="J117" s="50">
        <f t="shared" si="31"/>
        <v>3.7736340928364434E-2</v>
      </c>
      <c r="K117" s="50">
        <f t="shared" si="32"/>
        <v>0.55177480665094247</v>
      </c>
      <c r="L117" s="50">
        <f t="shared" si="33"/>
        <v>0.699418494690354</v>
      </c>
    </row>
    <row r="118" spans="1:12" ht="14.5" x14ac:dyDescent="0.35">
      <c r="A118" s="7">
        <v>111</v>
      </c>
      <c r="B118" s="12">
        <f>Metodo_Grafico!B118</f>
        <v>3454.9</v>
      </c>
      <c r="C118" s="13">
        <f>Metodo_Grafico!C118</f>
        <v>1</v>
      </c>
      <c r="D118" s="7">
        <f t="shared" si="27"/>
        <v>90</v>
      </c>
      <c r="E118" s="7">
        <f t="shared" si="28"/>
        <v>1</v>
      </c>
      <c r="F118" s="50">
        <f t="shared" si="29"/>
        <v>0.98888888888888893</v>
      </c>
      <c r="G118" s="51">
        <f t="shared" si="34"/>
        <v>0.62360651228349306</v>
      </c>
      <c r="H118" s="50">
        <f t="shared" si="30"/>
        <v>1.2484394506866417E-4</v>
      </c>
      <c r="I118" s="50">
        <f t="shared" si="35"/>
        <v>3.7057529438215189E-3</v>
      </c>
      <c r="J118" s="50">
        <f t="shared" si="31"/>
        <v>3.7961981481892143E-2</v>
      </c>
      <c r="K118" s="50">
        <f t="shared" si="32"/>
        <v>0.54445252247130616</v>
      </c>
      <c r="L118" s="50">
        <f t="shared" si="33"/>
        <v>0.69294651604097468</v>
      </c>
    </row>
    <row r="119" spans="1:12" ht="14.5" x14ac:dyDescent="0.35">
      <c r="A119" s="7">
        <v>112</v>
      </c>
      <c r="B119" s="12">
        <f>Metodo_Grafico!B119</f>
        <v>3468.4</v>
      </c>
      <c r="C119" s="13">
        <f>Metodo_Grafico!C119</f>
        <v>0</v>
      </c>
      <c r="D119" s="7">
        <f t="shared" si="27"/>
        <v>89</v>
      </c>
      <c r="E119" s="7">
        <f t="shared" si="28"/>
        <v>0</v>
      </c>
      <c r="F119" s="50">
        <f t="shared" si="29"/>
        <v>1</v>
      </c>
      <c r="G119" s="51">
        <f t="shared" si="34"/>
        <v>0.62360651228349306</v>
      </c>
      <c r="H119" s="50">
        <f t="shared" si="30"/>
        <v>0</v>
      </c>
      <c r="I119" s="50">
        <f t="shared" si="35"/>
        <v>3.7057529438215189E-3</v>
      </c>
      <c r="J119" s="50">
        <f t="shared" si="31"/>
        <v>3.7961981481892143E-2</v>
      </c>
      <c r="K119" s="50">
        <f t="shared" si="32"/>
        <v>0.54445252247130616</v>
      </c>
      <c r="L119" s="50">
        <f t="shared" si="33"/>
        <v>0.69294651604097468</v>
      </c>
    </row>
    <row r="120" spans="1:12" ht="14.5" x14ac:dyDescent="0.35">
      <c r="A120" s="7">
        <v>113</v>
      </c>
      <c r="B120" s="12">
        <f>Metodo_Grafico!B120</f>
        <v>3470.3</v>
      </c>
      <c r="C120" s="13">
        <f>Metodo_Grafico!C120</f>
        <v>1</v>
      </c>
      <c r="D120" s="7">
        <f t="shared" si="27"/>
        <v>88</v>
      </c>
      <c r="E120" s="7">
        <f t="shared" si="28"/>
        <v>1</v>
      </c>
      <c r="F120" s="50">
        <f t="shared" si="29"/>
        <v>0.98863636363636365</v>
      </c>
      <c r="G120" s="51">
        <f t="shared" si="34"/>
        <v>0.6165200746439079</v>
      </c>
      <c r="H120" s="50">
        <f t="shared" si="30"/>
        <v>1.3061650992685477E-4</v>
      </c>
      <c r="I120" s="50">
        <f t="shared" si="35"/>
        <v>3.8363694537483736E-3</v>
      </c>
      <c r="J120" s="50">
        <f t="shared" si="31"/>
        <v>3.8186287193415797E-2</v>
      </c>
      <c r="K120" s="50">
        <f t="shared" si="32"/>
        <v>0.53705471528154092</v>
      </c>
      <c r="L120" s="50">
        <f t="shared" si="33"/>
        <v>0.68639378009566698</v>
      </c>
    </row>
    <row r="121" spans="1:12" ht="14.5" x14ac:dyDescent="0.35">
      <c r="A121" s="7">
        <v>114</v>
      </c>
      <c r="B121" s="12">
        <f>Metodo_Grafico!B121</f>
        <v>3509.4</v>
      </c>
      <c r="C121" s="13">
        <f>Metodo_Grafico!C121</f>
        <v>1</v>
      </c>
      <c r="D121" s="7">
        <f t="shared" si="27"/>
        <v>87</v>
      </c>
      <c r="E121" s="7">
        <f t="shared" si="28"/>
        <v>1</v>
      </c>
      <c r="F121" s="50">
        <f t="shared" si="29"/>
        <v>0.9885057471264368</v>
      </c>
      <c r="G121" s="51">
        <f t="shared" si="34"/>
        <v>0.60943363700432274</v>
      </c>
      <c r="H121" s="50">
        <f t="shared" si="30"/>
        <v>1.3365410318096765E-4</v>
      </c>
      <c r="I121" s="50">
        <f t="shared" si="35"/>
        <v>3.9700235569293408E-3</v>
      </c>
      <c r="J121" s="50">
        <f t="shared" si="31"/>
        <v>3.8399269526592533E-2</v>
      </c>
      <c r="K121" s="50">
        <f t="shared" si="32"/>
        <v>0.52968094738077098</v>
      </c>
      <c r="L121" s="50">
        <f t="shared" si="33"/>
        <v>0.67982126768871021</v>
      </c>
    </row>
    <row r="122" spans="1:12" ht="14.5" x14ac:dyDescent="0.35">
      <c r="A122" s="7">
        <v>115</v>
      </c>
      <c r="B122" s="12">
        <f>Metodo_Grafico!B122</f>
        <v>3591.9</v>
      </c>
      <c r="C122" s="13">
        <f>Metodo_Grafico!C122</f>
        <v>1</v>
      </c>
      <c r="D122" s="7">
        <f t="shared" si="27"/>
        <v>86</v>
      </c>
      <c r="E122" s="7">
        <f t="shared" si="28"/>
        <v>1</v>
      </c>
      <c r="F122" s="50">
        <f t="shared" si="29"/>
        <v>0.98837209302325579</v>
      </c>
      <c r="G122" s="51">
        <f t="shared" si="34"/>
        <v>0.60234719936473757</v>
      </c>
      <c r="H122" s="50">
        <f t="shared" si="30"/>
        <v>1.3679890560875513E-4</v>
      </c>
      <c r="I122" s="50">
        <f t="shared" si="35"/>
        <v>4.1068224625380959E-3</v>
      </c>
      <c r="J122" s="50">
        <f t="shared" si="31"/>
        <v>3.8601115912692496E-2</v>
      </c>
      <c r="K122" s="50">
        <f t="shared" si="32"/>
        <v>0.52233074852243111</v>
      </c>
      <c r="L122" s="50">
        <f t="shared" si="33"/>
        <v>0.67322925183713433</v>
      </c>
    </row>
    <row r="123" spans="1:12" ht="14.5" x14ac:dyDescent="0.35">
      <c r="A123" s="7">
        <v>116</v>
      </c>
      <c r="B123" s="12">
        <f>Metodo_Grafico!B123</f>
        <v>3629.9</v>
      </c>
      <c r="C123" s="13">
        <f>Metodo_Grafico!C123</f>
        <v>1</v>
      </c>
      <c r="D123" s="7">
        <f t="shared" si="27"/>
        <v>85</v>
      </c>
      <c r="E123" s="7">
        <f t="shared" si="28"/>
        <v>1</v>
      </c>
      <c r="F123" s="50">
        <f t="shared" si="29"/>
        <v>0.9882352941176471</v>
      </c>
      <c r="G123" s="51">
        <f t="shared" si="34"/>
        <v>0.59526076172515241</v>
      </c>
      <c r="H123" s="50">
        <f t="shared" si="30"/>
        <v>1.4005602240896358E-4</v>
      </c>
      <c r="I123" s="50">
        <f t="shared" si="35"/>
        <v>4.2468784849470599E-3</v>
      </c>
      <c r="J123" s="50">
        <f t="shared" si="31"/>
        <v>3.8792000183100937E-2</v>
      </c>
      <c r="K123" s="50">
        <f t="shared" si="32"/>
        <v>0.51500368303674193</v>
      </c>
      <c r="L123" s="50">
        <f t="shared" si="33"/>
        <v>0.66661798573625275</v>
      </c>
    </row>
    <row r="124" spans="1:12" ht="14.5" x14ac:dyDescent="0.35">
      <c r="A124" s="7">
        <v>117</v>
      </c>
      <c r="B124" s="12">
        <f>Metodo_Grafico!B124</f>
        <v>3637.7</v>
      </c>
      <c r="C124" s="13">
        <f>Metodo_Grafico!C124</f>
        <v>1</v>
      </c>
      <c r="D124" s="7">
        <f t="shared" si="27"/>
        <v>84</v>
      </c>
      <c r="E124" s="7">
        <f t="shared" si="28"/>
        <v>1</v>
      </c>
      <c r="F124" s="50">
        <f t="shared" si="29"/>
        <v>0.98809523809523814</v>
      </c>
      <c r="G124" s="51">
        <f t="shared" si="34"/>
        <v>0.58817432408556725</v>
      </c>
      <c r="H124" s="50">
        <f t="shared" si="30"/>
        <v>1.4343086632243257E-4</v>
      </c>
      <c r="I124" s="50">
        <f t="shared" si="35"/>
        <v>4.3903093512694929E-3</v>
      </c>
      <c r="J124" s="50">
        <f t="shared" si="31"/>
        <v>3.8972083414639792E-2</v>
      </c>
      <c r="K124" s="50">
        <f t="shared" si="32"/>
        <v>0.50769934746535905</v>
      </c>
      <c r="L124" s="50">
        <f t="shared" si="33"/>
        <v>0.65998770387554395</v>
      </c>
    </row>
    <row r="125" spans="1:12" ht="14.5" x14ac:dyDescent="0.35">
      <c r="A125" s="7">
        <v>118</v>
      </c>
      <c r="B125" s="12">
        <f>Metodo_Grafico!B125</f>
        <v>3640.6</v>
      </c>
      <c r="C125" s="13">
        <f>Metodo_Grafico!C125</f>
        <v>0</v>
      </c>
      <c r="D125" s="7">
        <f t="shared" si="27"/>
        <v>83</v>
      </c>
      <c r="E125" s="7">
        <f t="shared" si="28"/>
        <v>0</v>
      </c>
      <c r="F125" s="50">
        <f t="shared" si="29"/>
        <v>1</v>
      </c>
      <c r="G125" s="51">
        <f t="shared" si="34"/>
        <v>0.58817432408556725</v>
      </c>
      <c r="H125" s="50">
        <f t="shared" si="30"/>
        <v>0</v>
      </c>
      <c r="I125" s="50">
        <f t="shared" si="35"/>
        <v>4.3903093512694929E-3</v>
      </c>
      <c r="J125" s="50">
        <f t="shared" si="31"/>
        <v>3.8972083414639792E-2</v>
      </c>
      <c r="K125" s="50">
        <f t="shared" si="32"/>
        <v>0.50769934746535905</v>
      </c>
      <c r="L125" s="50">
        <f t="shared" si="33"/>
        <v>0.65998770387554395</v>
      </c>
    </row>
    <row r="126" spans="1:12" ht="14.5" x14ac:dyDescent="0.35">
      <c r="A126" s="7">
        <v>119</v>
      </c>
      <c r="B126" s="12">
        <f>Metodo_Grafico!B126</f>
        <v>3678.5</v>
      </c>
      <c r="C126" s="13">
        <f>Metodo_Grafico!C126</f>
        <v>1</v>
      </c>
      <c r="D126" s="7">
        <f t="shared" si="27"/>
        <v>82</v>
      </c>
      <c r="E126" s="7">
        <f t="shared" si="28"/>
        <v>1</v>
      </c>
      <c r="F126" s="50">
        <f t="shared" si="29"/>
        <v>0.98780487804878048</v>
      </c>
      <c r="G126" s="51">
        <f t="shared" si="34"/>
        <v>0.58100146647476769</v>
      </c>
      <c r="H126" s="50">
        <f t="shared" si="30"/>
        <v>1.5055706112616682E-4</v>
      </c>
      <c r="I126" s="50">
        <f t="shared" si="35"/>
        <v>4.5408664123956595E-3</v>
      </c>
      <c r="J126" s="50">
        <f t="shared" si="31"/>
        <v>3.9151336437970648E-2</v>
      </c>
      <c r="K126" s="50">
        <f t="shared" si="32"/>
        <v>0.50031186639898717</v>
      </c>
      <c r="L126" s="50">
        <f t="shared" si="33"/>
        <v>0.65327093542830039</v>
      </c>
    </row>
    <row r="127" spans="1:12" ht="14.5" x14ac:dyDescent="0.35">
      <c r="A127" s="7">
        <v>120</v>
      </c>
      <c r="B127" s="12">
        <f>Metodo_Grafico!B127</f>
        <v>3692</v>
      </c>
      <c r="C127" s="13">
        <f>Metodo_Grafico!C127</f>
        <v>1</v>
      </c>
      <c r="D127" s="7">
        <f t="shared" si="27"/>
        <v>81</v>
      </c>
      <c r="E127" s="7">
        <f t="shared" si="28"/>
        <v>1</v>
      </c>
      <c r="F127" s="50">
        <f t="shared" si="29"/>
        <v>0.98765432098765427</v>
      </c>
      <c r="G127" s="51">
        <f t="shared" si="34"/>
        <v>0.57382860886396803</v>
      </c>
      <c r="H127" s="50">
        <f t="shared" si="30"/>
        <v>1.5432098765432098E-4</v>
      </c>
      <c r="I127" s="50">
        <f t="shared" si="35"/>
        <v>4.6951874000499801E-3</v>
      </c>
      <c r="J127" s="50">
        <f t="shared" si="31"/>
        <v>3.9319561170477212E-2</v>
      </c>
      <c r="K127" s="50">
        <f t="shared" si="32"/>
        <v>0.4929476145910851</v>
      </c>
      <c r="L127" s="50">
        <f t="shared" si="33"/>
        <v>0.64653476190260195</v>
      </c>
    </row>
    <row r="128" spans="1:12" ht="14.5" x14ac:dyDescent="0.35">
      <c r="A128" s="7">
        <v>121</v>
      </c>
      <c r="B128" s="12">
        <f>Metodo_Grafico!B128</f>
        <v>3746</v>
      </c>
      <c r="C128" s="13">
        <f>Metodo_Grafico!C128</f>
        <v>1</v>
      </c>
      <c r="D128" s="7">
        <f t="shared" si="27"/>
        <v>80</v>
      </c>
      <c r="E128" s="7">
        <f t="shared" si="28"/>
        <v>1</v>
      </c>
      <c r="F128" s="50">
        <f t="shared" si="29"/>
        <v>0.98750000000000004</v>
      </c>
      <c r="G128" s="51">
        <f t="shared" si="34"/>
        <v>0.56665575125316847</v>
      </c>
      <c r="H128" s="50">
        <f t="shared" si="30"/>
        <v>1.5822784810126583E-4</v>
      </c>
      <c r="I128" s="50">
        <f t="shared" si="35"/>
        <v>4.8534152481512459E-3</v>
      </c>
      <c r="J128" s="50">
        <f t="shared" si="31"/>
        <v>3.9476898598507393E-2</v>
      </c>
      <c r="K128" s="50">
        <f t="shared" si="32"/>
        <v>0.48560623428656435</v>
      </c>
      <c r="L128" s="50">
        <f t="shared" si="33"/>
        <v>0.63977938545851365</v>
      </c>
    </row>
    <row r="129" spans="1:12" ht="14.5" x14ac:dyDescent="0.35">
      <c r="A129" s="7">
        <v>122</v>
      </c>
      <c r="B129" s="12">
        <f>Metodo_Grafico!B129</f>
        <v>3759.1</v>
      </c>
      <c r="C129" s="13">
        <f>Metodo_Grafico!C129</f>
        <v>1</v>
      </c>
      <c r="D129" s="7">
        <f t="shared" si="27"/>
        <v>79</v>
      </c>
      <c r="E129" s="7">
        <f t="shared" si="28"/>
        <v>1</v>
      </c>
      <c r="F129" s="50">
        <f t="shared" si="29"/>
        <v>0.98734177215189878</v>
      </c>
      <c r="G129" s="51">
        <f t="shared" si="34"/>
        <v>0.55948289364236892</v>
      </c>
      <c r="H129" s="50">
        <f t="shared" si="30"/>
        <v>1.6228497241155469E-4</v>
      </c>
      <c r="I129" s="50">
        <f t="shared" si="35"/>
        <v>5.0157002205628003E-3</v>
      </c>
      <c r="J129" s="50">
        <f t="shared" si="31"/>
        <v>3.9623478416627875E-2</v>
      </c>
      <c r="K129" s="50">
        <f t="shared" si="32"/>
        <v>0.47828739576797558</v>
      </c>
      <c r="L129" s="50">
        <f t="shared" si="33"/>
        <v>0.63300499140768118</v>
      </c>
    </row>
    <row r="130" spans="1:12" ht="14.5" x14ac:dyDescent="0.35">
      <c r="A130" s="7">
        <v>123</v>
      </c>
      <c r="B130" s="12">
        <f>Metodo_Grafico!B130</f>
        <v>3811.3</v>
      </c>
      <c r="C130" s="13">
        <f>Metodo_Grafico!C130</f>
        <v>0</v>
      </c>
      <c r="D130" s="7">
        <f t="shared" si="27"/>
        <v>78</v>
      </c>
      <c r="E130" s="7">
        <f t="shared" si="28"/>
        <v>0</v>
      </c>
      <c r="F130" s="50">
        <f t="shared" si="29"/>
        <v>1</v>
      </c>
      <c r="G130" s="51">
        <f t="shared" si="34"/>
        <v>0.55948289364236892</v>
      </c>
      <c r="H130" s="50">
        <f t="shared" si="30"/>
        <v>0</v>
      </c>
      <c r="I130" s="50">
        <f t="shared" si="35"/>
        <v>5.0157002205628003E-3</v>
      </c>
      <c r="J130" s="50">
        <f t="shared" si="31"/>
        <v>3.9623478416627875E-2</v>
      </c>
      <c r="K130" s="50">
        <f t="shared" si="32"/>
        <v>0.47828739576797558</v>
      </c>
      <c r="L130" s="50">
        <f t="shared" si="33"/>
        <v>0.63300499140768118</v>
      </c>
    </row>
    <row r="131" spans="1:12" ht="14.5" x14ac:dyDescent="0.35">
      <c r="A131" s="7">
        <v>124</v>
      </c>
      <c r="B131" s="12">
        <f>Metodo_Grafico!B131</f>
        <v>3856.7</v>
      </c>
      <c r="C131" s="13">
        <f>Metodo_Grafico!C131</f>
        <v>1</v>
      </c>
      <c r="D131" s="7">
        <f t="shared" si="27"/>
        <v>77</v>
      </c>
      <c r="E131" s="7">
        <f t="shared" si="28"/>
        <v>1</v>
      </c>
      <c r="F131" s="50">
        <f t="shared" si="29"/>
        <v>0.98701298701298701</v>
      </c>
      <c r="G131" s="51">
        <f t="shared" si="34"/>
        <v>0.55221688203662389</v>
      </c>
      <c r="H131" s="50">
        <f t="shared" si="30"/>
        <v>1.7088174982911826E-4</v>
      </c>
      <c r="I131" s="50">
        <f t="shared" si="35"/>
        <v>5.1865819703919187E-3</v>
      </c>
      <c r="J131" s="50">
        <f t="shared" si="31"/>
        <v>3.9769515715992583E-2</v>
      </c>
      <c r="K131" s="50">
        <f t="shared" si="32"/>
        <v>0.47087837380408776</v>
      </c>
      <c r="L131" s="50">
        <f t="shared" si="33"/>
        <v>0.62613812035443672</v>
      </c>
    </row>
    <row r="132" spans="1:12" ht="14.5" x14ac:dyDescent="0.35">
      <c r="A132" s="7">
        <v>125</v>
      </c>
      <c r="B132" s="12">
        <f>Metodo_Grafico!B132</f>
        <v>3869.5</v>
      </c>
      <c r="C132" s="13">
        <f>Metodo_Grafico!C132</f>
        <v>1</v>
      </c>
      <c r="D132" s="7">
        <f t="shared" si="27"/>
        <v>76</v>
      </c>
      <c r="E132" s="7">
        <f t="shared" si="28"/>
        <v>1</v>
      </c>
      <c r="F132" s="50">
        <f t="shared" si="29"/>
        <v>0.98684210526315785</v>
      </c>
      <c r="G132" s="51">
        <f t="shared" si="34"/>
        <v>0.54495087043087886</v>
      </c>
      <c r="H132" s="50">
        <f t="shared" si="30"/>
        <v>1.7543859649122806E-4</v>
      </c>
      <c r="I132" s="50">
        <f t="shared" si="35"/>
        <v>5.3620205668831467E-3</v>
      </c>
      <c r="J132" s="50">
        <f t="shared" si="31"/>
        <v>3.9904473797086684E-2</v>
      </c>
      <c r="K132" s="50">
        <f t="shared" si="32"/>
        <v>0.46349260127435904</v>
      </c>
      <c r="L132" s="50">
        <f t="shared" si="33"/>
        <v>0.61925168633796102</v>
      </c>
    </row>
    <row r="133" spans="1:12" ht="14.5" x14ac:dyDescent="0.35">
      <c r="A133" s="7">
        <v>126</v>
      </c>
      <c r="B133" s="12">
        <f>Metodo_Grafico!B133</f>
        <v>3871</v>
      </c>
      <c r="C133" s="13">
        <f>Metodo_Grafico!C133</f>
        <v>1</v>
      </c>
      <c r="D133" s="7">
        <f t="shared" si="27"/>
        <v>75</v>
      </c>
      <c r="E133" s="7">
        <f t="shared" si="28"/>
        <v>1</v>
      </c>
      <c r="F133" s="50">
        <f t="shared" si="29"/>
        <v>0.98666666666666669</v>
      </c>
      <c r="G133" s="51">
        <f t="shared" si="34"/>
        <v>0.53768485882513384</v>
      </c>
      <c r="H133" s="50">
        <f t="shared" si="30"/>
        <v>1.8018018018018018E-4</v>
      </c>
      <c r="I133" s="50">
        <f t="shared" si="35"/>
        <v>5.5422007470633267E-3</v>
      </c>
      <c r="J133" s="50">
        <f t="shared" si="31"/>
        <v>4.0028464722574174E-2</v>
      </c>
      <c r="K133" s="50">
        <f t="shared" si="32"/>
        <v>0.45612978676605337</v>
      </c>
      <c r="L133" s="50">
        <f t="shared" si="33"/>
        <v>0.61234584520000113</v>
      </c>
    </row>
    <row r="134" spans="1:12" ht="14.5" x14ac:dyDescent="0.35">
      <c r="A134" s="7">
        <v>127</v>
      </c>
      <c r="B134" s="12">
        <f>Metodo_Grafico!B134</f>
        <v>3877.4</v>
      </c>
      <c r="C134" s="13">
        <f>Metodo_Grafico!C134</f>
        <v>1</v>
      </c>
      <c r="D134" s="7">
        <f t="shared" si="27"/>
        <v>74</v>
      </c>
      <c r="E134" s="7">
        <f t="shared" si="28"/>
        <v>1</v>
      </c>
      <c r="F134" s="50">
        <f t="shared" si="29"/>
        <v>0.98648648648648651</v>
      </c>
      <c r="G134" s="51">
        <f t="shared" si="34"/>
        <v>0.53041884721938881</v>
      </c>
      <c r="H134" s="50">
        <f t="shared" si="30"/>
        <v>1.8511662347278786E-4</v>
      </c>
      <c r="I134" s="50">
        <f t="shared" si="35"/>
        <v>5.7273173705361148E-3</v>
      </c>
      <c r="J134" s="50">
        <f t="shared" si="31"/>
        <v>4.0141590119931007E-2</v>
      </c>
      <c r="K134" s="50">
        <f t="shared" si="32"/>
        <v>0.44878966431833023</v>
      </c>
      <c r="L134" s="50">
        <f t="shared" si="33"/>
        <v>0.60542073693625464</v>
      </c>
    </row>
    <row r="135" spans="1:12" ht="14.5" x14ac:dyDescent="0.35">
      <c r="A135" s="7">
        <v>128</v>
      </c>
      <c r="B135" s="12">
        <f>Metodo_Grafico!B135</f>
        <v>3890.5</v>
      </c>
      <c r="C135" s="13">
        <f>Metodo_Grafico!C135</f>
        <v>1</v>
      </c>
      <c r="D135" s="7">
        <f t="shared" si="27"/>
        <v>73</v>
      </c>
      <c r="E135" s="7">
        <f t="shared" si="28"/>
        <v>1</v>
      </c>
      <c r="F135" s="50">
        <f t="shared" si="29"/>
        <v>0.98630136986301364</v>
      </c>
      <c r="G135" s="51">
        <f t="shared" si="34"/>
        <v>0.52315283561364379</v>
      </c>
      <c r="H135" s="50">
        <f t="shared" si="30"/>
        <v>1.9025875190258751E-4</v>
      </c>
      <c r="I135" s="50">
        <f t="shared" si="35"/>
        <v>5.9175761224387023E-3</v>
      </c>
      <c r="J135" s="50">
        <f t="shared" si="31"/>
        <v>4.0243941617998984E-2</v>
      </c>
      <c r="K135" s="50">
        <f t="shared" si="32"/>
        <v>0.44147199217357447</v>
      </c>
      <c r="L135" s="50">
        <f t="shared" si="33"/>
        <v>0.59847648625760408</v>
      </c>
    </row>
    <row r="136" spans="1:12" ht="14.5" x14ac:dyDescent="0.35">
      <c r="A136" s="7">
        <v>129</v>
      </c>
      <c r="B136" s="12">
        <f>Metodo_Grafico!B136</f>
        <v>3944</v>
      </c>
      <c r="C136" s="13">
        <f>Metodo_Grafico!C136</f>
        <v>1</v>
      </c>
      <c r="D136" s="7">
        <f t="shared" ref="D136:D167" si="36">$B$4-A136+1</f>
        <v>72</v>
      </c>
      <c r="E136" s="7">
        <f t="shared" ref="E136:E167" si="37">C136</f>
        <v>1</v>
      </c>
      <c r="F136" s="50">
        <f t="shared" ref="F136:F167" si="38">IF(C136=1,(D136-E136)/D136,1)</f>
        <v>0.98611111111111116</v>
      </c>
      <c r="G136" s="51">
        <f t="shared" si="34"/>
        <v>0.51588682400789876</v>
      </c>
      <c r="H136" s="50">
        <f t="shared" ref="H136:H167" si="39">IF(AND(C136=1,D136-E136&gt;0),E136/(D136*(D136-E136)),0)</f>
        <v>1.9561815336463224E-4</v>
      </c>
      <c r="I136" s="50">
        <f t="shared" si="35"/>
        <v>6.1131942758033348E-3</v>
      </c>
      <c r="J136" s="50">
        <f t="shared" ref="J136:J167" si="40">G136*SQRT(I136)</f>
        <v>4.0335601233097658E-2</v>
      </c>
      <c r="K136" s="50">
        <f t="shared" ref="K136:K167" si="41">IF(OR(G136&gt;=1,G136&lt;=0),"",G136^EXP($B$5*SQRT(I136)/ABS(LN(G136))))</f>
        <v>0.4341765516642011</v>
      </c>
      <c r="L136" s="50">
        <f t="shared" ref="L136:L167" si="42">IF(OR(G136&gt;=1,G136&lt;=0),"",G136^EXP(-$B$5*SQRT(I136)/ABS(LN(G136))))</f>
        <v>0.59151320308120947</v>
      </c>
    </row>
    <row r="137" spans="1:12" ht="14.5" x14ac:dyDescent="0.35">
      <c r="A137" s="7">
        <v>130</v>
      </c>
      <c r="B137" s="12">
        <f>Metodo_Grafico!B137</f>
        <v>3955.9</v>
      </c>
      <c r="C137" s="13">
        <f>Metodo_Grafico!C137</f>
        <v>0</v>
      </c>
      <c r="D137" s="7">
        <f t="shared" si="36"/>
        <v>71</v>
      </c>
      <c r="E137" s="7">
        <f t="shared" si="37"/>
        <v>0</v>
      </c>
      <c r="F137" s="50">
        <f t="shared" si="38"/>
        <v>1</v>
      </c>
      <c r="G137" s="51">
        <f t="shared" ref="G137:G168" si="43">G136*F137</f>
        <v>0.51588682400789876</v>
      </c>
      <c r="H137" s="50">
        <f t="shared" si="39"/>
        <v>0</v>
      </c>
      <c r="I137" s="50">
        <f t="shared" ref="I137:I168" si="44">I136+H137</f>
        <v>6.1131942758033348E-3</v>
      </c>
      <c r="J137" s="50">
        <f t="shared" si="40"/>
        <v>4.0335601233097658E-2</v>
      </c>
      <c r="K137" s="50">
        <f t="shared" si="41"/>
        <v>0.4341765516642011</v>
      </c>
      <c r="L137" s="50">
        <f t="shared" si="42"/>
        <v>0.59151320308120947</v>
      </c>
    </row>
    <row r="138" spans="1:12" ht="14.5" x14ac:dyDescent="0.35">
      <c r="A138" s="7">
        <v>131</v>
      </c>
      <c r="B138" s="12">
        <f>Metodo_Grafico!B138</f>
        <v>4030.6</v>
      </c>
      <c r="C138" s="13">
        <f>Metodo_Grafico!C138</f>
        <v>0</v>
      </c>
      <c r="D138" s="7">
        <f t="shared" si="36"/>
        <v>70</v>
      </c>
      <c r="E138" s="7">
        <f t="shared" si="37"/>
        <v>0</v>
      </c>
      <c r="F138" s="50">
        <f t="shared" si="38"/>
        <v>1</v>
      </c>
      <c r="G138" s="51">
        <f t="shared" si="43"/>
        <v>0.51588682400789876</v>
      </c>
      <c r="H138" s="50">
        <f t="shared" si="39"/>
        <v>0</v>
      </c>
      <c r="I138" s="50">
        <f t="shared" si="44"/>
        <v>6.1131942758033348E-3</v>
      </c>
      <c r="J138" s="50">
        <f t="shared" si="40"/>
        <v>4.0335601233097658E-2</v>
      </c>
      <c r="K138" s="50">
        <f t="shared" si="41"/>
        <v>0.4341765516642011</v>
      </c>
      <c r="L138" s="50">
        <f t="shared" si="42"/>
        <v>0.59151320308120947</v>
      </c>
    </row>
    <row r="139" spans="1:12" ht="14.5" x14ac:dyDescent="0.35">
      <c r="A139" s="7">
        <v>132</v>
      </c>
      <c r="B139" s="12">
        <f>Metodo_Grafico!B139</f>
        <v>4042.5</v>
      </c>
      <c r="C139" s="13">
        <f>Metodo_Grafico!C139</f>
        <v>1</v>
      </c>
      <c r="D139" s="7">
        <f t="shared" si="36"/>
        <v>69</v>
      </c>
      <c r="E139" s="7">
        <f t="shared" si="37"/>
        <v>1</v>
      </c>
      <c r="F139" s="50">
        <f t="shared" si="38"/>
        <v>0.98550724637681164</v>
      </c>
      <c r="G139" s="51">
        <f t="shared" si="43"/>
        <v>0.50841020337010312</v>
      </c>
      <c r="H139" s="50">
        <f t="shared" si="39"/>
        <v>2.1312872975277067E-4</v>
      </c>
      <c r="I139" s="50">
        <f t="shared" si="44"/>
        <v>6.3263230055561051E-3</v>
      </c>
      <c r="J139" s="50">
        <f t="shared" si="40"/>
        <v>4.0438025234888819E-2</v>
      </c>
      <c r="K139" s="50">
        <f t="shared" si="41"/>
        <v>0.42665290181422311</v>
      </c>
      <c r="L139" s="50">
        <f t="shared" si="42"/>
        <v>0.5843626557638617</v>
      </c>
    </row>
    <row r="140" spans="1:12" ht="14.5" x14ac:dyDescent="0.35">
      <c r="A140" s="7">
        <v>133</v>
      </c>
      <c r="B140" s="12">
        <f>Metodo_Grafico!B140</f>
        <v>4045.9</v>
      </c>
      <c r="C140" s="13">
        <f>Metodo_Grafico!C140</f>
        <v>0</v>
      </c>
      <c r="D140" s="7">
        <f t="shared" si="36"/>
        <v>68</v>
      </c>
      <c r="E140" s="7">
        <f t="shared" si="37"/>
        <v>0</v>
      </c>
      <c r="F140" s="50">
        <f t="shared" si="38"/>
        <v>1</v>
      </c>
      <c r="G140" s="51">
        <f t="shared" si="43"/>
        <v>0.50841020337010312</v>
      </c>
      <c r="H140" s="50">
        <f t="shared" si="39"/>
        <v>0</v>
      </c>
      <c r="I140" s="50">
        <f t="shared" si="44"/>
        <v>6.3263230055561051E-3</v>
      </c>
      <c r="J140" s="50">
        <f t="shared" si="40"/>
        <v>4.0438025234888819E-2</v>
      </c>
      <c r="K140" s="50">
        <f t="shared" si="41"/>
        <v>0.42665290181422311</v>
      </c>
      <c r="L140" s="50">
        <f t="shared" si="42"/>
        <v>0.5843626557638617</v>
      </c>
    </row>
    <row r="141" spans="1:12" ht="14.5" x14ac:dyDescent="0.35">
      <c r="A141" s="7">
        <v>134</v>
      </c>
      <c r="B141" s="12">
        <f>Metodo_Grafico!B141</f>
        <v>4112.6000000000004</v>
      </c>
      <c r="C141" s="13">
        <f>Metodo_Grafico!C141</f>
        <v>1</v>
      </c>
      <c r="D141" s="7">
        <f t="shared" si="36"/>
        <v>67</v>
      </c>
      <c r="E141" s="7">
        <f t="shared" si="37"/>
        <v>1</v>
      </c>
      <c r="F141" s="50">
        <f t="shared" si="38"/>
        <v>0.9850746268656716</v>
      </c>
      <c r="G141" s="51">
        <f t="shared" si="43"/>
        <v>0.50082199137950456</v>
      </c>
      <c r="H141" s="50">
        <f t="shared" si="39"/>
        <v>2.2614201718679331E-4</v>
      </c>
      <c r="I141" s="50">
        <f t="shared" si="44"/>
        <v>6.5524650227428982E-3</v>
      </c>
      <c r="J141" s="50">
        <f t="shared" si="40"/>
        <v>4.0540186886000404E-2</v>
      </c>
      <c r="K141" s="50">
        <f t="shared" si="41"/>
        <v>0.41902106884046547</v>
      </c>
      <c r="L141" s="50">
        <f t="shared" si="42"/>
        <v>0.57710252112236171</v>
      </c>
    </row>
    <row r="142" spans="1:12" ht="14.5" x14ac:dyDescent="0.35">
      <c r="A142" s="7">
        <v>135</v>
      </c>
      <c r="B142" s="12">
        <f>Metodo_Grafico!B142</f>
        <v>4118.5</v>
      </c>
      <c r="C142" s="13">
        <f>Metodo_Grafico!C142</f>
        <v>1</v>
      </c>
      <c r="D142" s="7">
        <f t="shared" si="36"/>
        <v>66</v>
      </c>
      <c r="E142" s="7">
        <f t="shared" si="37"/>
        <v>1</v>
      </c>
      <c r="F142" s="50">
        <f t="shared" si="38"/>
        <v>0.98484848484848486</v>
      </c>
      <c r="G142" s="51">
        <f t="shared" si="43"/>
        <v>0.493233779388906</v>
      </c>
      <c r="H142" s="50">
        <f t="shared" si="39"/>
        <v>2.331002331002331E-4</v>
      </c>
      <c r="I142" s="50">
        <f t="shared" si="44"/>
        <v>6.7855652558431317E-3</v>
      </c>
      <c r="J142" s="50">
        <f t="shared" si="40"/>
        <v>4.0629906933960416E-2</v>
      </c>
      <c r="K142" s="50">
        <f t="shared" si="41"/>
        <v>0.41141542361543237</v>
      </c>
      <c r="L142" s="50">
        <f t="shared" si="42"/>
        <v>0.56982048823713605</v>
      </c>
    </row>
    <row r="143" spans="1:12" ht="14.5" x14ac:dyDescent="0.35">
      <c r="A143" s="7">
        <v>136</v>
      </c>
      <c r="B143" s="12">
        <f>Metodo_Grafico!B143</f>
        <v>4211.8</v>
      </c>
      <c r="C143" s="13">
        <f>Metodo_Grafico!C143</f>
        <v>0</v>
      </c>
      <c r="D143" s="7">
        <f t="shared" si="36"/>
        <v>65</v>
      </c>
      <c r="E143" s="7">
        <f t="shared" si="37"/>
        <v>0</v>
      </c>
      <c r="F143" s="50">
        <f t="shared" si="38"/>
        <v>1</v>
      </c>
      <c r="G143" s="51">
        <f t="shared" si="43"/>
        <v>0.493233779388906</v>
      </c>
      <c r="H143" s="50">
        <f t="shared" si="39"/>
        <v>0</v>
      </c>
      <c r="I143" s="50">
        <f t="shared" si="44"/>
        <v>6.7855652558431317E-3</v>
      </c>
      <c r="J143" s="50">
        <f t="shared" si="40"/>
        <v>4.0629906933960416E-2</v>
      </c>
      <c r="K143" s="50">
        <f t="shared" si="41"/>
        <v>0.41141542361543237</v>
      </c>
      <c r="L143" s="50">
        <f t="shared" si="42"/>
        <v>0.56982048823713605</v>
      </c>
    </row>
    <row r="144" spans="1:12" ht="14.5" x14ac:dyDescent="0.35">
      <c r="A144" s="7">
        <v>137</v>
      </c>
      <c r="B144" s="12">
        <f>Metodo_Grafico!B144</f>
        <v>4227.1000000000004</v>
      </c>
      <c r="C144" s="13">
        <f>Metodo_Grafico!C144</f>
        <v>1</v>
      </c>
      <c r="D144" s="7">
        <f t="shared" si="36"/>
        <v>64</v>
      </c>
      <c r="E144" s="7">
        <f t="shared" si="37"/>
        <v>1</v>
      </c>
      <c r="F144" s="50">
        <f t="shared" si="38"/>
        <v>0.984375</v>
      </c>
      <c r="G144" s="51">
        <f t="shared" si="43"/>
        <v>0.48552700158595435</v>
      </c>
      <c r="H144" s="50">
        <f t="shared" si="39"/>
        <v>2.48015873015873E-4</v>
      </c>
      <c r="I144" s="50">
        <f t="shared" si="44"/>
        <v>7.0335811288590048E-3</v>
      </c>
      <c r="J144" s="50">
        <f t="shared" si="40"/>
        <v>4.0719425114245186E-2</v>
      </c>
      <c r="K144" s="50">
        <f t="shared" si="41"/>
        <v>0.40369490002884345</v>
      </c>
      <c r="L144" s="50">
        <f t="shared" si="42"/>
        <v>0.56242233831793798</v>
      </c>
    </row>
    <row r="145" spans="1:12" ht="14.5" x14ac:dyDescent="0.35">
      <c r="A145" s="7">
        <v>138</v>
      </c>
      <c r="B145" s="12">
        <f>Metodo_Grafico!B145</f>
        <v>4231.7</v>
      </c>
      <c r="C145" s="13">
        <f>Metodo_Grafico!C145</f>
        <v>1</v>
      </c>
      <c r="D145" s="7">
        <f t="shared" si="36"/>
        <v>63</v>
      </c>
      <c r="E145" s="7">
        <f t="shared" si="37"/>
        <v>1</v>
      </c>
      <c r="F145" s="50">
        <f t="shared" si="38"/>
        <v>0.98412698412698407</v>
      </c>
      <c r="G145" s="51">
        <f t="shared" si="43"/>
        <v>0.47782022378300265</v>
      </c>
      <c r="H145" s="50">
        <f t="shared" si="39"/>
        <v>2.5601638504864311E-4</v>
      </c>
      <c r="I145" s="50">
        <f t="shared" si="44"/>
        <v>7.2895975139076474E-3</v>
      </c>
      <c r="J145" s="50">
        <f t="shared" si="40"/>
        <v>4.0795879688209809E-2</v>
      </c>
      <c r="K145" s="50">
        <f t="shared" si="41"/>
        <v>0.39600190331325597</v>
      </c>
      <c r="L145" s="50">
        <f t="shared" si="42"/>
        <v>0.55500122842327582</v>
      </c>
    </row>
    <row r="146" spans="1:12" ht="14.5" x14ac:dyDescent="0.35">
      <c r="A146" s="7">
        <v>139</v>
      </c>
      <c r="B146" s="12">
        <f>Metodo_Grafico!B146</f>
        <v>4265.7</v>
      </c>
      <c r="C146" s="13">
        <f>Metodo_Grafico!C146</f>
        <v>0</v>
      </c>
      <c r="D146" s="7">
        <f t="shared" si="36"/>
        <v>62</v>
      </c>
      <c r="E146" s="7">
        <f t="shared" si="37"/>
        <v>0</v>
      </c>
      <c r="F146" s="50">
        <f t="shared" si="38"/>
        <v>1</v>
      </c>
      <c r="G146" s="51">
        <f t="shared" si="43"/>
        <v>0.47782022378300265</v>
      </c>
      <c r="H146" s="50">
        <f t="shared" si="39"/>
        <v>0</v>
      </c>
      <c r="I146" s="50">
        <f t="shared" si="44"/>
        <v>7.2895975139076474E-3</v>
      </c>
      <c r="J146" s="50">
        <f t="shared" si="40"/>
        <v>4.0795879688209809E-2</v>
      </c>
      <c r="K146" s="50">
        <f t="shared" si="41"/>
        <v>0.39600190331325597</v>
      </c>
      <c r="L146" s="50">
        <f t="shared" si="42"/>
        <v>0.55500122842327582</v>
      </c>
    </row>
    <row r="147" spans="1:12" ht="14.5" x14ac:dyDescent="0.35">
      <c r="A147" s="7">
        <v>140</v>
      </c>
      <c r="B147" s="12">
        <f>Metodo_Grafico!B147</f>
        <v>4301.7</v>
      </c>
      <c r="C147" s="13">
        <f>Metodo_Grafico!C147</f>
        <v>0</v>
      </c>
      <c r="D147" s="7">
        <f t="shared" si="36"/>
        <v>61</v>
      </c>
      <c r="E147" s="7">
        <f t="shared" si="37"/>
        <v>0</v>
      </c>
      <c r="F147" s="50">
        <f t="shared" si="38"/>
        <v>1</v>
      </c>
      <c r="G147" s="51">
        <f t="shared" si="43"/>
        <v>0.47782022378300265</v>
      </c>
      <c r="H147" s="50">
        <f t="shared" si="39"/>
        <v>0</v>
      </c>
      <c r="I147" s="50">
        <f t="shared" si="44"/>
        <v>7.2895975139076474E-3</v>
      </c>
      <c r="J147" s="50">
        <f t="shared" si="40"/>
        <v>4.0795879688209809E-2</v>
      </c>
      <c r="K147" s="50">
        <f t="shared" si="41"/>
        <v>0.39600190331325597</v>
      </c>
      <c r="L147" s="50">
        <f t="shared" si="42"/>
        <v>0.55500122842327582</v>
      </c>
    </row>
    <row r="148" spans="1:12" ht="14.5" x14ac:dyDescent="0.35">
      <c r="A148" s="7">
        <v>141</v>
      </c>
      <c r="B148" s="12">
        <f>Metodo_Grafico!B148</f>
        <v>4302.3999999999996</v>
      </c>
      <c r="C148" s="13">
        <f>Metodo_Grafico!C148</f>
        <v>1</v>
      </c>
      <c r="D148" s="7">
        <f t="shared" si="36"/>
        <v>60</v>
      </c>
      <c r="E148" s="7">
        <f t="shared" si="37"/>
        <v>1</v>
      </c>
      <c r="F148" s="50">
        <f t="shared" si="38"/>
        <v>0.98333333333333328</v>
      </c>
      <c r="G148" s="51">
        <f t="shared" si="43"/>
        <v>0.46985655338661925</v>
      </c>
      <c r="H148" s="50">
        <f t="shared" si="39"/>
        <v>2.824858757062147E-4</v>
      </c>
      <c r="I148" s="50">
        <f t="shared" si="44"/>
        <v>7.5720833896138623E-3</v>
      </c>
      <c r="J148" s="50">
        <f t="shared" si="40"/>
        <v>4.0885845450969585E-2</v>
      </c>
      <c r="K148" s="50">
        <f t="shared" si="41"/>
        <v>0.38803123089187885</v>
      </c>
      <c r="L148" s="50">
        <f t="shared" si="42"/>
        <v>0.54735354656839474</v>
      </c>
    </row>
    <row r="149" spans="1:12" ht="14.5" x14ac:dyDescent="0.35">
      <c r="A149" s="7">
        <v>142</v>
      </c>
      <c r="B149" s="12">
        <f>Metodo_Grafico!B149</f>
        <v>4387</v>
      </c>
      <c r="C149" s="13">
        <f>Metodo_Grafico!C149</f>
        <v>1</v>
      </c>
      <c r="D149" s="7">
        <f t="shared" si="36"/>
        <v>59</v>
      </c>
      <c r="E149" s="7">
        <f t="shared" si="37"/>
        <v>1</v>
      </c>
      <c r="F149" s="50">
        <f t="shared" si="38"/>
        <v>0.98305084745762716</v>
      </c>
      <c r="G149" s="51">
        <f t="shared" si="43"/>
        <v>0.4618928829902359</v>
      </c>
      <c r="H149" s="50">
        <f t="shared" si="39"/>
        <v>2.9222676797194621E-4</v>
      </c>
      <c r="I149" s="50">
        <f t="shared" si="44"/>
        <v>7.8643101575858083E-3</v>
      </c>
      <c r="J149" s="50">
        <f t="shared" si="40"/>
        <v>4.0961097746872066E-2</v>
      </c>
      <c r="K149" s="50">
        <f t="shared" si="41"/>
        <v>0.38009176951491064</v>
      </c>
      <c r="L149" s="50">
        <f t="shared" si="42"/>
        <v>0.53968017998048845</v>
      </c>
    </row>
    <row r="150" spans="1:12" ht="14.5" x14ac:dyDescent="0.35">
      <c r="A150" s="7">
        <v>143</v>
      </c>
      <c r="B150" s="12">
        <f>Metodo_Grafico!B150</f>
        <v>4487.2</v>
      </c>
      <c r="C150" s="13">
        <f>Metodo_Grafico!C150</f>
        <v>0</v>
      </c>
      <c r="D150" s="7">
        <f t="shared" si="36"/>
        <v>58</v>
      </c>
      <c r="E150" s="7">
        <f t="shared" si="37"/>
        <v>0</v>
      </c>
      <c r="F150" s="50">
        <f t="shared" si="38"/>
        <v>1</v>
      </c>
      <c r="G150" s="51">
        <f t="shared" si="43"/>
        <v>0.4618928829902359</v>
      </c>
      <c r="H150" s="50">
        <f t="shared" si="39"/>
        <v>0</v>
      </c>
      <c r="I150" s="50">
        <f t="shared" si="44"/>
        <v>7.8643101575858083E-3</v>
      </c>
      <c r="J150" s="50">
        <f t="shared" si="40"/>
        <v>4.0961097746872066E-2</v>
      </c>
      <c r="K150" s="50">
        <f t="shared" si="41"/>
        <v>0.38009176951491064</v>
      </c>
      <c r="L150" s="50">
        <f t="shared" si="42"/>
        <v>0.53968017998048845</v>
      </c>
    </row>
    <row r="151" spans="1:12" ht="14.5" x14ac:dyDescent="0.35">
      <c r="A151" s="7">
        <v>144</v>
      </c>
      <c r="B151" s="12">
        <f>Metodo_Grafico!B151</f>
        <v>4531.3999999999996</v>
      </c>
      <c r="C151" s="13">
        <f>Metodo_Grafico!C151</f>
        <v>1</v>
      </c>
      <c r="D151" s="7">
        <f t="shared" si="36"/>
        <v>57</v>
      </c>
      <c r="E151" s="7">
        <f t="shared" si="37"/>
        <v>1</v>
      </c>
      <c r="F151" s="50">
        <f t="shared" si="38"/>
        <v>0.98245614035087714</v>
      </c>
      <c r="G151" s="51">
        <f t="shared" si="43"/>
        <v>0.45378949907812649</v>
      </c>
      <c r="H151" s="50">
        <f t="shared" si="39"/>
        <v>3.1328320802005011E-4</v>
      </c>
      <c r="I151" s="50">
        <f t="shared" si="44"/>
        <v>8.1775933656058584E-3</v>
      </c>
      <c r="J151" s="50">
        <f t="shared" si="40"/>
        <v>4.1036205642384992E-2</v>
      </c>
      <c r="K151" s="50">
        <f t="shared" si="41"/>
        <v>0.37201753328537257</v>
      </c>
      <c r="L151" s="50">
        <f t="shared" si="42"/>
        <v>0.53187079738896503</v>
      </c>
    </row>
    <row r="152" spans="1:12" ht="14.5" x14ac:dyDescent="0.35">
      <c r="A152" s="7">
        <v>145</v>
      </c>
      <c r="B152" s="12">
        <f>Metodo_Grafico!B152</f>
        <v>4533.2</v>
      </c>
      <c r="C152" s="13">
        <f>Metodo_Grafico!C152</f>
        <v>1</v>
      </c>
      <c r="D152" s="7">
        <f t="shared" si="36"/>
        <v>56</v>
      </c>
      <c r="E152" s="7">
        <f t="shared" si="37"/>
        <v>1</v>
      </c>
      <c r="F152" s="50">
        <f t="shared" si="38"/>
        <v>0.9821428571428571</v>
      </c>
      <c r="G152" s="51">
        <f t="shared" si="43"/>
        <v>0.44568611516601708</v>
      </c>
      <c r="H152" s="50">
        <f t="shared" si="39"/>
        <v>3.2467532467532468E-4</v>
      </c>
      <c r="I152" s="50">
        <f t="shared" si="44"/>
        <v>8.5022686902811832E-3</v>
      </c>
      <c r="J152" s="50">
        <f t="shared" si="40"/>
        <v>4.1095712750355409E-2</v>
      </c>
      <c r="K152" s="50">
        <f t="shared" si="41"/>
        <v>0.36397639718366559</v>
      </c>
      <c r="L152" s="50">
        <f t="shared" si="42"/>
        <v>0.52403420907365594</v>
      </c>
    </row>
    <row r="153" spans="1:12" ht="14.5" x14ac:dyDescent="0.35">
      <c r="A153" s="7">
        <v>146</v>
      </c>
      <c r="B153" s="12">
        <f>Metodo_Grafico!B153</f>
        <v>4583.6000000000004</v>
      </c>
      <c r="C153" s="13">
        <f>Metodo_Grafico!C153</f>
        <v>1</v>
      </c>
      <c r="D153" s="7">
        <f t="shared" si="36"/>
        <v>55</v>
      </c>
      <c r="E153" s="7">
        <f t="shared" si="37"/>
        <v>1</v>
      </c>
      <c r="F153" s="50">
        <f t="shared" si="38"/>
        <v>0.98181818181818181</v>
      </c>
      <c r="G153" s="51">
        <f t="shared" si="43"/>
        <v>0.43758273125390768</v>
      </c>
      <c r="H153" s="50">
        <f t="shared" si="39"/>
        <v>3.3670033670033672E-4</v>
      </c>
      <c r="I153" s="50">
        <f t="shared" si="44"/>
        <v>8.8389690269815198E-3</v>
      </c>
      <c r="J153" s="50">
        <f t="shared" si="40"/>
        <v>4.1139686768808185E-2</v>
      </c>
      <c r="K153" s="50">
        <f t="shared" si="41"/>
        <v>0.35596812427281044</v>
      </c>
      <c r="L153" s="50">
        <f t="shared" si="42"/>
        <v>0.51617047411407446</v>
      </c>
    </row>
    <row r="154" spans="1:12" ht="14.5" x14ac:dyDescent="0.35">
      <c r="A154" s="7">
        <v>147</v>
      </c>
      <c r="B154" s="12">
        <f>Metodo_Grafico!B154</f>
        <v>4618</v>
      </c>
      <c r="C154" s="13">
        <f>Metodo_Grafico!C154</f>
        <v>1</v>
      </c>
      <c r="D154" s="7">
        <f t="shared" si="36"/>
        <v>54</v>
      </c>
      <c r="E154" s="7">
        <f t="shared" si="37"/>
        <v>1</v>
      </c>
      <c r="F154" s="50">
        <f t="shared" si="38"/>
        <v>0.98148148148148151</v>
      </c>
      <c r="G154" s="51">
        <f t="shared" si="43"/>
        <v>0.42947934734179827</v>
      </c>
      <c r="H154" s="50">
        <f t="shared" si="39"/>
        <v>3.4940600978336826E-4</v>
      </c>
      <c r="I154" s="50">
        <f t="shared" si="44"/>
        <v>9.1883750367648884E-3</v>
      </c>
      <c r="J154" s="50">
        <f t="shared" si="40"/>
        <v>4.1168177473042099E-2</v>
      </c>
      <c r="K154" s="50">
        <f t="shared" si="41"/>
        <v>0.34799251937357156</v>
      </c>
      <c r="L154" s="50">
        <f t="shared" si="42"/>
        <v>0.50827962319221254</v>
      </c>
    </row>
    <row r="155" spans="1:12" ht="14.5" x14ac:dyDescent="0.35">
      <c r="A155" s="7">
        <v>148</v>
      </c>
      <c r="B155" s="12">
        <f>Metodo_Grafico!B155</f>
        <v>4625</v>
      </c>
      <c r="C155" s="13">
        <f>Metodo_Grafico!C155</f>
        <v>0</v>
      </c>
      <c r="D155" s="7">
        <f t="shared" si="36"/>
        <v>53</v>
      </c>
      <c r="E155" s="7">
        <f t="shared" si="37"/>
        <v>0</v>
      </c>
      <c r="F155" s="50">
        <f t="shared" si="38"/>
        <v>1</v>
      </c>
      <c r="G155" s="51">
        <f t="shared" si="43"/>
        <v>0.42947934734179827</v>
      </c>
      <c r="H155" s="50">
        <f t="shared" si="39"/>
        <v>0</v>
      </c>
      <c r="I155" s="50">
        <f t="shared" si="44"/>
        <v>9.1883750367648884E-3</v>
      </c>
      <c r="J155" s="50">
        <f t="shared" si="40"/>
        <v>4.1168177473042099E-2</v>
      </c>
      <c r="K155" s="50">
        <f t="shared" si="41"/>
        <v>0.34799251937357156</v>
      </c>
      <c r="L155" s="50">
        <f t="shared" si="42"/>
        <v>0.50827962319221254</v>
      </c>
    </row>
    <row r="156" spans="1:12" ht="14.5" x14ac:dyDescent="0.35">
      <c r="A156" s="7">
        <v>149</v>
      </c>
      <c r="B156" s="12">
        <f>Metodo_Grafico!B156</f>
        <v>4660.7</v>
      </c>
      <c r="C156" s="13">
        <f>Metodo_Grafico!C156</f>
        <v>0</v>
      </c>
      <c r="D156" s="7">
        <f t="shared" si="36"/>
        <v>52</v>
      </c>
      <c r="E156" s="7">
        <f t="shared" si="37"/>
        <v>0</v>
      </c>
      <c r="F156" s="50">
        <f t="shared" si="38"/>
        <v>1</v>
      </c>
      <c r="G156" s="51">
        <f t="shared" si="43"/>
        <v>0.42947934734179827</v>
      </c>
      <c r="H156" s="50">
        <f t="shared" si="39"/>
        <v>0</v>
      </c>
      <c r="I156" s="50">
        <f t="shared" si="44"/>
        <v>9.1883750367648884E-3</v>
      </c>
      <c r="J156" s="50">
        <f t="shared" si="40"/>
        <v>4.1168177473042099E-2</v>
      </c>
      <c r="K156" s="50">
        <f t="shared" si="41"/>
        <v>0.34799251937357156</v>
      </c>
      <c r="L156" s="50">
        <f t="shared" si="42"/>
        <v>0.50827962319221254</v>
      </c>
    </row>
    <row r="157" spans="1:12" ht="14.5" x14ac:dyDescent="0.35">
      <c r="A157" s="7">
        <v>150</v>
      </c>
      <c r="B157" s="12">
        <f>Metodo_Grafico!B157</f>
        <v>4669.2</v>
      </c>
      <c r="C157" s="13">
        <f>Metodo_Grafico!C157</f>
        <v>1</v>
      </c>
      <c r="D157" s="7">
        <f t="shared" si="36"/>
        <v>51</v>
      </c>
      <c r="E157" s="7">
        <f t="shared" si="37"/>
        <v>1</v>
      </c>
      <c r="F157" s="50">
        <f t="shared" si="38"/>
        <v>0.98039215686274506</v>
      </c>
      <c r="G157" s="51">
        <f t="shared" si="43"/>
        <v>0.42105818366842968</v>
      </c>
      <c r="H157" s="50">
        <f t="shared" si="39"/>
        <v>3.9215686274509802E-4</v>
      </c>
      <c r="I157" s="50">
        <f t="shared" si="44"/>
        <v>9.5805318995099871E-3</v>
      </c>
      <c r="J157" s="50">
        <f t="shared" si="40"/>
        <v>4.1213255674699821E-2</v>
      </c>
      <c r="K157" s="50">
        <f t="shared" si="41"/>
        <v>0.33967574681657275</v>
      </c>
      <c r="L157" s="50">
        <f t="shared" si="42"/>
        <v>0.50010998063496515</v>
      </c>
    </row>
    <row r="158" spans="1:12" ht="14.5" x14ac:dyDescent="0.35">
      <c r="A158" s="7">
        <v>151</v>
      </c>
      <c r="B158" s="12">
        <f>Metodo_Grafico!B158</f>
        <v>4729.8</v>
      </c>
      <c r="C158" s="13">
        <f>Metodo_Grafico!C158</f>
        <v>1</v>
      </c>
      <c r="D158" s="7">
        <f t="shared" si="36"/>
        <v>50</v>
      </c>
      <c r="E158" s="7">
        <f t="shared" si="37"/>
        <v>1</v>
      </c>
      <c r="F158" s="50">
        <f t="shared" si="38"/>
        <v>0.98</v>
      </c>
      <c r="G158" s="51">
        <f t="shared" si="43"/>
        <v>0.41263701999506108</v>
      </c>
      <c r="H158" s="50">
        <f t="shared" si="39"/>
        <v>4.0816326530612246E-4</v>
      </c>
      <c r="I158" s="50">
        <f t="shared" si="44"/>
        <v>9.9886951648161092E-3</v>
      </c>
      <c r="J158" s="50">
        <f t="shared" si="40"/>
        <v>4.1240371436428197E-2</v>
      </c>
      <c r="K158" s="50">
        <f t="shared" si="41"/>
        <v>0.33139711841024866</v>
      </c>
      <c r="L158" s="50">
        <f t="shared" si="42"/>
        <v>0.49190910625271095</v>
      </c>
    </row>
    <row r="159" spans="1:12" ht="14.5" x14ac:dyDescent="0.35">
      <c r="A159" s="7">
        <v>152</v>
      </c>
      <c r="B159" s="12">
        <f>Metodo_Grafico!B159</f>
        <v>4776.7</v>
      </c>
      <c r="C159" s="13">
        <f>Metodo_Grafico!C159</f>
        <v>1</v>
      </c>
      <c r="D159" s="7">
        <f t="shared" si="36"/>
        <v>49</v>
      </c>
      <c r="E159" s="7">
        <f t="shared" si="37"/>
        <v>1</v>
      </c>
      <c r="F159" s="50">
        <f t="shared" si="38"/>
        <v>0.97959183673469385</v>
      </c>
      <c r="G159" s="51">
        <f t="shared" si="43"/>
        <v>0.40421585632169249</v>
      </c>
      <c r="H159" s="50">
        <f t="shared" si="39"/>
        <v>4.2517006802721087E-4</v>
      </c>
      <c r="I159" s="50">
        <f t="shared" si="44"/>
        <v>1.0413865232843321E-2</v>
      </c>
      <c r="J159" s="50">
        <f t="shared" si="40"/>
        <v>4.1249560181546768E-2</v>
      </c>
      <c r="K159" s="50">
        <f t="shared" si="41"/>
        <v>0.32315644638548113</v>
      </c>
      <c r="L159" s="50">
        <f t="shared" si="42"/>
        <v>0.48367699569785111</v>
      </c>
    </row>
    <row r="160" spans="1:12" ht="14.5" x14ac:dyDescent="0.35">
      <c r="A160" s="7">
        <v>153</v>
      </c>
      <c r="B160" s="12">
        <f>Metodo_Grafico!B160</f>
        <v>4805.7</v>
      </c>
      <c r="C160" s="13">
        <f>Metodo_Grafico!C160</f>
        <v>0</v>
      </c>
      <c r="D160" s="7">
        <f t="shared" si="36"/>
        <v>48</v>
      </c>
      <c r="E160" s="7">
        <f t="shared" si="37"/>
        <v>0</v>
      </c>
      <c r="F160" s="50">
        <f t="shared" si="38"/>
        <v>1</v>
      </c>
      <c r="G160" s="51">
        <f t="shared" si="43"/>
        <v>0.40421585632169249</v>
      </c>
      <c r="H160" s="50">
        <f t="shared" si="39"/>
        <v>0</v>
      </c>
      <c r="I160" s="50">
        <f t="shared" si="44"/>
        <v>1.0413865232843321E-2</v>
      </c>
      <c r="J160" s="50">
        <f t="shared" si="40"/>
        <v>4.1249560181546768E-2</v>
      </c>
      <c r="K160" s="50">
        <f t="shared" si="41"/>
        <v>0.32315644638548113</v>
      </c>
      <c r="L160" s="50">
        <f t="shared" si="42"/>
        <v>0.48367699569785111</v>
      </c>
    </row>
    <row r="161" spans="1:12" ht="14.5" x14ac:dyDescent="0.35">
      <c r="A161" s="7">
        <v>154</v>
      </c>
      <c r="B161" s="12">
        <f>Metodo_Grafico!B161</f>
        <v>4825.8999999999996</v>
      </c>
      <c r="C161" s="13">
        <f>Metodo_Grafico!C161</f>
        <v>1</v>
      </c>
      <c r="D161" s="7">
        <f t="shared" si="36"/>
        <v>47</v>
      </c>
      <c r="E161" s="7">
        <f t="shared" si="37"/>
        <v>1</v>
      </c>
      <c r="F161" s="50">
        <f t="shared" si="38"/>
        <v>0.97872340425531912</v>
      </c>
      <c r="G161" s="51">
        <f t="shared" si="43"/>
        <v>0.39561551895314584</v>
      </c>
      <c r="H161" s="50">
        <f t="shared" si="39"/>
        <v>4.6253469010175765E-4</v>
      </c>
      <c r="I161" s="50">
        <f t="shared" si="44"/>
        <v>1.0876399922945078E-2</v>
      </c>
      <c r="J161" s="50">
        <f t="shared" si="40"/>
        <v>4.1258734548966038E-2</v>
      </c>
      <c r="K161" s="50">
        <f t="shared" si="41"/>
        <v>0.31474394197365257</v>
      </c>
      <c r="L161" s="50">
        <f t="shared" si="42"/>
        <v>0.47527197938601656</v>
      </c>
    </row>
    <row r="162" spans="1:12" ht="14.5" x14ac:dyDescent="0.35">
      <c r="A162" s="7">
        <v>155</v>
      </c>
      <c r="B162" s="12">
        <f>Metodo_Grafico!B162</f>
        <v>4830</v>
      </c>
      <c r="C162" s="13">
        <f>Metodo_Grafico!C162</f>
        <v>0</v>
      </c>
      <c r="D162" s="7">
        <f t="shared" si="36"/>
        <v>46</v>
      </c>
      <c r="E162" s="7">
        <f t="shared" si="37"/>
        <v>0</v>
      </c>
      <c r="F162" s="50">
        <f t="shared" si="38"/>
        <v>1</v>
      </c>
      <c r="G162" s="51">
        <f t="shared" si="43"/>
        <v>0.39561551895314584</v>
      </c>
      <c r="H162" s="50">
        <f t="shared" si="39"/>
        <v>0</v>
      </c>
      <c r="I162" s="50">
        <f t="shared" si="44"/>
        <v>1.0876399922945078E-2</v>
      </c>
      <c r="J162" s="50">
        <f t="shared" si="40"/>
        <v>4.1258734548966038E-2</v>
      </c>
      <c r="K162" s="50">
        <f t="shared" si="41"/>
        <v>0.31474394197365257</v>
      </c>
      <c r="L162" s="50">
        <f t="shared" si="42"/>
        <v>0.47527197938601656</v>
      </c>
    </row>
    <row r="163" spans="1:12" ht="14.5" x14ac:dyDescent="0.35">
      <c r="A163" s="7">
        <v>156</v>
      </c>
      <c r="B163" s="12">
        <f>Metodo_Grafico!B163</f>
        <v>4848.8999999999996</v>
      </c>
      <c r="C163" s="13">
        <f>Metodo_Grafico!C163</f>
        <v>0</v>
      </c>
      <c r="D163" s="7">
        <f t="shared" si="36"/>
        <v>45</v>
      </c>
      <c r="E163" s="7">
        <f t="shared" si="37"/>
        <v>0</v>
      </c>
      <c r="F163" s="50">
        <f t="shared" si="38"/>
        <v>1</v>
      </c>
      <c r="G163" s="51">
        <f t="shared" si="43"/>
        <v>0.39561551895314584</v>
      </c>
      <c r="H163" s="50">
        <f t="shared" si="39"/>
        <v>0</v>
      </c>
      <c r="I163" s="50">
        <f t="shared" si="44"/>
        <v>1.0876399922945078E-2</v>
      </c>
      <c r="J163" s="50">
        <f t="shared" si="40"/>
        <v>4.1258734548966038E-2</v>
      </c>
      <c r="K163" s="50">
        <f t="shared" si="41"/>
        <v>0.31474394197365257</v>
      </c>
      <c r="L163" s="50">
        <f t="shared" si="42"/>
        <v>0.47527197938601656</v>
      </c>
    </row>
    <row r="164" spans="1:12" ht="14.5" x14ac:dyDescent="0.35">
      <c r="A164" s="7">
        <v>157</v>
      </c>
      <c r="B164" s="12">
        <f>Metodo_Grafico!B164</f>
        <v>4855.8</v>
      </c>
      <c r="C164" s="13">
        <f>Metodo_Grafico!C164</f>
        <v>1</v>
      </c>
      <c r="D164" s="7">
        <f t="shared" si="36"/>
        <v>44</v>
      </c>
      <c r="E164" s="7">
        <f t="shared" si="37"/>
        <v>1</v>
      </c>
      <c r="F164" s="50">
        <f t="shared" si="38"/>
        <v>0.97727272727272729</v>
      </c>
      <c r="G164" s="51">
        <f t="shared" si="43"/>
        <v>0.38662425715875615</v>
      </c>
      <c r="H164" s="50">
        <f t="shared" si="39"/>
        <v>5.2854122621564484E-4</v>
      </c>
      <c r="I164" s="50">
        <f t="shared" si="44"/>
        <v>1.1404941149160724E-2</v>
      </c>
      <c r="J164" s="50">
        <f t="shared" si="40"/>
        <v>4.1289119627395045E-2</v>
      </c>
      <c r="K164" s="50">
        <f t="shared" si="41"/>
        <v>0.30591270341485888</v>
      </c>
      <c r="L164" s="50">
        <f t="shared" si="42"/>
        <v>0.46652766474413104</v>
      </c>
    </row>
    <row r="165" spans="1:12" ht="14.5" x14ac:dyDescent="0.35">
      <c r="A165" s="7">
        <v>158</v>
      </c>
      <c r="B165" s="12">
        <f>Metodo_Grafico!B165</f>
        <v>4920.8</v>
      </c>
      <c r="C165" s="13">
        <f>Metodo_Grafico!C165</f>
        <v>0</v>
      </c>
      <c r="D165" s="7">
        <f t="shared" si="36"/>
        <v>43</v>
      </c>
      <c r="E165" s="7">
        <f t="shared" si="37"/>
        <v>0</v>
      </c>
      <c r="F165" s="50">
        <f t="shared" si="38"/>
        <v>1</v>
      </c>
      <c r="G165" s="51">
        <f t="shared" si="43"/>
        <v>0.38662425715875615</v>
      </c>
      <c r="H165" s="50">
        <f t="shared" si="39"/>
        <v>0</v>
      </c>
      <c r="I165" s="50">
        <f t="shared" si="44"/>
        <v>1.1404941149160724E-2</v>
      </c>
      <c r="J165" s="50">
        <f t="shared" si="40"/>
        <v>4.1289119627395045E-2</v>
      </c>
      <c r="K165" s="50">
        <f t="shared" si="41"/>
        <v>0.30591270341485888</v>
      </c>
      <c r="L165" s="50">
        <f t="shared" si="42"/>
        <v>0.46652766474413104</v>
      </c>
    </row>
    <row r="166" spans="1:12" ht="14.5" x14ac:dyDescent="0.35">
      <c r="A166" s="7">
        <v>159</v>
      </c>
      <c r="B166" s="12">
        <f>Metodo_Grafico!B166</f>
        <v>5061.8</v>
      </c>
      <c r="C166" s="13">
        <f>Metodo_Grafico!C166</f>
        <v>1</v>
      </c>
      <c r="D166" s="7">
        <f t="shared" si="36"/>
        <v>42</v>
      </c>
      <c r="E166" s="7">
        <f t="shared" si="37"/>
        <v>1</v>
      </c>
      <c r="F166" s="50">
        <f t="shared" si="38"/>
        <v>0.97619047619047616</v>
      </c>
      <c r="G166" s="51">
        <f t="shared" si="43"/>
        <v>0.37741891770259528</v>
      </c>
      <c r="H166" s="50">
        <f t="shared" si="39"/>
        <v>5.8072009291521487E-4</v>
      </c>
      <c r="I166" s="50">
        <f t="shared" si="44"/>
        <v>1.1985661242075939E-2</v>
      </c>
      <c r="J166" s="50">
        <f t="shared" si="40"/>
        <v>4.131946258531892E-2</v>
      </c>
      <c r="K166" s="50">
        <f t="shared" si="41"/>
        <v>0.29687780699258481</v>
      </c>
      <c r="L166" s="50">
        <f t="shared" si="42"/>
        <v>0.45757807422693375</v>
      </c>
    </row>
    <row r="167" spans="1:12" ht="14.5" x14ac:dyDescent="0.35">
      <c r="A167" s="7">
        <v>160</v>
      </c>
      <c r="B167" s="12">
        <f>Metodo_Grafico!B167</f>
        <v>5102</v>
      </c>
      <c r="C167" s="13">
        <f>Metodo_Grafico!C167</f>
        <v>1</v>
      </c>
      <c r="D167" s="7">
        <f t="shared" si="36"/>
        <v>41</v>
      </c>
      <c r="E167" s="7">
        <f t="shared" si="37"/>
        <v>1</v>
      </c>
      <c r="F167" s="50">
        <f t="shared" si="38"/>
        <v>0.97560975609756095</v>
      </c>
      <c r="G167" s="51">
        <f t="shared" si="43"/>
        <v>0.36821357824643441</v>
      </c>
      <c r="H167" s="50">
        <f t="shared" si="39"/>
        <v>6.0975609756097561E-4</v>
      </c>
      <c r="I167" s="50">
        <f t="shared" si="44"/>
        <v>1.2595417339636915E-2</v>
      </c>
      <c r="J167" s="50">
        <f t="shared" si="40"/>
        <v>4.1324354698079192E-2</v>
      </c>
      <c r="K167" s="50">
        <f t="shared" si="41"/>
        <v>0.28789736225588625</v>
      </c>
      <c r="L167" s="50">
        <f t="shared" si="42"/>
        <v>0.44858472518696479</v>
      </c>
    </row>
    <row r="168" spans="1:12" ht="14.5" x14ac:dyDescent="0.35">
      <c r="A168" s="7">
        <v>161</v>
      </c>
      <c r="B168" s="12">
        <f>Metodo_Grafico!B168</f>
        <v>5177</v>
      </c>
      <c r="C168" s="13">
        <f>Metodo_Grafico!C168</f>
        <v>1</v>
      </c>
      <c r="D168" s="7">
        <f t="shared" ref="D168:D199" si="45">$B$4-A168+1</f>
        <v>40</v>
      </c>
      <c r="E168" s="7">
        <f t="shared" ref="E168:E199" si="46">C168</f>
        <v>1</v>
      </c>
      <c r="F168" s="50">
        <f t="shared" ref="F168:F199" si="47">IF(C168=1,(D168-E168)/D168,1)</f>
        <v>0.97499999999999998</v>
      </c>
      <c r="G168" s="51">
        <f t="shared" si="43"/>
        <v>0.35900823879027355</v>
      </c>
      <c r="H168" s="50">
        <f t="shared" ref="H168:H199" si="48">IF(AND(C168=1,D168-E168&gt;0),E168/(D168*(D168-E168)),0)</f>
        <v>6.4102564102564103E-4</v>
      </c>
      <c r="I168" s="50">
        <f t="shared" si="44"/>
        <v>1.3236442980662556E-2</v>
      </c>
      <c r="J168" s="50">
        <f t="shared" ref="J168:J199" si="49">G168*SQRT(I168)</f>
        <v>4.13038050090377E-2</v>
      </c>
      <c r="K168" s="50">
        <f t="shared" ref="K168:K199" si="50">IF(OR(G168&gt;=1,G168&lt;=0),"",G168^EXP($B$5*SQRT(I168)/ABS(LN(G168))))</f>
        <v>0.27897115996614014</v>
      </c>
      <c r="L168" s="50">
        <f t="shared" ref="L168:L199" si="51">IF(OR(G168&gt;=1,G168&lt;=0),"",G168^EXP(-$B$5*SQRT(I168)/ABS(LN(G168))))</f>
        <v>0.43954754001567992</v>
      </c>
    </row>
    <row r="169" spans="1:12" ht="14.5" x14ac:dyDescent="0.35">
      <c r="A169" s="7">
        <v>162</v>
      </c>
      <c r="B169" s="12">
        <f>Metodo_Grafico!B169</f>
        <v>5202.6000000000004</v>
      </c>
      <c r="C169" s="13">
        <f>Metodo_Grafico!C169</f>
        <v>0</v>
      </c>
      <c r="D169" s="7">
        <f t="shared" si="45"/>
        <v>39</v>
      </c>
      <c r="E169" s="7">
        <f t="shared" si="46"/>
        <v>0</v>
      </c>
      <c r="F169" s="50">
        <f t="shared" si="47"/>
        <v>1</v>
      </c>
      <c r="G169" s="51">
        <f t="shared" ref="G169:G200" si="52">G168*F169</f>
        <v>0.35900823879027355</v>
      </c>
      <c r="H169" s="50">
        <f t="shared" si="48"/>
        <v>0</v>
      </c>
      <c r="I169" s="50">
        <f t="shared" ref="I169:I200" si="53">I168+H169</f>
        <v>1.3236442980662556E-2</v>
      </c>
      <c r="J169" s="50">
        <f t="shared" si="49"/>
        <v>4.13038050090377E-2</v>
      </c>
      <c r="K169" s="50">
        <f t="shared" si="50"/>
        <v>0.27897115996614014</v>
      </c>
      <c r="L169" s="50">
        <f t="shared" si="51"/>
        <v>0.43954754001567992</v>
      </c>
    </row>
    <row r="170" spans="1:12" ht="14.5" x14ac:dyDescent="0.35">
      <c r="A170" s="7">
        <v>163</v>
      </c>
      <c r="B170" s="12">
        <f>Metodo_Grafico!B170</f>
        <v>5211.8999999999996</v>
      </c>
      <c r="C170" s="13">
        <f>Metodo_Grafico!C170</f>
        <v>0</v>
      </c>
      <c r="D170" s="7">
        <f t="shared" si="45"/>
        <v>38</v>
      </c>
      <c r="E170" s="7">
        <f t="shared" si="46"/>
        <v>0</v>
      </c>
      <c r="F170" s="50">
        <f t="shared" si="47"/>
        <v>1</v>
      </c>
      <c r="G170" s="51">
        <f t="shared" si="52"/>
        <v>0.35900823879027355</v>
      </c>
      <c r="H170" s="50">
        <f t="shared" si="48"/>
        <v>0</v>
      </c>
      <c r="I170" s="50">
        <f t="shared" si="53"/>
        <v>1.3236442980662556E-2</v>
      </c>
      <c r="J170" s="50">
        <f t="shared" si="49"/>
        <v>4.13038050090377E-2</v>
      </c>
      <c r="K170" s="50">
        <f t="shared" si="50"/>
        <v>0.27897115996614014</v>
      </c>
      <c r="L170" s="50">
        <f t="shared" si="51"/>
        <v>0.43954754001567992</v>
      </c>
    </row>
    <row r="171" spans="1:12" ht="14.5" x14ac:dyDescent="0.35">
      <c r="A171" s="7">
        <v>164</v>
      </c>
      <c r="B171" s="12">
        <f>Metodo_Grafico!B171</f>
        <v>5277.4</v>
      </c>
      <c r="C171" s="13">
        <f>Metodo_Grafico!C171</f>
        <v>1</v>
      </c>
      <c r="D171" s="7">
        <f t="shared" si="45"/>
        <v>37</v>
      </c>
      <c r="E171" s="7">
        <f t="shared" si="46"/>
        <v>1</v>
      </c>
      <c r="F171" s="50">
        <f t="shared" si="47"/>
        <v>0.97297297297297303</v>
      </c>
      <c r="G171" s="51">
        <f t="shared" si="52"/>
        <v>0.34930531341756349</v>
      </c>
      <c r="H171" s="50">
        <f t="shared" si="48"/>
        <v>7.5075075075075074E-4</v>
      </c>
      <c r="I171" s="50">
        <f t="shared" si="53"/>
        <v>1.3987193731413307E-2</v>
      </c>
      <c r="J171" s="50">
        <f t="shared" si="49"/>
        <v>4.1311454599207979E-2</v>
      </c>
      <c r="K171" s="50">
        <f t="shared" si="50"/>
        <v>0.26951380822908583</v>
      </c>
      <c r="L171" s="50">
        <f t="shared" si="51"/>
        <v>0.43008437746938694</v>
      </c>
    </row>
    <row r="172" spans="1:12" ht="14.5" x14ac:dyDescent="0.35">
      <c r="A172" s="7">
        <v>165</v>
      </c>
      <c r="B172" s="12">
        <f>Metodo_Grafico!B172</f>
        <v>5368.1</v>
      </c>
      <c r="C172" s="13">
        <f>Metodo_Grafico!C172</f>
        <v>1</v>
      </c>
      <c r="D172" s="7">
        <f t="shared" si="45"/>
        <v>36</v>
      </c>
      <c r="E172" s="7">
        <f t="shared" si="46"/>
        <v>1</v>
      </c>
      <c r="F172" s="50">
        <f t="shared" si="47"/>
        <v>0.97222222222222221</v>
      </c>
      <c r="G172" s="51">
        <f t="shared" si="52"/>
        <v>0.33960238804485338</v>
      </c>
      <c r="H172" s="50">
        <f t="shared" si="48"/>
        <v>7.9365079365079365E-4</v>
      </c>
      <c r="I172" s="50">
        <f t="shared" si="53"/>
        <v>1.4780844525064101E-2</v>
      </c>
      <c r="J172" s="50">
        <f t="shared" si="49"/>
        <v>4.1287668574836553E-2</v>
      </c>
      <c r="K172" s="50">
        <f t="shared" si="50"/>
        <v>0.26012376044373686</v>
      </c>
      <c r="L172" s="50">
        <f t="shared" si="51"/>
        <v>0.42056740206457277</v>
      </c>
    </row>
    <row r="173" spans="1:12" ht="14.5" x14ac:dyDescent="0.35">
      <c r="A173" s="7">
        <v>166</v>
      </c>
      <c r="B173" s="12">
        <f>Metodo_Grafico!B173</f>
        <v>5388.6</v>
      </c>
      <c r="C173" s="13">
        <f>Metodo_Grafico!C173</f>
        <v>1</v>
      </c>
      <c r="D173" s="7">
        <f t="shared" si="45"/>
        <v>35</v>
      </c>
      <c r="E173" s="7">
        <f t="shared" si="46"/>
        <v>1</v>
      </c>
      <c r="F173" s="50">
        <f t="shared" si="47"/>
        <v>0.97142857142857142</v>
      </c>
      <c r="G173" s="51">
        <f t="shared" si="52"/>
        <v>0.32989946267214326</v>
      </c>
      <c r="H173" s="50">
        <f t="shared" si="48"/>
        <v>8.4033613445378156E-4</v>
      </c>
      <c r="I173" s="50">
        <f t="shared" si="53"/>
        <v>1.5621180659517883E-2</v>
      </c>
      <c r="J173" s="50">
        <f t="shared" si="49"/>
        <v>4.1232392532497796E-2</v>
      </c>
      <c r="K173" s="50">
        <f t="shared" si="50"/>
        <v>0.2508008774580906</v>
      </c>
      <c r="L173" s="50">
        <f t="shared" si="51"/>
        <v>0.41099641376672497</v>
      </c>
    </row>
    <row r="174" spans="1:12" ht="14.5" x14ac:dyDescent="0.35">
      <c r="A174" s="7">
        <v>167</v>
      </c>
      <c r="B174" s="12">
        <f>Metodo_Grafico!B174</f>
        <v>5553.6</v>
      </c>
      <c r="C174" s="13">
        <f>Metodo_Grafico!C174</f>
        <v>1</v>
      </c>
      <c r="D174" s="7">
        <f t="shared" si="45"/>
        <v>34</v>
      </c>
      <c r="E174" s="7">
        <f t="shared" si="46"/>
        <v>1</v>
      </c>
      <c r="F174" s="50">
        <f t="shared" si="47"/>
        <v>0.97058823529411764</v>
      </c>
      <c r="G174" s="51">
        <f t="shared" si="52"/>
        <v>0.32019653729943315</v>
      </c>
      <c r="H174" s="50">
        <f t="shared" si="48"/>
        <v>8.9126559714795004E-4</v>
      </c>
      <c r="I174" s="50">
        <f t="shared" si="53"/>
        <v>1.6512446256665834E-2</v>
      </c>
      <c r="J174" s="50">
        <f t="shared" si="49"/>
        <v>4.1145499558611791E-2</v>
      </c>
      <c r="K174" s="50">
        <f t="shared" si="50"/>
        <v>0.24154517611453519</v>
      </c>
      <c r="L174" s="50">
        <f t="shared" si="51"/>
        <v>0.40137109250523528</v>
      </c>
    </row>
    <row r="175" spans="1:12" ht="14.5" x14ac:dyDescent="0.35">
      <c r="A175" s="7">
        <v>168</v>
      </c>
      <c r="B175" s="12">
        <f>Metodo_Grafico!B175</f>
        <v>5578.7</v>
      </c>
      <c r="C175" s="13">
        <f>Metodo_Grafico!C175</f>
        <v>1</v>
      </c>
      <c r="D175" s="7">
        <f t="shared" si="45"/>
        <v>33</v>
      </c>
      <c r="E175" s="7">
        <f t="shared" si="46"/>
        <v>1</v>
      </c>
      <c r="F175" s="50">
        <f t="shared" si="47"/>
        <v>0.96969696969696972</v>
      </c>
      <c r="G175" s="51">
        <f t="shared" si="52"/>
        <v>0.31049361192672303</v>
      </c>
      <c r="H175" s="50">
        <f t="shared" si="48"/>
        <v>9.46969696969697E-4</v>
      </c>
      <c r="I175" s="50">
        <f t="shared" si="53"/>
        <v>1.7459415953635531E-2</v>
      </c>
      <c r="J175" s="50">
        <f t="shared" si="49"/>
        <v>4.1026788763767211E-2</v>
      </c>
      <c r="K175" s="50">
        <f t="shared" si="50"/>
        <v>0.23235683076433752</v>
      </c>
      <c r="L175" s="50">
        <f t="shared" si="51"/>
        <v>0.39169099574037675</v>
      </c>
    </row>
    <row r="176" spans="1:12" ht="14.5" x14ac:dyDescent="0.35">
      <c r="A176" s="7">
        <v>169</v>
      </c>
      <c r="B176" s="12">
        <f>Metodo_Grafico!B176</f>
        <v>5595.9</v>
      </c>
      <c r="C176" s="13">
        <f>Metodo_Grafico!C176</f>
        <v>1</v>
      </c>
      <c r="D176" s="7">
        <f t="shared" si="45"/>
        <v>32</v>
      </c>
      <c r="E176" s="7">
        <f t="shared" si="46"/>
        <v>1</v>
      </c>
      <c r="F176" s="50">
        <f t="shared" si="47"/>
        <v>0.96875</v>
      </c>
      <c r="G176" s="51">
        <f t="shared" si="52"/>
        <v>0.30079068655401292</v>
      </c>
      <c r="H176" s="50">
        <f t="shared" si="48"/>
        <v>1.0080645161290322E-3</v>
      </c>
      <c r="I176" s="50">
        <f t="shared" si="53"/>
        <v>1.8467480469764562E-2</v>
      </c>
      <c r="J176" s="50">
        <f t="shared" si="49"/>
        <v>4.0875982935840681E-2</v>
      </c>
      <c r="K176" s="50">
        <f t="shared" si="50"/>
        <v>0.22323617653744557</v>
      </c>
      <c r="L176" s="50">
        <f t="shared" si="51"/>
        <v>0.38195555457715619</v>
      </c>
    </row>
    <row r="177" spans="1:12" ht="14.5" x14ac:dyDescent="0.35">
      <c r="A177" s="7">
        <v>170</v>
      </c>
      <c r="B177" s="12">
        <f>Metodo_Grafico!B177</f>
        <v>5633.6</v>
      </c>
      <c r="C177" s="13">
        <f>Metodo_Grafico!C177</f>
        <v>1</v>
      </c>
      <c r="D177" s="7">
        <f t="shared" si="45"/>
        <v>31</v>
      </c>
      <c r="E177" s="7">
        <f t="shared" si="46"/>
        <v>1</v>
      </c>
      <c r="F177" s="50">
        <f t="shared" si="47"/>
        <v>0.967741935483871</v>
      </c>
      <c r="G177" s="51">
        <f t="shared" si="52"/>
        <v>0.29108776118130286</v>
      </c>
      <c r="H177" s="50">
        <f t="shared" si="48"/>
        <v>1.0752688172043011E-3</v>
      </c>
      <c r="I177" s="50">
        <f t="shared" si="53"/>
        <v>1.9542749286968863E-2</v>
      </c>
      <c r="J177" s="50">
        <f t="shared" si="49"/>
        <v>4.0692725247159486E-2</v>
      </c>
      <c r="K177" s="50">
        <f t="shared" si="50"/>
        <v>0.21418371447065929</v>
      </c>
      <c r="L177" s="50">
        <f t="shared" si="51"/>
        <v>0.37216406833380378</v>
      </c>
    </row>
    <row r="178" spans="1:12" ht="14.5" x14ac:dyDescent="0.35">
      <c r="A178" s="7">
        <v>171</v>
      </c>
      <c r="B178" s="12">
        <f>Metodo_Grafico!B178</f>
        <v>5669.4</v>
      </c>
      <c r="C178" s="13">
        <f>Metodo_Grafico!C178</f>
        <v>1</v>
      </c>
      <c r="D178" s="7">
        <f t="shared" si="45"/>
        <v>30</v>
      </c>
      <c r="E178" s="7">
        <f t="shared" si="46"/>
        <v>1</v>
      </c>
      <c r="F178" s="50">
        <f t="shared" si="47"/>
        <v>0.96666666666666667</v>
      </c>
      <c r="G178" s="51">
        <f t="shared" si="52"/>
        <v>0.28138483580859275</v>
      </c>
      <c r="H178" s="50">
        <f t="shared" si="48"/>
        <v>1.1494252873563218E-3</v>
      </c>
      <c r="I178" s="50">
        <f t="shared" si="53"/>
        <v>2.0692174574325185E-2</v>
      </c>
      <c r="J178" s="50">
        <f t="shared" si="49"/>
        <v>4.047657492273516E-2</v>
      </c>
      <c r="K178" s="50">
        <f t="shared" si="50"/>
        <v>0.20520011864917234</v>
      </c>
      <c r="L178" s="50">
        <f t="shared" si="51"/>
        <v>0.36231569742830627</v>
      </c>
    </row>
    <row r="179" spans="1:12" ht="14.5" x14ac:dyDescent="0.35">
      <c r="A179" s="7">
        <v>172</v>
      </c>
      <c r="B179" s="12">
        <f>Metodo_Grafico!B179</f>
        <v>5693.9</v>
      </c>
      <c r="C179" s="13">
        <f>Metodo_Grafico!C179</f>
        <v>0</v>
      </c>
      <c r="D179" s="7">
        <f t="shared" si="45"/>
        <v>29</v>
      </c>
      <c r="E179" s="7">
        <f t="shared" si="46"/>
        <v>0</v>
      </c>
      <c r="F179" s="50">
        <f t="shared" si="47"/>
        <v>1</v>
      </c>
      <c r="G179" s="51">
        <f t="shared" si="52"/>
        <v>0.28138483580859275</v>
      </c>
      <c r="H179" s="50">
        <f t="shared" si="48"/>
        <v>0</v>
      </c>
      <c r="I179" s="50">
        <f t="shared" si="53"/>
        <v>2.0692174574325185E-2</v>
      </c>
      <c r="J179" s="50">
        <f t="shared" si="49"/>
        <v>4.047657492273516E-2</v>
      </c>
      <c r="K179" s="50">
        <f t="shared" si="50"/>
        <v>0.20520011864917234</v>
      </c>
      <c r="L179" s="50">
        <f t="shared" si="51"/>
        <v>0.36231569742830627</v>
      </c>
    </row>
    <row r="180" spans="1:12" ht="14.5" x14ac:dyDescent="0.35">
      <c r="A180" s="7">
        <v>173</v>
      </c>
      <c r="B180" s="12">
        <f>Metodo_Grafico!B180</f>
        <v>5722.6</v>
      </c>
      <c r="C180" s="13">
        <f>Metodo_Grafico!C180</f>
        <v>1</v>
      </c>
      <c r="D180" s="7">
        <f t="shared" si="45"/>
        <v>28</v>
      </c>
      <c r="E180" s="7">
        <f t="shared" si="46"/>
        <v>1</v>
      </c>
      <c r="F180" s="50">
        <f t="shared" si="47"/>
        <v>0.9642857142857143</v>
      </c>
      <c r="G180" s="51">
        <f t="shared" si="52"/>
        <v>0.27133537738685731</v>
      </c>
      <c r="H180" s="50">
        <f t="shared" si="48"/>
        <v>1.3227513227513227E-3</v>
      </c>
      <c r="I180" s="50">
        <f t="shared" si="53"/>
        <v>2.2014925897076508E-2</v>
      </c>
      <c r="J180" s="50">
        <f t="shared" si="49"/>
        <v>4.0259190281361379E-2</v>
      </c>
      <c r="K180" s="50">
        <f t="shared" si="50"/>
        <v>0.19589539714586385</v>
      </c>
      <c r="L180" s="50">
        <f t="shared" si="51"/>
        <v>0.35213950437857455</v>
      </c>
    </row>
    <row r="181" spans="1:12" ht="14.5" x14ac:dyDescent="0.35">
      <c r="A181" s="7">
        <v>174</v>
      </c>
      <c r="B181" s="12">
        <f>Metodo_Grafico!B181</f>
        <v>5728.9</v>
      </c>
      <c r="C181" s="13">
        <f>Metodo_Grafico!C181</f>
        <v>1</v>
      </c>
      <c r="D181" s="7">
        <f t="shared" si="45"/>
        <v>27</v>
      </c>
      <c r="E181" s="7">
        <f t="shared" si="46"/>
        <v>1</v>
      </c>
      <c r="F181" s="50">
        <f t="shared" si="47"/>
        <v>0.96296296296296291</v>
      </c>
      <c r="G181" s="51">
        <f t="shared" si="52"/>
        <v>0.26128591896512182</v>
      </c>
      <c r="H181" s="50">
        <f t="shared" si="48"/>
        <v>1.4245014245014246E-3</v>
      </c>
      <c r="I181" s="50">
        <f t="shared" si="53"/>
        <v>2.3439427321577933E-2</v>
      </c>
      <c r="J181" s="50">
        <f t="shared" si="49"/>
        <v>4.0002718310502075E-2</v>
      </c>
      <c r="K181" s="50">
        <f t="shared" si="50"/>
        <v>0.18667251684407932</v>
      </c>
      <c r="L181" s="50">
        <f t="shared" si="51"/>
        <v>0.3418960450664888</v>
      </c>
    </row>
    <row r="182" spans="1:12" ht="14.5" x14ac:dyDescent="0.35">
      <c r="A182" s="7">
        <v>175</v>
      </c>
      <c r="B182" s="12">
        <f>Metodo_Grafico!B182</f>
        <v>5766.2</v>
      </c>
      <c r="C182" s="13">
        <f>Metodo_Grafico!C182</f>
        <v>1</v>
      </c>
      <c r="D182" s="7">
        <f t="shared" si="45"/>
        <v>26</v>
      </c>
      <c r="E182" s="7">
        <f t="shared" si="46"/>
        <v>1</v>
      </c>
      <c r="F182" s="50">
        <f t="shared" si="47"/>
        <v>0.96153846153846156</v>
      </c>
      <c r="G182" s="51">
        <f t="shared" si="52"/>
        <v>0.25123646054338639</v>
      </c>
      <c r="H182" s="50">
        <f t="shared" si="48"/>
        <v>1.5384615384615385E-3</v>
      </c>
      <c r="I182" s="50">
        <f t="shared" si="53"/>
        <v>2.497788886003947E-2</v>
      </c>
      <c r="J182" s="50">
        <f t="shared" si="49"/>
        <v>3.9706401597618207E-2</v>
      </c>
      <c r="K182" s="50">
        <f t="shared" si="50"/>
        <v>0.17753272542140996</v>
      </c>
      <c r="L182" s="50">
        <f t="shared" si="51"/>
        <v>0.33158394719092632</v>
      </c>
    </row>
    <row r="183" spans="1:12" ht="14.5" x14ac:dyDescent="0.35">
      <c r="A183" s="7">
        <v>176</v>
      </c>
      <c r="B183" s="12">
        <f>Metodo_Grafico!B183</f>
        <v>5793.4</v>
      </c>
      <c r="C183" s="13">
        <f>Metodo_Grafico!C183</f>
        <v>0</v>
      </c>
      <c r="D183" s="7">
        <f t="shared" si="45"/>
        <v>25</v>
      </c>
      <c r="E183" s="7">
        <f t="shared" si="46"/>
        <v>0</v>
      </c>
      <c r="F183" s="50">
        <f t="shared" si="47"/>
        <v>1</v>
      </c>
      <c r="G183" s="51">
        <f t="shared" si="52"/>
        <v>0.25123646054338639</v>
      </c>
      <c r="H183" s="50">
        <f t="shared" si="48"/>
        <v>0</v>
      </c>
      <c r="I183" s="50">
        <f t="shared" si="53"/>
        <v>2.497788886003947E-2</v>
      </c>
      <c r="J183" s="50">
        <f t="shared" si="49"/>
        <v>3.9706401597618207E-2</v>
      </c>
      <c r="K183" s="50">
        <f t="shared" si="50"/>
        <v>0.17753272542140996</v>
      </c>
      <c r="L183" s="50">
        <f t="shared" si="51"/>
        <v>0.33158394719092632</v>
      </c>
    </row>
    <row r="184" spans="1:12" ht="14.5" x14ac:dyDescent="0.35">
      <c r="A184" s="7">
        <v>177</v>
      </c>
      <c r="B184" s="12">
        <f>Metodo_Grafico!B184</f>
        <v>5854</v>
      </c>
      <c r="C184" s="13">
        <f>Metodo_Grafico!C184</f>
        <v>1</v>
      </c>
      <c r="D184" s="7">
        <f t="shared" si="45"/>
        <v>24</v>
      </c>
      <c r="E184" s="7">
        <f t="shared" si="46"/>
        <v>1</v>
      </c>
      <c r="F184" s="50">
        <f t="shared" si="47"/>
        <v>0.95833333333333337</v>
      </c>
      <c r="G184" s="51">
        <f t="shared" si="52"/>
        <v>0.24076827468741197</v>
      </c>
      <c r="H184" s="50">
        <f t="shared" si="48"/>
        <v>1.8115942028985507E-3</v>
      </c>
      <c r="I184" s="50">
        <f t="shared" si="53"/>
        <v>2.6789483062938022E-2</v>
      </c>
      <c r="J184" s="50">
        <f t="shared" si="49"/>
        <v>3.9407730764900124E-2</v>
      </c>
      <c r="K184" s="50">
        <f t="shared" si="50"/>
        <v>0.16801073014603632</v>
      </c>
      <c r="L184" s="50">
        <f t="shared" si="51"/>
        <v>0.32087866533611342</v>
      </c>
    </row>
    <row r="185" spans="1:12" ht="14.5" x14ac:dyDescent="0.35">
      <c r="A185" s="7">
        <v>178</v>
      </c>
      <c r="B185" s="12">
        <f>Metodo_Grafico!B185</f>
        <v>5855.8</v>
      </c>
      <c r="C185" s="13">
        <f>Metodo_Grafico!C185</f>
        <v>1</v>
      </c>
      <c r="D185" s="7">
        <f t="shared" si="45"/>
        <v>23</v>
      </c>
      <c r="E185" s="7">
        <f t="shared" si="46"/>
        <v>1</v>
      </c>
      <c r="F185" s="50">
        <f t="shared" si="47"/>
        <v>0.95652173913043481</v>
      </c>
      <c r="G185" s="51">
        <f t="shared" si="52"/>
        <v>0.23030008883143754</v>
      </c>
      <c r="H185" s="50">
        <f t="shared" si="48"/>
        <v>1.976284584980237E-3</v>
      </c>
      <c r="I185" s="50">
        <f t="shared" si="53"/>
        <v>2.8765767647918258E-2</v>
      </c>
      <c r="J185" s="50">
        <f t="shared" si="49"/>
        <v>3.9059986564294318E-2</v>
      </c>
      <c r="K185" s="50">
        <f t="shared" si="50"/>
        <v>0.15859102739193698</v>
      </c>
      <c r="L185" s="50">
        <f t="shared" si="51"/>
        <v>0.31008937981114804</v>
      </c>
    </row>
    <row r="186" spans="1:12" ht="14.5" x14ac:dyDescent="0.35">
      <c r="A186" s="7">
        <v>179</v>
      </c>
      <c r="B186" s="12">
        <f>Metodo_Grafico!B186</f>
        <v>5960.9</v>
      </c>
      <c r="C186" s="13">
        <f>Metodo_Grafico!C186</f>
        <v>1</v>
      </c>
      <c r="D186" s="7">
        <f t="shared" si="45"/>
        <v>22</v>
      </c>
      <c r="E186" s="7">
        <f t="shared" si="46"/>
        <v>1</v>
      </c>
      <c r="F186" s="50">
        <f t="shared" si="47"/>
        <v>0.95454545454545459</v>
      </c>
      <c r="G186" s="51">
        <f t="shared" si="52"/>
        <v>0.21983190297546312</v>
      </c>
      <c r="H186" s="50">
        <f t="shared" si="48"/>
        <v>2.1645021645021645E-3</v>
      </c>
      <c r="I186" s="50">
        <f t="shared" si="53"/>
        <v>3.0930269812420422E-2</v>
      </c>
      <c r="J186" s="50">
        <f t="shared" si="49"/>
        <v>3.866184484635115E-2</v>
      </c>
      <c r="K186" s="50">
        <f t="shared" si="50"/>
        <v>0.14927588191067978</v>
      </c>
      <c r="L186" s="50">
        <f t="shared" si="51"/>
        <v>0.29921378873878457</v>
      </c>
    </row>
    <row r="187" spans="1:12" ht="14.5" x14ac:dyDescent="0.35">
      <c r="A187" s="7">
        <v>180</v>
      </c>
      <c r="B187" s="12">
        <f>Metodo_Grafico!B187</f>
        <v>6036.1</v>
      </c>
      <c r="C187" s="13">
        <f>Metodo_Grafico!C187</f>
        <v>1</v>
      </c>
      <c r="D187" s="7">
        <f t="shared" si="45"/>
        <v>21</v>
      </c>
      <c r="E187" s="7">
        <f t="shared" si="46"/>
        <v>1</v>
      </c>
      <c r="F187" s="50">
        <f t="shared" si="47"/>
        <v>0.95238095238095233</v>
      </c>
      <c r="G187" s="51">
        <f t="shared" si="52"/>
        <v>0.20936371711948867</v>
      </c>
      <c r="H187" s="50">
        <f t="shared" si="48"/>
        <v>2.3809523809523812E-3</v>
      </c>
      <c r="I187" s="50">
        <f t="shared" si="53"/>
        <v>3.3311222193372805E-2</v>
      </c>
      <c r="J187" s="50">
        <f t="shared" si="49"/>
        <v>3.821173031413632E-2</v>
      </c>
      <c r="K187" s="50">
        <f t="shared" si="50"/>
        <v>0.1400680437082274</v>
      </c>
      <c r="L187" s="50">
        <f t="shared" si="51"/>
        <v>0.28824918440211411</v>
      </c>
    </row>
    <row r="188" spans="1:12" ht="14.5" x14ac:dyDescent="0.35">
      <c r="A188" s="7">
        <v>181</v>
      </c>
      <c r="B188" s="12">
        <f>Metodo_Grafico!B188</f>
        <v>6049.4</v>
      </c>
      <c r="C188" s="13">
        <f>Metodo_Grafico!C188</f>
        <v>1</v>
      </c>
      <c r="D188" s="7">
        <f t="shared" si="45"/>
        <v>20</v>
      </c>
      <c r="E188" s="7">
        <f t="shared" si="46"/>
        <v>1</v>
      </c>
      <c r="F188" s="50">
        <f t="shared" si="47"/>
        <v>0.95</v>
      </c>
      <c r="G188" s="51">
        <f t="shared" si="52"/>
        <v>0.19889553126351422</v>
      </c>
      <c r="H188" s="50">
        <f t="shared" si="48"/>
        <v>2.631578947368421E-3</v>
      </c>
      <c r="I188" s="50">
        <f t="shared" si="53"/>
        <v>3.5942801140741228E-2</v>
      </c>
      <c r="J188" s="50">
        <f t="shared" si="49"/>
        <v>3.7707781828605597E-2</v>
      </c>
      <c r="K188" s="50">
        <f t="shared" si="50"/>
        <v>0.13097080892735441</v>
      </c>
      <c r="L188" s="50">
        <f t="shared" si="51"/>
        <v>0.27719240050837624</v>
      </c>
    </row>
    <row r="189" spans="1:12" ht="14.5" x14ac:dyDescent="0.35">
      <c r="A189" s="7">
        <v>182</v>
      </c>
      <c r="B189" s="12">
        <f>Metodo_Grafico!B189</f>
        <v>6133</v>
      </c>
      <c r="C189" s="13">
        <f>Metodo_Grafico!C189</f>
        <v>0</v>
      </c>
      <c r="D189" s="7">
        <f t="shared" si="45"/>
        <v>19</v>
      </c>
      <c r="E189" s="7">
        <f t="shared" si="46"/>
        <v>0</v>
      </c>
      <c r="F189" s="50">
        <f t="shared" si="47"/>
        <v>1</v>
      </c>
      <c r="G189" s="51">
        <f t="shared" si="52"/>
        <v>0.19889553126351422</v>
      </c>
      <c r="H189" s="50">
        <f t="shared" si="48"/>
        <v>0</v>
      </c>
      <c r="I189" s="50">
        <f t="shared" si="53"/>
        <v>3.5942801140741228E-2</v>
      </c>
      <c r="J189" s="50">
        <f t="shared" si="49"/>
        <v>3.7707781828605597E-2</v>
      </c>
      <c r="K189" s="50">
        <f t="shared" si="50"/>
        <v>0.13097080892735441</v>
      </c>
      <c r="L189" s="50">
        <f t="shared" si="51"/>
        <v>0.27719240050837624</v>
      </c>
    </row>
    <row r="190" spans="1:12" ht="14.5" x14ac:dyDescent="0.35">
      <c r="A190" s="7">
        <v>183</v>
      </c>
      <c r="B190" s="12">
        <f>Metodo_Grafico!B190</f>
        <v>6198.9</v>
      </c>
      <c r="C190" s="13">
        <f>Metodo_Grafico!C190</f>
        <v>0</v>
      </c>
      <c r="D190" s="7">
        <f t="shared" si="45"/>
        <v>18</v>
      </c>
      <c r="E190" s="7">
        <f t="shared" si="46"/>
        <v>0</v>
      </c>
      <c r="F190" s="50">
        <f t="shared" si="47"/>
        <v>1</v>
      </c>
      <c r="G190" s="51">
        <f t="shared" si="52"/>
        <v>0.19889553126351422</v>
      </c>
      <c r="H190" s="50">
        <f t="shared" si="48"/>
        <v>0</v>
      </c>
      <c r="I190" s="50">
        <f t="shared" si="53"/>
        <v>3.5942801140741228E-2</v>
      </c>
      <c r="J190" s="50">
        <f t="shared" si="49"/>
        <v>3.7707781828605597E-2</v>
      </c>
      <c r="K190" s="50">
        <f t="shared" si="50"/>
        <v>0.13097080892735441</v>
      </c>
      <c r="L190" s="50">
        <f t="shared" si="51"/>
        <v>0.27719240050837624</v>
      </c>
    </row>
    <row r="191" spans="1:12" ht="14.5" x14ac:dyDescent="0.35">
      <c r="A191" s="7">
        <v>184</v>
      </c>
      <c r="B191" s="12">
        <f>Metodo_Grafico!B191</f>
        <v>6264.4</v>
      </c>
      <c r="C191" s="13">
        <f>Metodo_Grafico!C191</f>
        <v>0</v>
      </c>
      <c r="D191" s="7">
        <f t="shared" si="45"/>
        <v>17</v>
      </c>
      <c r="E191" s="7">
        <f t="shared" si="46"/>
        <v>0</v>
      </c>
      <c r="F191" s="50">
        <f t="shared" si="47"/>
        <v>1</v>
      </c>
      <c r="G191" s="51">
        <f t="shared" si="52"/>
        <v>0.19889553126351422</v>
      </c>
      <c r="H191" s="50">
        <f t="shared" si="48"/>
        <v>0</v>
      </c>
      <c r="I191" s="50">
        <f t="shared" si="53"/>
        <v>3.5942801140741228E-2</v>
      </c>
      <c r="J191" s="50">
        <f t="shared" si="49"/>
        <v>3.7707781828605597E-2</v>
      </c>
      <c r="K191" s="50">
        <f t="shared" si="50"/>
        <v>0.13097080892735441</v>
      </c>
      <c r="L191" s="50">
        <f t="shared" si="51"/>
        <v>0.27719240050837624</v>
      </c>
    </row>
    <row r="192" spans="1:12" ht="14.5" x14ac:dyDescent="0.35">
      <c r="A192" s="7">
        <v>185</v>
      </c>
      <c r="B192" s="12">
        <f>Metodo_Grafico!B192</f>
        <v>6276.6</v>
      </c>
      <c r="C192" s="13">
        <f>Metodo_Grafico!C192</f>
        <v>1</v>
      </c>
      <c r="D192" s="7">
        <f t="shared" si="45"/>
        <v>16</v>
      </c>
      <c r="E192" s="7">
        <f t="shared" si="46"/>
        <v>1</v>
      </c>
      <c r="F192" s="50">
        <f t="shared" si="47"/>
        <v>0.9375</v>
      </c>
      <c r="G192" s="51">
        <f t="shared" si="52"/>
        <v>0.18646456055954458</v>
      </c>
      <c r="H192" s="50">
        <f t="shared" si="48"/>
        <v>4.1666666666666666E-3</v>
      </c>
      <c r="I192" s="50">
        <f t="shared" si="53"/>
        <v>4.0109467807407893E-2</v>
      </c>
      <c r="J192" s="50">
        <f t="shared" si="49"/>
        <v>3.7343906912949365E-2</v>
      </c>
      <c r="K192" s="50">
        <f t="shared" si="50"/>
        <v>0.11982709613377569</v>
      </c>
      <c r="L192" s="50">
        <f t="shared" si="51"/>
        <v>0.26461450079624926</v>
      </c>
    </row>
    <row r="193" spans="1:12" ht="14.5" x14ac:dyDescent="0.35">
      <c r="A193" s="7">
        <v>186</v>
      </c>
      <c r="B193" s="12">
        <f>Metodo_Grafico!B193</f>
        <v>6280.4</v>
      </c>
      <c r="C193" s="13">
        <f>Metodo_Grafico!C193</f>
        <v>1</v>
      </c>
      <c r="D193" s="7">
        <f t="shared" si="45"/>
        <v>15</v>
      </c>
      <c r="E193" s="7">
        <f t="shared" si="46"/>
        <v>1</v>
      </c>
      <c r="F193" s="50">
        <f t="shared" si="47"/>
        <v>0.93333333333333335</v>
      </c>
      <c r="G193" s="51">
        <f t="shared" si="52"/>
        <v>0.17403358985557493</v>
      </c>
      <c r="H193" s="50">
        <f t="shared" si="48"/>
        <v>4.7619047619047623E-3</v>
      </c>
      <c r="I193" s="50">
        <f t="shared" si="53"/>
        <v>4.4871372569312659E-2</v>
      </c>
      <c r="J193" s="50">
        <f t="shared" si="49"/>
        <v>3.6865298589777905E-2</v>
      </c>
      <c r="K193" s="50">
        <f t="shared" si="50"/>
        <v>0.10892247500679746</v>
      </c>
      <c r="L193" s="50">
        <f t="shared" si="51"/>
        <v>0.25184506717614402</v>
      </c>
    </row>
    <row r="194" spans="1:12" ht="14.5" x14ac:dyDescent="0.35">
      <c r="A194" s="7">
        <v>187</v>
      </c>
      <c r="B194" s="12">
        <f>Metodo_Grafico!B194</f>
        <v>6618.6</v>
      </c>
      <c r="C194" s="13">
        <f>Metodo_Grafico!C194</f>
        <v>0</v>
      </c>
      <c r="D194" s="7">
        <f t="shared" si="45"/>
        <v>14</v>
      </c>
      <c r="E194" s="7">
        <f t="shared" si="46"/>
        <v>0</v>
      </c>
      <c r="F194" s="50">
        <f t="shared" si="47"/>
        <v>1</v>
      </c>
      <c r="G194" s="51">
        <f t="shared" si="52"/>
        <v>0.17403358985557493</v>
      </c>
      <c r="H194" s="50">
        <f t="shared" si="48"/>
        <v>0</v>
      </c>
      <c r="I194" s="50">
        <f t="shared" si="53"/>
        <v>4.4871372569312659E-2</v>
      </c>
      <c r="J194" s="50">
        <f t="shared" si="49"/>
        <v>3.6865298589777905E-2</v>
      </c>
      <c r="K194" s="50">
        <f t="shared" si="50"/>
        <v>0.10892247500679746</v>
      </c>
      <c r="L194" s="50">
        <f t="shared" si="51"/>
        <v>0.25184506717614402</v>
      </c>
    </row>
    <row r="195" spans="1:12" ht="14.5" x14ac:dyDescent="0.35">
      <c r="A195" s="7">
        <v>188</v>
      </c>
      <c r="B195" s="12">
        <f>Metodo_Grafico!B195</f>
        <v>6816.2</v>
      </c>
      <c r="C195" s="13">
        <f>Metodo_Grafico!C195</f>
        <v>1</v>
      </c>
      <c r="D195" s="7">
        <f t="shared" si="45"/>
        <v>13</v>
      </c>
      <c r="E195" s="7">
        <f t="shared" si="46"/>
        <v>1</v>
      </c>
      <c r="F195" s="50">
        <f t="shared" si="47"/>
        <v>0.92307692307692313</v>
      </c>
      <c r="G195" s="51">
        <f t="shared" si="52"/>
        <v>0.16064639063591532</v>
      </c>
      <c r="H195" s="50">
        <f t="shared" si="48"/>
        <v>6.41025641025641E-3</v>
      </c>
      <c r="I195" s="50">
        <f t="shared" si="53"/>
        <v>5.1281628979569067E-2</v>
      </c>
      <c r="J195" s="50">
        <f t="shared" si="49"/>
        <v>3.6379093957057171E-2</v>
      </c>
      <c r="K195" s="50">
        <f t="shared" si="50"/>
        <v>9.7208678131104329E-2</v>
      </c>
      <c r="L195" s="50">
        <f t="shared" si="51"/>
        <v>0.23824216123779443</v>
      </c>
    </row>
    <row r="196" spans="1:12" ht="14.5" x14ac:dyDescent="0.35">
      <c r="A196" s="7">
        <v>189</v>
      </c>
      <c r="B196" s="12">
        <f>Metodo_Grafico!B196</f>
        <v>7132.8</v>
      </c>
      <c r="C196" s="13">
        <f>Metodo_Grafico!C196</f>
        <v>1</v>
      </c>
      <c r="D196" s="7">
        <f t="shared" si="45"/>
        <v>12</v>
      </c>
      <c r="E196" s="7">
        <f t="shared" si="46"/>
        <v>1</v>
      </c>
      <c r="F196" s="50">
        <f t="shared" si="47"/>
        <v>0.91666666666666663</v>
      </c>
      <c r="G196" s="51">
        <f t="shared" si="52"/>
        <v>0.14725919141625571</v>
      </c>
      <c r="H196" s="50">
        <f t="shared" si="48"/>
        <v>7.575757575757576E-3</v>
      </c>
      <c r="I196" s="50">
        <f t="shared" si="53"/>
        <v>5.8857386555326643E-2</v>
      </c>
      <c r="J196" s="50">
        <f t="shared" si="49"/>
        <v>3.5725876993598429E-2</v>
      </c>
      <c r="K196" s="50">
        <f t="shared" si="50"/>
        <v>8.5839413909074888E-2</v>
      </c>
      <c r="L196" s="50">
        <f t="shared" si="51"/>
        <v>0.22436417458447114</v>
      </c>
    </row>
    <row r="197" spans="1:12" ht="14.5" x14ac:dyDescent="0.35">
      <c r="A197" s="7">
        <v>190</v>
      </c>
      <c r="B197" s="12">
        <f>Metodo_Grafico!B197</f>
        <v>7267</v>
      </c>
      <c r="C197" s="13">
        <f>Metodo_Grafico!C197</f>
        <v>1</v>
      </c>
      <c r="D197" s="7">
        <f t="shared" si="45"/>
        <v>11</v>
      </c>
      <c r="E197" s="7">
        <f t="shared" si="46"/>
        <v>1</v>
      </c>
      <c r="F197" s="50">
        <f t="shared" si="47"/>
        <v>0.90909090909090906</v>
      </c>
      <c r="G197" s="51">
        <f t="shared" si="52"/>
        <v>0.1338719921965961</v>
      </c>
      <c r="H197" s="50">
        <f t="shared" si="48"/>
        <v>9.0909090909090905E-3</v>
      </c>
      <c r="I197" s="50">
        <f t="shared" si="53"/>
        <v>6.7948295646235737E-2</v>
      </c>
      <c r="J197" s="50">
        <f t="shared" si="49"/>
        <v>3.4896270138647711E-2</v>
      </c>
      <c r="K197" s="50">
        <f t="shared" si="50"/>
        <v>7.4829765246059027E-2</v>
      </c>
      <c r="L197" s="50">
        <f t="shared" si="51"/>
        <v>0.21019757041320172</v>
      </c>
    </row>
    <row r="198" spans="1:12" ht="14.5" x14ac:dyDescent="0.35">
      <c r="A198" s="7">
        <v>191</v>
      </c>
      <c r="B198" s="12">
        <f>Metodo_Grafico!B198</f>
        <v>7354.4</v>
      </c>
      <c r="C198" s="13">
        <f>Metodo_Grafico!C198</f>
        <v>1</v>
      </c>
      <c r="D198" s="7">
        <f t="shared" si="45"/>
        <v>10</v>
      </c>
      <c r="E198" s="7">
        <f t="shared" si="46"/>
        <v>1</v>
      </c>
      <c r="F198" s="50">
        <f t="shared" si="47"/>
        <v>0.9</v>
      </c>
      <c r="G198" s="51">
        <f t="shared" si="52"/>
        <v>0.12048479297693648</v>
      </c>
      <c r="H198" s="50">
        <f t="shared" si="48"/>
        <v>1.1111111111111112E-2</v>
      </c>
      <c r="I198" s="50">
        <f t="shared" si="53"/>
        <v>7.9059406757346851E-2</v>
      </c>
      <c r="J198" s="50">
        <f t="shared" si="49"/>
        <v>3.3877317264205634E-2</v>
      </c>
      <c r="K198" s="50">
        <f t="shared" si="50"/>
        <v>6.4200987091191042E-2</v>
      </c>
      <c r="L198" s="50">
        <f t="shared" si="51"/>
        <v>0.19572374818283933</v>
      </c>
    </row>
    <row r="199" spans="1:12" ht="14.5" x14ac:dyDescent="0.35">
      <c r="A199" s="7">
        <v>192</v>
      </c>
      <c r="B199" s="12">
        <f>Metodo_Grafico!B199</f>
        <v>7492.8</v>
      </c>
      <c r="C199" s="13">
        <f>Metodo_Grafico!C199</f>
        <v>0</v>
      </c>
      <c r="D199" s="7">
        <f t="shared" si="45"/>
        <v>9</v>
      </c>
      <c r="E199" s="7">
        <f t="shared" si="46"/>
        <v>0</v>
      </c>
      <c r="F199" s="50">
        <f t="shared" si="47"/>
        <v>1</v>
      </c>
      <c r="G199" s="51">
        <f t="shared" si="52"/>
        <v>0.12048479297693648</v>
      </c>
      <c r="H199" s="50">
        <f t="shared" si="48"/>
        <v>0</v>
      </c>
      <c r="I199" s="50">
        <f t="shared" si="53"/>
        <v>7.9059406757346851E-2</v>
      </c>
      <c r="J199" s="50">
        <f t="shared" si="49"/>
        <v>3.3877317264205634E-2</v>
      </c>
      <c r="K199" s="50">
        <f t="shared" si="50"/>
        <v>6.4200987091191042E-2</v>
      </c>
      <c r="L199" s="50">
        <f t="shared" si="51"/>
        <v>0.19572374818283933</v>
      </c>
    </row>
    <row r="200" spans="1:12" ht="14.5" x14ac:dyDescent="0.35">
      <c r="A200" s="7">
        <v>193</v>
      </c>
      <c r="B200" s="12">
        <f>Metodo_Grafico!B200</f>
        <v>7523.3</v>
      </c>
      <c r="C200" s="13">
        <f>Metodo_Grafico!C200</f>
        <v>0</v>
      </c>
      <c r="D200" s="7">
        <f t="shared" ref="D200:D207" si="54">$B$4-A200+1</f>
        <v>8</v>
      </c>
      <c r="E200" s="7">
        <f t="shared" ref="E200:E207" si="55">C200</f>
        <v>0</v>
      </c>
      <c r="F200" s="50">
        <f t="shared" ref="F200:F207" si="56">IF(C200=1,(D200-E200)/D200,1)</f>
        <v>1</v>
      </c>
      <c r="G200" s="51">
        <f t="shared" si="52"/>
        <v>0.12048479297693648</v>
      </c>
      <c r="H200" s="50">
        <f t="shared" ref="H200:H207" si="57">IF(AND(C200=1,D200-E200&gt;0),E200/(D200*(D200-E200)),0)</f>
        <v>0</v>
      </c>
      <c r="I200" s="50">
        <f t="shared" si="53"/>
        <v>7.9059406757346851E-2</v>
      </c>
      <c r="J200" s="50">
        <f t="shared" ref="J200:J207" si="58">G200*SQRT(I200)</f>
        <v>3.3877317264205634E-2</v>
      </c>
      <c r="K200" s="50">
        <f t="shared" ref="K200:K207" si="59">IF(OR(G200&gt;=1,G200&lt;=0),"",G200^EXP($B$5*SQRT(I200)/ABS(LN(G200))))</f>
        <v>6.4200987091191042E-2</v>
      </c>
      <c r="L200" s="50">
        <f t="shared" ref="L200:L207" si="60">IF(OR(G200&gt;=1,G200&lt;=0),"",G200^EXP(-$B$5*SQRT(I200)/ABS(LN(G200))))</f>
        <v>0.19572374818283933</v>
      </c>
    </row>
    <row r="201" spans="1:12" ht="14.5" x14ac:dyDescent="0.35">
      <c r="A201" s="7">
        <v>194</v>
      </c>
      <c r="B201" s="12">
        <f>Metodo_Grafico!B201</f>
        <v>7613.7</v>
      </c>
      <c r="C201" s="13">
        <f>Metodo_Grafico!C201</f>
        <v>0</v>
      </c>
      <c r="D201" s="7">
        <f t="shared" si="54"/>
        <v>7</v>
      </c>
      <c r="E201" s="7">
        <f t="shared" si="55"/>
        <v>0</v>
      </c>
      <c r="F201" s="50">
        <f t="shared" si="56"/>
        <v>1</v>
      </c>
      <c r="G201" s="51">
        <f t="shared" ref="G201:G207" si="61">G200*F201</f>
        <v>0.12048479297693648</v>
      </c>
      <c r="H201" s="50">
        <f t="shared" si="57"/>
        <v>0</v>
      </c>
      <c r="I201" s="50">
        <f t="shared" ref="I201:I207" si="62">I200+H201</f>
        <v>7.9059406757346851E-2</v>
      </c>
      <c r="J201" s="50">
        <f t="shared" si="58"/>
        <v>3.3877317264205634E-2</v>
      </c>
      <c r="K201" s="50">
        <f t="shared" si="59"/>
        <v>6.4200987091191042E-2</v>
      </c>
      <c r="L201" s="50">
        <f t="shared" si="60"/>
        <v>0.19572374818283933</v>
      </c>
    </row>
    <row r="202" spans="1:12" ht="14.5" x14ac:dyDescent="0.35">
      <c r="A202" s="7">
        <v>195</v>
      </c>
      <c r="B202" s="12">
        <f>Metodo_Grafico!B202</f>
        <v>7937.4</v>
      </c>
      <c r="C202" s="13">
        <f>Metodo_Grafico!C202</f>
        <v>1</v>
      </c>
      <c r="D202" s="7">
        <f t="shared" si="54"/>
        <v>6</v>
      </c>
      <c r="E202" s="7">
        <f t="shared" si="55"/>
        <v>1</v>
      </c>
      <c r="F202" s="50">
        <f t="shared" si="56"/>
        <v>0.83333333333333337</v>
      </c>
      <c r="G202" s="51">
        <f t="shared" si="61"/>
        <v>0.10040399414744708</v>
      </c>
      <c r="H202" s="50">
        <f t="shared" si="57"/>
        <v>3.3333333333333333E-2</v>
      </c>
      <c r="I202" s="50">
        <f t="shared" si="62"/>
        <v>0.11239274009068018</v>
      </c>
      <c r="J202" s="50">
        <f t="shared" si="58"/>
        <v>3.366046563123002E-2</v>
      </c>
      <c r="K202" s="50">
        <f t="shared" si="59"/>
        <v>4.6926286918852901E-2</v>
      </c>
      <c r="L202" s="50">
        <f t="shared" si="60"/>
        <v>0.17780845476545118</v>
      </c>
    </row>
    <row r="203" spans="1:12" ht="14.5" x14ac:dyDescent="0.35">
      <c r="A203" s="7">
        <v>196</v>
      </c>
      <c r="B203" s="12">
        <f>Metodo_Grafico!B203</f>
        <v>8053.9</v>
      </c>
      <c r="C203" s="13">
        <f>Metodo_Grafico!C203</f>
        <v>0</v>
      </c>
      <c r="D203" s="7">
        <f t="shared" si="54"/>
        <v>5</v>
      </c>
      <c r="E203" s="7">
        <f t="shared" si="55"/>
        <v>0</v>
      </c>
      <c r="F203" s="50">
        <f t="shared" si="56"/>
        <v>1</v>
      </c>
      <c r="G203" s="51">
        <f t="shared" si="61"/>
        <v>0.10040399414744708</v>
      </c>
      <c r="H203" s="50">
        <f t="shared" si="57"/>
        <v>0</v>
      </c>
      <c r="I203" s="50">
        <f t="shared" si="62"/>
        <v>0.11239274009068018</v>
      </c>
      <c r="J203" s="50">
        <f t="shared" si="58"/>
        <v>3.366046563123002E-2</v>
      </c>
      <c r="K203" s="50">
        <f t="shared" si="59"/>
        <v>4.6926286918852901E-2</v>
      </c>
      <c r="L203" s="50">
        <f t="shared" si="60"/>
        <v>0.17780845476545118</v>
      </c>
    </row>
    <row r="204" spans="1:12" ht="14.5" x14ac:dyDescent="0.35">
      <c r="A204" s="7">
        <v>197</v>
      </c>
      <c r="B204" s="12">
        <f>Metodo_Grafico!B204</f>
        <v>8102.4</v>
      </c>
      <c r="C204" s="13">
        <f>Metodo_Grafico!C204</f>
        <v>1</v>
      </c>
      <c r="D204" s="7">
        <f t="shared" si="54"/>
        <v>4</v>
      </c>
      <c r="E204" s="7">
        <f t="shared" si="55"/>
        <v>1</v>
      </c>
      <c r="F204" s="50">
        <f t="shared" si="56"/>
        <v>0.75</v>
      </c>
      <c r="G204" s="51">
        <f t="shared" si="61"/>
        <v>7.5302995610585316E-2</v>
      </c>
      <c r="H204" s="50">
        <f t="shared" si="57"/>
        <v>8.3333333333333329E-2</v>
      </c>
      <c r="I204" s="50">
        <f t="shared" si="62"/>
        <v>0.19572607342401349</v>
      </c>
      <c r="J204" s="50">
        <f t="shared" si="58"/>
        <v>3.3314752784212767E-2</v>
      </c>
      <c r="K204" s="50">
        <f t="shared" si="59"/>
        <v>2.687910071052358E-2</v>
      </c>
      <c r="L204" s="50">
        <f t="shared" si="60"/>
        <v>0.1573127574663957</v>
      </c>
    </row>
    <row r="205" spans="1:12" ht="14.5" x14ac:dyDescent="0.35">
      <c r="A205" s="7">
        <v>198</v>
      </c>
      <c r="B205" s="12">
        <f>Metodo_Grafico!B205</f>
        <v>8605.7999999999993</v>
      </c>
      <c r="C205" s="13">
        <f>Metodo_Grafico!C205</f>
        <v>0</v>
      </c>
      <c r="D205" s="7">
        <f t="shared" si="54"/>
        <v>3</v>
      </c>
      <c r="E205" s="7">
        <f t="shared" si="55"/>
        <v>0</v>
      </c>
      <c r="F205" s="50">
        <f t="shared" si="56"/>
        <v>1</v>
      </c>
      <c r="G205" s="51">
        <f t="shared" si="61"/>
        <v>7.5302995610585316E-2</v>
      </c>
      <c r="H205" s="50">
        <f t="shared" si="57"/>
        <v>0</v>
      </c>
      <c r="I205" s="50">
        <f t="shared" si="62"/>
        <v>0.19572607342401349</v>
      </c>
      <c r="J205" s="50">
        <f t="shared" si="58"/>
        <v>3.3314752784212767E-2</v>
      </c>
      <c r="K205" s="50">
        <f t="shared" si="59"/>
        <v>2.687910071052358E-2</v>
      </c>
      <c r="L205" s="50">
        <f t="shared" si="60"/>
        <v>0.1573127574663957</v>
      </c>
    </row>
    <row r="206" spans="1:12" ht="14.5" x14ac:dyDescent="0.35">
      <c r="A206" s="7">
        <v>199</v>
      </c>
      <c r="B206" s="12">
        <f>Metodo_Grafico!B206</f>
        <v>8811.7000000000007</v>
      </c>
      <c r="C206" s="13">
        <f>Metodo_Grafico!C206</f>
        <v>0</v>
      </c>
      <c r="D206" s="7">
        <f t="shared" si="54"/>
        <v>2</v>
      </c>
      <c r="E206" s="7">
        <f t="shared" si="55"/>
        <v>0</v>
      </c>
      <c r="F206" s="50">
        <f t="shared" si="56"/>
        <v>1</v>
      </c>
      <c r="G206" s="51">
        <f t="shared" si="61"/>
        <v>7.5302995610585316E-2</v>
      </c>
      <c r="H206" s="50">
        <f t="shared" si="57"/>
        <v>0</v>
      </c>
      <c r="I206" s="50">
        <f t="shared" si="62"/>
        <v>0.19572607342401349</v>
      </c>
      <c r="J206" s="50">
        <f t="shared" si="58"/>
        <v>3.3314752784212767E-2</v>
      </c>
      <c r="K206" s="50">
        <f t="shared" si="59"/>
        <v>2.687910071052358E-2</v>
      </c>
      <c r="L206" s="50">
        <f t="shared" si="60"/>
        <v>0.1573127574663957</v>
      </c>
    </row>
    <row r="207" spans="1:12" ht="14.5" x14ac:dyDescent="0.35">
      <c r="A207" s="7">
        <v>200</v>
      </c>
      <c r="B207" s="12">
        <f>Metodo_Grafico!B207</f>
        <v>9165.7000000000007</v>
      </c>
      <c r="C207" s="13">
        <f>Metodo_Grafico!C207</f>
        <v>0</v>
      </c>
      <c r="D207" s="7">
        <f t="shared" si="54"/>
        <v>1</v>
      </c>
      <c r="E207" s="7">
        <f t="shared" si="55"/>
        <v>0</v>
      </c>
      <c r="F207" s="50">
        <f t="shared" si="56"/>
        <v>1</v>
      </c>
      <c r="G207" s="51">
        <f t="shared" si="61"/>
        <v>7.5302995610585316E-2</v>
      </c>
      <c r="H207" s="50">
        <f t="shared" si="57"/>
        <v>0</v>
      </c>
      <c r="I207" s="50">
        <f t="shared" si="62"/>
        <v>0.19572607342401349</v>
      </c>
      <c r="J207" s="50">
        <f t="shared" si="58"/>
        <v>3.3314752784212767E-2</v>
      </c>
      <c r="K207" s="50">
        <f t="shared" si="59"/>
        <v>2.687910071052358E-2</v>
      </c>
      <c r="L207" s="50">
        <f t="shared" si="60"/>
        <v>0.1573127574663957</v>
      </c>
    </row>
  </sheetData>
  <mergeCells count="1">
    <mergeCell ref="N21:T29"/>
  </mergeCells>
  <pageMargins left="0.75" right="0.75" top="1" bottom="1"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P79"/>
  <sheetViews>
    <sheetView showGridLines="0" zoomScaleNormal="100" workbookViewId="0">
      <selection activeCell="O6" sqref="O6"/>
    </sheetView>
  </sheetViews>
  <sheetFormatPr defaultColWidth="8.7265625" defaultRowHeight="15" customHeight="1" x14ac:dyDescent="0.35"/>
  <cols>
    <col min="1" max="1" width="30" customWidth="1"/>
    <col min="2" max="2" width="20" customWidth="1"/>
    <col min="3" max="3" width="22" customWidth="1"/>
    <col min="4" max="4" width="20" customWidth="1"/>
    <col min="5" max="5" width="32.54296875" customWidth="1"/>
    <col min="6" max="6" width="18" customWidth="1"/>
    <col min="7" max="7" width="20" customWidth="1"/>
    <col min="8" max="8" width="3" customWidth="1"/>
    <col min="9" max="9" width="32" customWidth="1"/>
    <col min="10" max="10" width="16" customWidth="1"/>
    <col min="11" max="16" width="12" customWidth="1"/>
  </cols>
  <sheetData>
    <row r="1" spans="1:10" ht="21.75" customHeight="1" x14ac:dyDescent="0.4">
      <c r="A1" s="1" t="s">
        <v>151</v>
      </c>
    </row>
    <row r="2" spans="1:10" ht="14.5" x14ac:dyDescent="0.35">
      <c r="A2" s="2" t="s">
        <v>152</v>
      </c>
    </row>
    <row r="4" spans="1:10" ht="31.5" customHeight="1" x14ac:dyDescent="0.35">
      <c r="A4" s="67" t="s">
        <v>153</v>
      </c>
      <c r="B4" s="67" t="s">
        <v>154</v>
      </c>
      <c r="C4" s="67" t="s">
        <v>155</v>
      </c>
      <c r="D4" s="67" t="s">
        <v>156</v>
      </c>
      <c r="E4" s="67" t="s">
        <v>157</v>
      </c>
      <c r="I4" s="3" t="s">
        <v>158</v>
      </c>
    </row>
    <row r="5" spans="1:10" ht="14.5" x14ac:dyDescent="0.35">
      <c r="A5" s="34" t="s">
        <v>159</v>
      </c>
      <c r="B5" s="35">
        <f>Metodo_Grafico!$P$15</f>
        <v>1.9091803306231587</v>
      </c>
      <c r="C5" s="35">
        <f>Max_Verosimilitud!$I$5</f>
        <v>1.9476758093061974</v>
      </c>
      <c r="D5" s="36" t="s">
        <v>160</v>
      </c>
      <c r="E5" s="37" t="s">
        <v>161</v>
      </c>
      <c r="I5" s="4" t="s">
        <v>162</v>
      </c>
      <c r="J5" s="29">
        <f>Metodo_Grafico!$P$19</f>
        <v>0.98984742882752497</v>
      </c>
    </row>
    <row r="6" spans="1:10" ht="14.5" x14ac:dyDescent="0.35">
      <c r="A6" s="34" t="s">
        <v>163</v>
      </c>
      <c r="B6" s="38">
        <f>Metodo_Grafico!$P$16</f>
        <v>5123.1482306008884</v>
      </c>
      <c r="C6" s="38">
        <f>Max_Verosimilitud!$I$6</f>
        <v>5099.7759822792023</v>
      </c>
      <c r="D6" s="39" t="s">
        <v>160</v>
      </c>
      <c r="E6" s="37" t="s">
        <v>164</v>
      </c>
      <c r="I6" s="4" t="s">
        <v>165</v>
      </c>
      <c r="J6" s="29">
        <f>Max_Verosimilitud!$N$13</f>
        <v>4.9058692464720499E-2</v>
      </c>
    </row>
    <row r="7" spans="1:10" ht="14.5" x14ac:dyDescent="0.35">
      <c r="A7" s="34" t="s">
        <v>166</v>
      </c>
      <c r="B7" s="36" t="s">
        <v>167</v>
      </c>
      <c r="C7" s="35">
        <f>Max_Verosimilitud!$I$28</f>
        <v>0.13715430839746776</v>
      </c>
      <c r="D7" s="36" t="s">
        <v>160</v>
      </c>
      <c r="E7" s="37" t="s">
        <v>168</v>
      </c>
      <c r="I7" s="4" t="s">
        <v>169</v>
      </c>
      <c r="J7" s="29">
        <f>Max_Verosimilitud!$N$14</f>
        <v>0.12312861461782521</v>
      </c>
    </row>
    <row r="8" spans="1:10" ht="14.5" x14ac:dyDescent="0.35">
      <c r="A8" s="34" t="s">
        <v>170</v>
      </c>
      <c r="B8" s="36" t="s">
        <v>167</v>
      </c>
      <c r="C8" s="35">
        <f>Max_Verosimilitud!$I$30</f>
        <v>1.696584534397833</v>
      </c>
      <c r="D8" s="36" t="s">
        <v>160</v>
      </c>
      <c r="E8" s="37" t="s">
        <v>171</v>
      </c>
      <c r="I8" s="4" t="s">
        <v>172</v>
      </c>
      <c r="J8" s="40">
        <f>Max_Verosimilitud!$N$8</f>
        <v>65.325944076038923</v>
      </c>
    </row>
    <row r="9" spans="1:10" ht="14.5" x14ac:dyDescent="0.35">
      <c r="A9" s="34" t="s">
        <v>173</v>
      </c>
      <c r="B9" s="36" t="s">
        <v>167</v>
      </c>
      <c r="C9" s="35">
        <f>Max_Verosimilitud!$I$31</f>
        <v>2.2359281139521601</v>
      </c>
      <c r="D9" s="36" t="s">
        <v>160</v>
      </c>
      <c r="E9" s="37" t="s">
        <v>171</v>
      </c>
      <c r="I9" s="4" t="s">
        <v>174</v>
      </c>
      <c r="J9" s="41">
        <f>Max_Verosimilitud!$N$9</f>
        <v>6.3480104925708205E-16</v>
      </c>
    </row>
    <row r="10" spans="1:10" ht="14.5" x14ac:dyDescent="0.35">
      <c r="A10" s="34" t="s">
        <v>175</v>
      </c>
      <c r="B10" s="36" t="s">
        <v>160</v>
      </c>
      <c r="C10" s="35">
        <f>Max_Verosimilitud!$I$7</f>
        <v>-1145.2920966330637</v>
      </c>
      <c r="D10" s="36" t="s">
        <v>160</v>
      </c>
      <c r="E10" s="37" t="s">
        <v>176</v>
      </c>
      <c r="I10" s="4" t="s">
        <v>177</v>
      </c>
      <c r="J10" s="40">
        <f>Max_Verosimilitud!$N$18</f>
        <v>2294.5841932661274</v>
      </c>
    </row>
    <row r="11" spans="1:10" ht="14.5" x14ac:dyDescent="0.35">
      <c r="A11" s="34" t="s">
        <v>178</v>
      </c>
      <c r="B11" s="38">
        <f>Metodo_Grafico!$P$21</f>
        <v>4545.4075592865292</v>
      </c>
      <c r="C11" s="38">
        <f>Max_Verosimilitud!$I$10</f>
        <v>4522.1544450062684</v>
      </c>
      <c r="D11" s="39" t="s">
        <v>179</v>
      </c>
      <c r="E11" s="37" t="s">
        <v>180</v>
      </c>
      <c r="I11" s="4" t="s">
        <v>181</v>
      </c>
      <c r="J11" s="40">
        <f>Max_Verosimilitud!$N$19</f>
        <v>2357.9101373421663</v>
      </c>
    </row>
    <row r="12" spans="1:10" ht="14.5" x14ac:dyDescent="0.35">
      <c r="A12" s="34" t="s">
        <v>182</v>
      </c>
      <c r="B12" s="38">
        <f>Metodo_Grafico!$P$22</f>
        <v>4228.2794990551793</v>
      </c>
      <c r="C12" s="38">
        <f>Max_Verosimilitud!$I$11</f>
        <v>4224.9903632090127</v>
      </c>
      <c r="D12" s="38">
        <f>Kaplan_Meier!$O$5</f>
        <v>4118.5</v>
      </c>
      <c r="E12" s="37" t="s">
        <v>183</v>
      </c>
      <c r="I12" s="4" t="s">
        <v>103</v>
      </c>
      <c r="J12" s="42" t="str">
        <f>Max_Verosimilitud!$N$21</f>
        <v>Weibull de 2 parametros</v>
      </c>
    </row>
    <row r="13" spans="1:10" ht="14.5" x14ac:dyDescent="0.35">
      <c r="A13" s="34" t="s">
        <v>184</v>
      </c>
      <c r="B13" s="38">
        <f>Metodo_Grafico!$P$23</f>
        <v>1576.2687622099593</v>
      </c>
      <c r="C13" s="38">
        <f>Max_Verosimilitud!$I$12</f>
        <v>1606.0615827651409</v>
      </c>
      <c r="D13" s="39" t="s">
        <v>179</v>
      </c>
      <c r="E13" s="37" t="s">
        <v>185</v>
      </c>
    </row>
    <row r="14" spans="1:10" ht="14.5" x14ac:dyDescent="0.35">
      <c r="I14" s="4" t="s">
        <v>186</v>
      </c>
      <c r="J14" s="43">
        <f>ABS(B5-C5)/C5</f>
        <v>1.9764828673798439E-2</v>
      </c>
    </row>
    <row r="15" spans="1:10" ht="14.5" x14ac:dyDescent="0.35">
      <c r="A15" s="3" t="s">
        <v>187</v>
      </c>
      <c r="I15" s="4" t="s">
        <v>188</v>
      </c>
      <c r="J15" s="43">
        <f>ABS(B6-C6)/C6</f>
        <v>4.5829950968239502E-3</v>
      </c>
    </row>
    <row r="16" spans="1:10" ht="31.5" customHeight="1" x14ac:dyDescent="0.35">
      <c r="A16" s="67" t="s">
        <v>189</v>
      </c>
      <c r="B16" s="67" t="s">
        <v>190</v>
      </c>
      <c r="C16" s="67" t="s">
        <v>191</v>
      </c>
      <c r="D16" s="67" t="s">
        <v>192</v>
      </c>
      <c r="E16" s="67" t="s">
        <v>193</v>
      </c>
      <c r="F16" s="67" t="s">
        <v>194</v>
      </c>
      <c r="G16" s="67" t="s">
        <v>195</v>
      </c>
    </row>
    <row r="17" spans="1:16" ht="14.5" x14ac:dyDescent="0.35">
      <c r="A17" s="44">
        <v>1000</v>
      </c>
      <c r="B17" s="45">
        <f>EXP(-((A17/Metodo_Grafico!$P$16)^Metodo_Grafico!$P$15))</f>
        <v>0.95676805829203881</v>
      </c>
      <c r="C17" s="45">
        <f>EXP(-((A17/Max_Verosimilitud!$I$6)^Max_Verosimilitud!$I$5))</f>
        <v>0.95899288113542713</v>
      </c>
      <c r="D17" s="46">
        <f>IFERROR(LOOKUP(A17,Kaplan_Meier!$B$8:$B$207,Kaplan_Meier!$G$8:$G$207),1)</f>
        <v>0.95</v>
      </c>
      <c r="E17" s="46">
        <f>IFERROR(LOOKUP(A17,Kaplan_Meier!$B$8:$B$207,Kaplan_Meier!$K$8:$K$207),"")</f>
        <v>0.90906609135229077</v>
      </c>
      <c r="F17" s="46">
        <f>IFERROR(LOOKUP(A17,Kaplan_Meier!$B$8:$B$207,Kaplan_Meier!$L$8:$L$207),"")</f>
        <v>0.97278058743373774</v>
      </c>
      <c r="G17" s="45">
        <f t="shared" ref="G17:G24" si="0">C17-D17</f>
        <v>8.9928811354271776E-3</v>
      </c>
    </row>
    <row r="18" spans="1:16" ht="14.5" x14ac:dyDescent="0.35">
      <c r="A18" s="44">
        <v>2000</v>
      </c>
      <c r="B18" s="45">
        <f>EXP(-((A18/Metodo_Grafico!$P$16)^Metodo_Grafico!$P$15))</f>
        <v>0.8470531872984689</v>
      </c>
      <c r="C18" s="45">
        <f>EXP(-((A18/Max_Verosimilitud!$I$6)^Max_Verosimilitud!$I$5))</f>
        <v>0.85084876288250688</v>
      </c>
      <c r="D18" s="46">
        <f>IFERROR(LOOKUP(A18,Kaplan_Meier!$B$8:$B$207,Kaplan_Meier!$G$8:$G$207),1)</f>
        <v>0.87538058679044117</v>
      </c>
      <c r="E18" s="46">
        <f>IFERROR(LOOKUP(A18,Kaplan_Meier!$B$8:$B$207,Kaplan_Meier!$K$8:$K$207),"")</f>
        <v>0.81967729258983746</v>
      </c>
      <c r="F18" s="46">
        <f>IFERROR(LOOKUP(A18,Kaplan_Meier!$B$8:$B$207,Kaplan_Meier!$L$8:$L$207),"")</f>
        <v>0.91476496855653822</v>
      </c>
      <c r="G18" s="45">
        <f t="shared" si="0"/>
        <v>-2.4531823907934291E-2</v>
      </c>
      <c r="I18" s="3" t="s">
        <v>196</v>
      </c>
    </row>
    <row r="19" spans="1:16" ht="15" customHeight="1" x14ac:dyDescent="0.35">
      <c r="A19" s="44">
        <v>3000</v>
      </c>
      <c r="B19" s="45">
        <f>EXP(-((A19/Metodo_Grafico!$P$16)^Metodo_Grafico!$P$15))</f>
        <v>0.69769131639633586</v>
      </c>
      <c r="C19" s="45">
        <f>EXP(-((A19/Max_Verosimilitud!$I$6)^Max_Verosimilitud!$I$5))</f>
        <v>0.70061765221700267</v>
      </c>
      <c r="D19" s="46">
        <f>IFERROR(LOOKUP(A19,Kaplan_Meier!$B$8:$B$207,Kaplan_Meier!$G$8:$G$207),1)</f>
        <v>0.72015612868085299</v>
      </c>
      <c r="E19" s="46">
        <f>IFERROR(LOOKUP(A19,Kaplan_Meier!$B$8:$B$207,Kaplan_Meier!$K$8:$K$207),"")</f>
        <v>0.64729091845525699</v>
      </c>
      <c r="F19" s="46">
        <f>IFERROR(LOOKUP(A19,Kaplan_Meier!$B$8:$B$207,Kaplan_Meier!$L$8:$L$207),"")</f>
        <v>0.78053475588110932</v>
      </c>
      <c r="G19" s="45">
        <f t="shared" si="0"/>
        <v>-1.9538476463850318E-2</v>
      </c>
      <c r="I19" s="100" t="s">
        <v>197</v>
      </c>
      <c r="J19" s="100"/>
      <c r="K19" s="100"/>
      <c r="L19" s="100"/>
      <c r="M19" s="100"/>
      <c r="N19" s="100"/>
      <c r="O19" s="100"/>
      <c r="P19" s="100"/>
    </row>
    <row r="20" spans="1:16" ht="14.5" x14ac:dyDescent="0.35">
      <c r="A20" s="44">
        <v>4000</v>
      </c>
      <c r="B20" s="45">
        <f>EXP(-((A20/Metodo_Grafico!$P$16)^Metodo_Grafico!$P$15))</f>
        <v>0.53608747182616345</v>
      </c>
      <c r="C20" s="45">
        <f>EXP(-((A20/Max_Verosimilitud!$I$6)^Max_Verosimilitud!$I$5))</f>
        <v>0.53629495749177825</v>
      </c>
      <c r="D20" s="46">
        <f>IFERROR(LOOKUP(A20,Kaplan_Meier!$B$8:$B$207,Kaplan_Meier!$G$8:$G$207),1)</f>
        <v>0.51588682400789876</v>
      </c>
      <c r="E20" s="46">
        <f>IFERROR(LOOKUP(A20,Kaplan_Meier!$B$8:$B$207,Kaplan_Meier!$K$8:$K$207),"")</f>
        <v>0.4341765516642011</v>
      </c>
      <c r="F20" s="46">
        <f>IFERROR(LOOKUP(A20,Kaplan_Meier!$B$8:$B$207,Kaplan_Meier!$L$8:$L$207),"")</f>
        <v>0.59151320308120947</v>
      </c>
      <c r="G20" s="45">
        <f t="shared" si="0"/>
        <v>2.0408133483879487E-2</v>
      </c>
      <c r="I20" s="100"/>
      <c r="J20" s="100"/>
      <c r="K20" s="100"/>
      <c r="L20" s="100"/>
      <c r="M20" s="100"/>
      <c r="N20" s="100"/>
      <c r="O20" s="100"/>
      <c r="P20" s="100"/>
    </row>
    <row r="21" spans="1:16" ht="14.5" x14ac:dyDescent="0.35">
      <c r="A21" s="44">
        <v>5000</v>
      </c>
      <c r="B21" s="45">
        <f>EXP(-((A21/Metodo_Grafico!$P$16)^Metodo_Grafico!$P$15))</f>
        <v>0.38496236082889335</v>
      </c>
      <c r="C21" s="45">
        <f>EXP(-((A21/Max_Verosimilitud!$I$6)^Max_Verosimilitud!$I$5))</f>
        <v>0.38203328569190104</v>
      </c>
      <c r="D21" s="46">
        <f>IFERROR(LOOKUP(A21,Kaplan_Meier!$B$8:$B$207,Kaplan_Meier!$G$8:$G$207),1)</f>
        <v>0.38662425715875615</v>
      </c>
      <c r="E21" s="46">
        <f>IFERROR(LOOKUP(A21,Kaplan_Meier!$B$8:$B$207,Kaplan_Meier!$K$8:$K$207),"")</f>
        <v>0.30591270341485888</v>
      </c>
      <c r="F21" s="46">
        <f>IFERROR(LOOKUP(A21,Kaplan_Meier!$B$8:$B$207,Kaplan_Meier!$L$8:$L$207),"")</f>
        <v>0.46652766474413104</v>
      </c>
      <c r="G21" s="45">
        <f t="shared" si="0"/>
        <v>-4.5909714668551094E-3</v>
      </c>
      <c r="I21" s="100"/>
      <c r="J21" s="100"/>
      <c r="K21" s="100"/>
      <c r="L21" s="100"/>
      <c r="M21" s="100"/>
      <c r="N21" s="100"/>
      <c r="O21" s="100"/>
      <c r="P21" s="100"/>
    </row>
    <row r="22" spans="1:16" ht="14.5" x14ac:dyDescent="0.35">
      <c r="A22" s="44">
        <v>6000</v>
      </c>
      <c r="B22" s="45">
        <f>EXP(-((A22/Metodo_Grafico!$P$16)^Metodo_Grafico!$P$15))</f>
        <v>0.25870583942538733</v>
      </c>
      <c r="C22" s="45">
        <f>EXP(-((A22/Max_Verosimilitud!$I$6)^Max_Verosimilitud!$I$5))</f>
        <v>0.25347740937485125</v>
      </c>
      <c r="D22" s="46">
        <f>IFERROR(LOOKUP(A22,Kaplan_Meier!$B$8:$B$207,Kaplan_Meier!$G$8:$G$207),1)</f>
        <v>0.21983190297546312</v>
      </c>
      <c r="E22" s="46">
        <f>IFERROR(LOOKUP(A22,Kaplan_Meier!$B$8:$B$207,Kaplan_Meier!$K$8:$K$207),"")</f>
        <v>0.14927588191067978</v>
      </c>
      <c r="F22" s="46">
        <f>IFERROR(LOOKUP(A22,Kaplan_Meier!$B$8:$B$207,Kaplan_Meier!$L$8:$L$207),"")</f>
        <v>0.29921378873878457</v>
      </c>
      <c r="G22" s="45">
        <f t="shared" si="0"/>
        <v>3.3645506399388125E-2</v>
      </c>
      <c r="I22" s="100"/>
      <c r="J22" s="100"/>
      <c r="K22" s="100"/>
      <c r="L22" s="100"/>
      <c r="M22" s="100"/>
      <c r="N22" s="100"/>
      <c r="O22" s="100"/>
      <c r="P22" s="100"/>
    </row>
    <row r="23" spans="1:16" ht="14.5" x14ac:dyDescent="0.35">
      <c r="A23" s="44">
        <v>7000</v>
      </c>
      <c r="B23" s="45">
        <f>EXP(-((A23/Metodo_Grafico!$P$16)^Metodo_Grafico!$P$15))</f>
        <v>0.1628828321451285</v>
      </c>
      <c r="C23" s="45">
        <f>EXP(-((A23/Max_Verosimilitud!$I$6)^Max_Verosimilitud!$I$5))</f>
        <v>0.15675182816764166</v>
      </c>
      <c r="D23" s="46">
        <f>IFERROR(LOOKUP(A23,Kaplan_Meier!$B$8:$B$207,Kaplan_Meier!$G$8:$G$207),1)</f>
        <v>0.16064639063591532</v>
      </c>
      <c r="E23" s="46">
        <f>IFERROR(LOOKUP(A23,Kaplan_Meier!$B$8:$B$207,Kaplan_Meier!$K$8:$K$207),"")</f>
        <v>9.7208678131104329E-2</v>
      </c>
      <c r="F23" s="46">
        <f>IFERROR(LOOKUP(A23,Kaplan_Meier!$B$8:$B$207,Kaplan_Meier!$L$8:$L$207),"")</f>
        <v>0.23824216123779443</v>
      </c>
      <c r="G23" s="45">
        <f t="shared" si="0"/>
        <v>-3.8945624682736601E-3</v>
      </c>
      <c r="I23" s="100"/>
      <c r="J23" s="100"/>
      <c r="K23" s="100"/>
      <c r="L23" s="100"/>
      <c r="M23" s="100"/>
      <c r="N23" s="100"/>
      <c r="O23" s="100"/>
      <c r="P23" s="100"/>
    </row>
    <row r="24" spans="1:16" ht="14.5" x14ac:dyDescent="0.35">
      <c r="A24" s="44">
        <v>8000</v>
      </c>
      <c r="B24" s="45">
        <f>EXP(-((A24/Metodo_Grafico!$P$16)^Metodo_Grafico!$P$15))</f>
        <v>9.6165861498602928E-2</v>
      </c>
      <c r="C24" s="45">
        <f>EXP(-((A24/Max_Verosimilitud!$I$6)^Max_Verosimilitud!$I$5))</f>
        <v>9.0399877319640123E-2</v>
      </c>
      <c r="D24" s="46">
        <f>IFERROR(LOOKUP(A24,Kaplan_Meier!$B$8:$B$207,Kaplan_Meier!$G$8:$G$207),1)</f>
        <v>0.10040399414744708</v>
      </c>
      <c r="E24" s="46">
        <f>IFERROR(LOOKUP(A24,Kaplan_Meier!$B$8:$B$207,Kaplan_Meier!$K$8:$K$207),"")</f>
        <v>4.6926286918852901E-2</v>
      </c>
      <c r="F24" s="46">
        <f>IFERROR(LOOKUP(A24,Kaplan_Meier!$B$8:$B$207,Kaplan_Meier!$L$8:$L$207),"")</f>
        <v>0.17780845476545118</v>
      </c>
      <c r="G24" s="45">
        <f t="shared" si="0"/>
        <v>-1.0004116827806955E-2</v>
      </c>
      <c r="I24" s="100"/>
      <c r="J24" s="100"/>
      <c r="K24" s="100"/>
      <c r="L24" s="100"/>
      <c r="M24" s="100"/>
      <c r="N24" s="100"/>
      <c r="O24" s="100"/>
      <c r="P24" s="100"/>
    </row>
    <row r="25" spans="1:16" ht="14.5" x14ac:dyDescent="0.35">
      <c r="I25" s="100"/>
      <c r="J25" s="100"/>
      <c r="K25" s="100"/>
      <c r="L25" s="100"/>
      <c r="M25" s="100"/>
      <c r="N25" s="100"/>
      <c r="O25" s="100"/>
      <c r="P25" s="100"/>
    </row>
    <row r="26" spans="1:16" ht="14.5" x14ac:dyDescent="0.35">
      <c r="I26" s="100"/>
      <c r="J26" s="100"/>
      <c r="K26" s="100"/>
      <c r="L26" s="100"/>
      <c r="M26" s="100"/>
      <c r="N26" s="100"/>
      <c r="O26" s="100"/>
      <c r="P26" s="100"/>
    </row>
    <row r="27" spans="1:16" ht="14.5" x14ac:dyDescent="0.35">
      <c r="A27" s="3" t="s">
        <v>198</v>
      </c>
      <c r="I27" s="100"/>
      <c r="J27" s="100"/>
      <c r="K27" s="100"/>
      <c r="L27" s="100"/>
      <c r="M27" s="100"/>
      <c r="N27" s="100"/>
      <c r="O27" s="100"/>
      <c r="P27" s="100"/>
    </row>
    <row r="28" spans="1:16" ht="31.5" customHeight="1" x14ac:dyDescent="0.35">
      <c r="A28" s="67" t="s">
        <v>189</v>
      </c>
      <c r="B28" s="67" t="s">
        <v>190</v>
      </c>
      <c r="C28" s="67" t="s">
        <v>191</v>
      </c>
      <c r="D28" s="67" t="s">
        <v>192</v>
      </c>
      <c r="I28" s="100"/>
      <c r="J28" s="100"/>
      <c r="K28" s="100"/>
      <c r="L28" s="100"/>
      <c r="M28" s="100"/>
      <c r="N28" s="100"/>
      <c r="O28" s="100"/>
      <c r="P28" s="100"/>
    </row>
    <row r="29" spans="1:16" ht="14.5" x14ac:dyDescent="0.35">
      <c r="A29" s="47">
        <v>0</v>
      </c>
      <c r="B29" s="15">
        <f>EXP(-((A29/Metodo_Grafico!$P$16)^Metodo_Grafico!$P$15))</f>
        <v>1</v>
      </c>
      <c r="C29" s="15">
        <f>EXP(-((A29/Max_Verosimilitud!$I$6)^Max_Verosimilitud!$I$5))</f>
        <v>1</v>
      </c>
      <c r="D29" s="15">
        <f>IFERROR(LOOKUP(A29,Kaplan_Meier!$B$8:$B$207,Kaplan_Meier!$G$8:$G$207),1)</f>
        <v>1</v>
      </c>
      <c r="I29" s="100"/>
      <c r="J29" s="100"/>
      <c r="K29" s="100"/>
      <c r="L29" s="100"/>
      <c r="M29" s="100"/>
      <c r="N29" s="100"/>
      <c r="O29" s="100"/>
      <c r="P29" s="100"/>
    </row>
    <row r="30" spans="1:16" ht="14.5" x14ac:dyDescent="0.35">
      <c r="A30" s="47">
        <v>200</v>
      </c>
      <c r="B30" s="15">
        <f>EXP(-((A30/Metodo_Grafico!$P$16)^Metodo_Grafico!$P$15))</f>
        <v>0.9979560885665808</v>
      </c>
      <c r="C30" s="15">
        <f>EXP(-((A30/Max_Verosimilitud!$I$6)^Max_Verosimilitud!$I$5))</f>
        <v>0.99817963999569692</v>
      </c>
      <c r="D30" s="15">
        <f>IFERROR(LOOKUP(A30,Kaplan_Meier!$B$8:$B$207,Kaplan_Meier!$G$8:$G$207),1)</f>
        <v>1</v>
      </c>
      <c r="I30" s="100"/>
      <c r="J30" s="100"/>
      <c r="K30" s="100"/>
      <c r="L30" s="100"/>
      <c r="M30" s="100"/>
      <c r="N30" s="100"/>
      <c r="O30" s="100"/>
      <c r="P30" s="100"/>
    </row>
    <row r="31" spans="1:16" ht="14.5" x14ac:dyDescent="0.35">
      <c r="A31" s="47">
        <v>400</v>
      </c>
      <c r="B31" s="15">
        <f>EXP(-((A31/Metodo_Grafico!$P$16)^Metodo_Grafico!$P$15))</f>
        <v>0.99234475339684824</v>
      </c>
      <c r="C31" s="15">
        <f>EXP(-((A31/Max_Verosimilitud!$I$6)^Max_Verosimilitud!$I$5))</f>
        <v>0.99299615720618561</v>
      </c>
      <c r="D31" s="15">
        <f>IFERROR(LOOKUP(A31,Kaplan_Meier!$B$8:$B$207,Kaplan_Meier!$G$8:$G$207),1)</f>
        <v>1</v>
      </c>
      <c r="I31" s="100"/>
      <c r="J31" s="100"/>
      <c r="K31" s="100"/>
      <c r="L31" s="100"/>
      <c r="M31" s="100"/>
      <c r="N31" s="100"/>
      <c r="O31" s="100"/>
      <c r="P31" s="100"/>
    </row>
    <row r="32" spans="1:16" ht="14.5" x14ac:dyDescent="0.35">
      <c r="A32" s="47">
        <v>600</v>
      </c>
      <c r="B32" s="15">
        <f>EXP(-((A32/Metodo_Grafico!$P$16)^Metodo_Grafico!$P$15))</f>
        <v>0.98347265977244425</v>
      </c>
      <c r="C32" s="15">
        <f>EXP(-((A32/Max_Verosimilitud!$I$6)^Max_Verosimilitud!$I$5))</f>
        <v>0.98463711303459045</v>
      </c>
      <c r="D32" s="15">
        <f>IFERROR(LOOKUP(A32,Kaplan_Meier!$B$8:$B$207,Kaplan_Meier!$G$8:$G$207),1)</f>
        <v>0.98</v>
      </c>
      <c r="I32" s="100"/>
      <c r="J32" s="100"/>
      <c r="K32" s="100"/>
      <c r="L32" s="100"/>
      <c r="M32" s="100"/>
      <c r="N32" s="100"/>
      <c r="O32" s="100"/>
      <c r="P32" s="100"/>
    </row>
    <row r="33" spans="1:16" ht="14.5" x14ac:dyDescent="0.35">
      <c r="A33" s="47">
        <v>800</v>
      </c>
      <c r="B33" s="15">
        <f>EXP(-((A33/Metodo_Grafico!$P$16)^Metodo_Grafico!$P$15))</f>
        <v>0.97154917634755356</v>
      </c>
      <c r="C33" s="15">
        <f>EXP(-((A33/Max_Verosimilitud!$I$6)^Max_Verosimilitud!$I$5))</f>
        <v>0.97325168457138311</v>
      </c>
      <c r="D33" s="15">
        <f>IFERROR(LOOKUP(A33,Kaplan_Meier!$B$8:$B$207,Kaplan_Meier!$G$8:$G$207),1)</f>
        <v>0.97</v>
      </c>
      <c r="I33" s="100"/>
      <c r="J33" s="100"/>
      <c r="K33" s="100"/>
      <c r="L33" s="100"/>
      <c r="M33" s="100"/>
      <c r="N33" s="100"/>
      <c r="O33" s="100"/>
      <c r="P33" s="100"/>
    </row>
    <row r="34" spans="1:16" ht="14.5" x14ac:dyDescent="0.35">
      <c r="A34" s="47">
        <v>1000</v>
      </c>
      <c r="B34" s="15">
        <f>EXP(-((A34/Metodo_Grafico!$P$16)^Metodo_Grafico!$P$15))</f>
        <v>0.95676805829203881</v>
      </c>
      <c r="C34" s="15">
        <f>EXP(-((A34/Max_Verosimilitud!$I$6)^Max_Verosimilitud!$I$5))</f>
        <v>0.95899288113542713</v>
      </c>
      <c r="D34" s="15">
        <f>IFERROR(LOOKUP(A34,Kaplan_Meier!$B$8:$B$207,Kaplan_Meier!$G$8:$G$207),1)</f>
        <v>0.95</v>
      </c>
      <c r="I34" s="100"/>
      <c r="J34" s="100"/>
      <c r="K34" s="100"/>
      <c r="L34" s="100"/>
      <c r="M34" s="100"/>
      <c r="N34" s="100"/>
      <c r="O34" s="100"/>
      <c r="P34" s="100"/>
    </row>
    <row r="35" spans="1:16" ht="14.5" x14ac:dyDescent="0.35">
      <c r="A35" s="47">
        <v>1200</v>
      </c>
      <c r="B35" s="15">
        <f>EXP(-((A35/Metodo_Grafico!$P$16)^Metodo_Grafico!$P$15))</f>
        <v>0.93932413433866735</v>
      </c>
      <c r="C35" s="15">
        <f>EXP(-((A35/Max_Verosimilitud!$I$6)^Max_Verosimilitud!$I$5))</f>
        <v>0.94202574648149418</v>
      </c>
      <c r="D35" s="15">
        <f>IFERROR(LOOKUP(A35,Kaplan_Meier!$B$8:$B$207,Kaplan_Meier!$G$8:$G$207),1)</f>
        <v>0.93473174843059736</v>
      </c>
      <c r="I35" s="100"/>
      <c r="J35" s="100"/>
      <c r="K35" s="100"/>
      <c r="L35" s="100"/>
      <c r="M35" s="100"/>
      <c r="N35" s="100"/>
      <c r="O35" s="100"/>
      <c r="P35" s="100"/>
    </row>
    <row r="36" spans="1:16" ht="14.5" x14ac:dyDescent="0.35">
      <c r="A36" s="47">
        <v>1400</v>
      </c>
      <c r="B36" s="15">
        <f>EXP(-((A36/Metodo_Grafico!$P$16)^Metodo_Grafico!$P$15))</f>
        <v>0.91941853101927762</v>
      </c>
      <c r="C36" s="15">
        <f>EXP(-((A36/Max_Verosimilitud!$I$6)^Max_Verosimilitud!$I$5))</f>
        <v>0.92252927619449432</v>
      </c>
      <c r="D36" s="15">
        <f>IFERROR(LOOKUP(A36,Kaplan_Meier!$B$8:$B$207,Kaplan_Meier!$G$8:$G$207),1)</f>
        <v>0.9191509624029236</v>
      </c>
      <c r="I36" s="100"/>
      <c r="J36" s="100"/>
      <c r="K36" s="100"/>
      <c r="L36" s="100"/>
      <c r="M36" s="100"/>
      <c r="N36" s="100"/>
      <c r="O36" s="100"/>
      <c r="P36" s="100"/>
    </row>
    <row r="37" spans="1:16" ht="14.5" x14ac:dyDescent="0.35">
      <c r="A37" s="47">
        <v>1600</v>
      </c>
      <c r="B37" s="15">
        <f>EXP(-((A37/Metodo_Grafico!$P$16)^Metodo_Grafico!$P$15))</f>
        <v>0.89725996332353852</v>
      </c>
      <c r="C37" s="15">
        <f>EXP(-((A37/Max_Verosimilitud!$I$6)^Max_Verosimilitud!$I$5))</f>
        <v>0.90069606754226372</v>
      </c>
      <c r="D37" s="15">
        <f>IFERROR(LOOKUP(A37,Kaplan_Meier!$B$8:$B$207,Kaplan_Meier!$G$8:$G$207),1)</f>
        <v>0.90345342888842284</v>
      </c>
      <c r="I37" s="100"/>
      <c r="J37" s="100"/>
      <c r="K37" s="100"/>
      <c r="L37" s="100"/>
      <c r="M37" s="100"/>
      <c r="N37" s="100"/>
      <c r="O37" s="100"/>
      <c r="P37" s="100"/>
    </row>
    <row r="38" spans="1:16" ht="14.5" x14ac:dyDescent="0.35">
      <c r="A38" s="47">
        <v>1800</v>
      </c>
      <c r="B38" s="15">
        <f>EXP(-((A38/Metodo_Grafico!$P$16)^Metodo_Grafico!$P$15))</f>
        <v>0.87306428907232447</v>
      </c>
      <c r="C38" s="15">
        <f>EXP(-((A38/Max_Verosimilitud!$I$6)^Max_Verosimilitud!$I$5))</f>
        <v>0.87673090378279395</v>
      </c>
      <c r="D38" s="15">
        <f>IFERROR(LOOKUP(A38,Kaplan_Meier!$B$8:$B$207,Kaplan_Meier!$G$8:$G$207),1)</f>
        <v>0.89243487977440761</v>
      </c>
      <c r="I38" s="100"/>
      <c r="J38" s="100"/>
      <c r="K38" s="100"/>
      <c r="L38" s="100"/>
      <c r="M38" s="100"/>
      <c r="N38" s="100"/>
      <c r="O38" s="100"/>
      <c r="P38" s="100"/>
    </row>
    <row r="39" spans="1:16" ht="14.5" x14ac:dyDescent="0.35">
      <c r="A39" s="47">
        <v>2000</v>
      </c>
      <c r="B39" s="15">
        <f>EXP(-((A39/Metodo_Grafico!$P$16)^Metodo_Grafico!$P$15))</f>
        <v>0.8470531872984689</v>
      </c>
      <c r="C39" s="15">
        <f>EXP(-((A39/Max_Verosimilitud!$I$6)^Max_Verosimilitud!$I$5))</f>
        <v>0.85084876288250688</v>
      </c>
      <c r="D39" s="15">
        <f>IFERROR(LOOKUP(A39,Kaplan_Meier!$B$8:$B$207,Kaplan_Meier!$G$8:$G$207),1)</f>
        <v>0.87538058679044117</v>
      </c>
      <c r="I39" s="100"/>
      <c r="J39" s="100"/>
      <c r="K39" s="100"/>
      <c r="L39" s="100"/>
      <c r="M39" s="100"/>
      <c r="N39" s="100"/>
      <c r="O39" s="100"/>
      <c r="P39" s="100"/>
    </row>
    <row r="40" spans="1:16" ht="14.5" x14ac:dyDescent="0.35">
      <c r="A40" s="47">
        <v>2200</v>
      </c>
      <c r="B40" s="15">
        <f>EXP(-((A40/Metodo_Grafico!$P$16)^Metodo_Grafico!$P$15))</f>
        <v>0.8194523690664417</v>
      </c>
      <c r="C40" s="15">
        <f>EXP(-((A40/Max_Verosimilitud!$I$6)^Max_Verosimilitud!$I$5))</f>
        <v>0.82327249883187315</v>
      </c>
      <c r="D40" s="15">
        <f>IFERROR(LOOKUP(A40,Kaplan_Meier!$B$8:$B$207,Kaplan_Meier!$G$8:$G$207),1)</f>
        <v>0.82941441858459863</v>
      </c>
      <c r="I40" s="100"/>
      <c r="J40" s="100"/>
      <c r="K40" s="100"/>
      <c r="L40" s="100"/>
      <c r="M40" s="100"/>
      <c r="N40" s="100"/>
      <c r="O40" s="100"/>
      <c r="P40" s="100"/>
    </row>
    <row r="41" spans="1:16" ht="14.5" x14ac:dyDescent="0.35">
      <c r="A41" s="47">
        <v>2400</v>
      </c>
      <c r="B41" s="15">
        <f>EXP(-((A41/Metodo_Grafico!$P$16)^Metodo_Grafico!$P$15))</f>
        <v>0.79048954550808237</v>
      </c>
      <c r="C41" s="15">
        <f>EXP(-((A41/Max_Verosimilitud!$I$6)^Max_Verosimilitud!$I$5))</f>
        <v>0.79423034503544976</v>
      </c>
      <c r="D41" s="15">
        <f>IFERROR(LOOKUP(A41,Kaplan_Meier!$B$8:$B$207,Kaplan_Meier!$G$8:$G$207),1)</f>
        <v>0.79407362387154712</v>
      </c>
    </row>
    <row r="42" spans="1:16" ht="14.5" x14ac:dyDescent="0.35">
      <c r="A42" s="47">
        <v>2600</v>
      </c>
      <c r="B42" s="15">
        <f>EXP(-((A42/Metodo_Grafico!$P$16)^Metodo_Grafico!$P$15))</f>
        <v>0.76039229234537276</v>
      </c>
      <c r="C42" s="15">
        <f>EXP(-((A42/Max_Verosimilitud!$I$6)^Max_Verosimilitud!$I$5))</f>
        <v>0.76395334277654459</v>
      </c>
      <c r="D42" s="15">
        <f>IFERROR(LOOKUP(A42,Kaplan_Meier!$B$8:$B$207,Kaplan_Meier!$G$8:$G$207),1)</f>
        <v>0.75181613971490058</v>
      </c>
    </row>
    <row r="43" spans="1:16" ht="14.5" x14ac:dyDescent="0.35">
      <c r="A43" s="47">
        <v>2800</v>
      </c>
      <c r="B43" s="15">
        <f>EXP(-((A43/Metodo_Grafico!$P$16)^Metodo_Grafico!$P$15))</f>
        <v>0.72938590550339111</v>
      </c>
      <c r="C43" s="15">
        <f>EXP(-((A43/Max_Verosimilitud!$I$6)^Max_Verosimilitud!$I$5))</f>
        <v>0.73267277275302156</v>
      </c>
      <c r="D43" s="15">
        <f>IFERROR(LOOKUP(A43,Kaplan_Meier!$B$8:$B$207,Kaplan_Meier!$G$8:$G$207),1)</f>
        <v>0.7330180920981022</v>
      </c>
    </row>
    <row r="44" spans="1:16" ht="14.5" x14ac:dyDescent="0.35">
      <c r="A44" s="47">
        <v>3000</v>
      </c>
      <c r="B44" s="15">
        <f>EXP(-((A44/Metodo_Grafico!$P$16)^Metodo_Grafico!$P$15))</f>
        <v>0.69769131639633586</v>
      </c>
      <c r="C44" s="15">
        <f>EXP(-((A44/Max_Verosimilitud!$I$6)^Max_Verosimilitud!$I$5))</f>
        <v>0.70061765221700267</v>
      </c>
      <c r="D44" s="15">
        <f>IFERROR(LOOKUP(A44,Kaplan_Meier!$B$8:$B$207,Kaplan_Meier!$G$8:$G$207),1)</f>
        <v>0.72015612868085299</v>
      </c>
    </row>
    <row r="45" spans="1:16" ht="14.5" x14ac:dyDescent="0.35">
      <c r="A45" s="47">
        <v>3200</v>
      </c>
      <c r="B45" s="15">
        <f>EXP(-((A45/Metodo_Grafico!$P$16)^Metodo_Grafico!$P$15))</f>
        <v>0.6655231185896231</v>
      </c>
      <c r="C45" s="15">
        <f>EXP(-((A45/Max_Verosimilitud!$I$6)^Max_Verosimilitud!$I$5))</f>
        <v>0.66801234923401431</v>
      </c>
      <c r="D45" s="15">
        <f>IFERROR(LOOKUP(A45,Kaplan_Meier!$B$8:$B$207,Kaplan_Meier!$G$8:$G$207),1)</f>
        <v>0.70694225476010342</v>
      </c>
    </row>
    <row r="46" spans="1:16" ht="14.5" x14ac:dyDescent="0.35">
      <c r="A46" s="47">
        <v>3400</v>
      </c>
      <c r="B46" s="15">
        <f>EXP(-((A46/Metodo_Grafico!$P$16)^Metodo_Grafico!$P$15))</f>
        <v>0.63308774541391533</v>
      </c>
      <c r="C46" s="15">
        <f>EXP(-((A46/Max_Verosimilitud!$I$6)^Max_Verosimilitud!$I$5))</f>
        <v>0.6350743566917989</v>
      </c>
      <c r="D46" s="15">
        <f>IFERROR(LOOKUP(A46,Kaplan_Meier!$B$8:$B$207,Kaplan_Meier!$G$8:$G$207),1)</f>
        <v>0.64462695651776802</v>
      </c>
    </row>
    <row r="47" spans="1:16" ht="14.5" x14ac:dyDescent="0.35">
      <c r="A47" s="47">
        <v>3600</v>
      </c>
      <c r="B47" s="15">
        <f>EXP(-((A47/Metodo_Grafico!$P$16)^Metodo_Grafico!$P$15))</f>
        <v>0.60058182859896059</v>
      </c>
      <c r="C47" s="15">
        <f>EXP(-((A47/Max_Verosimilitud!$I$6)^Max_Verosimilitud!$I$5))</f>
        <v>0.60201226085317272</v>
      </c>
      <c r="D47" s="15">
        <f>IFERROR(LOOKUP(A47,Kaplan_Meier!$B$8:$B$207,Kaplan_Meier!$G$8:$G$207),1)</f>
        <v>0.60234719936473757</v>
      </c>
    </row>
    <row r="48" spans="1:16" ht="14.5" x14ac:dyDescent="0.35">
      <c r="A48" s="47">
        <v>3800</v>
      </c>
      <c r="B48" s="15">
        <f>EXP(-((A48/Metodo_Grafico!$P$16)^Metodo_Grafico!$P$15))</f>
        <v>0.56819076003601399</v>
      </c>
      <c r="C48" s="15">
        <f>EXP(-((A48/Max_Verosimilitud!$I$6)^Max_Verosimilitud!$I$5))</f>
        <v>0.56902393196395151</v>
      </c>
      <c r="D48" s="15">
        <f>IFERROR(LOOKUP(A48,Kaplan_Meier!$B$8:$B$207,Kaplan_Meier!$G$8:$G$207),1)</f>
        <v>0.55948289364236892</v>
      </c>
    </row>
    <row r="49" spans="1:4" ht="14.5" x14ac:dyDescent="0.35">
      <c r="A49" s="47">
        <v>4000</v>
      </c>
      <c r="B49" s="15">
        <f>EXP(-((A49/Metodo_Grafico!$P$16)^Metodo_Grafico!$P$15))</f>
        <v>0.53608747182616345</v>
      </c>
      <c r="C49" s="15">
        <f>EXP(-((A49/Max_Verosimilitud!$I$6)^Max_Verosimilitud!$I$5))</f>
        <v>0.53629495749177825</v>
      </c>
      <c r="D49" s="15">
        <f>IFERROR(LOOKUP(A49,Kaplan_Meier!$B$8:$B$207,Kaplan_Meier!$G$8:$G$207),1)</f>
        <v>0.51588682400789876</v>
      </c>
    </row>
    <row r="50" spans="1:4" ht="14.5" x14ac:dyDescent="0.35">
      <c r="A50" s="47">
        <v>4200</v>
      </c>
      <c r="B50" s="15">
        <f>EXP(-((A50/Metodo_Grafico!$P$16)^Metodo_Grafico!$P$15))</f>
        <v>0.50443144356059066</v>
      </c>
      <c r="C50" s="15">
        <f>EXP(-((A50/Max_Verosimilitud!$I$6)^Max_Verosimilitud!$I$5))</f>
        <v>0.50399733193087193</v>
      </c>
      <c r="D50" s="15">
        <f>IFERROR(LOOKUP(A50,Kaplan_Meier!$B$8:$B$207,Kaplan_Meier!$G$8:$G$207),1)</f>
        <v>0.493233779388906</v>
      </c>
    </row>
    <row r="51" spans="1:4" ht="14.5" x14ac:dyDescent="0.35">
      <c r="A51" s="47">
        <v>4400</v>
      </c>
      <c r="B51" s="15">
        <f>EXP(-((A51/Metodo_Grafico!$P$16)^Metodo_Grafico!$P$15))</f>
        <v>0.47336794018458855</v>
      </c>
      <c r="C51" s="15">
        <f>EXP(-((A51/Max_Verosimilitud!$I$6)^Max_Verosimilitud!$I$5))</f>
        <v>0.47228841078457651</v>
      </c>
      <c r="D51" s="15">
        <f>IFERROR(LOOKUP(A51,Kaplan_Meier!$B$8:$B$207,Kaplan_Meier!$G$8:$G$207),1)</f>
        <v>0.4618928829902359</v>
      </c>
    </row>
    <row r="52" spans="1:4" ht="14.5" x14ac:dyDescent="0.35">
      <c r="A52" s="47">
        <v>4600</v>
      </c>
      <c r="B52" s="15">
        <f>EXP(-((A52/Metodo_Grafico!$P$16)^Metodo_Grafico!$P$15))</f>
        <v>0.44302747877277843</v>
      </c>
      <c r="C52" s="15">
        <f>EXP(-((A52/Max_Verosimilitud!$I$6)^Max_Verosimilitud!$I$5))</f>
        <v>0.44131013039225286</v>
      </c>
      <c r="D52" s="15">
        <f>IFERROR(LOOKUP(A52,Kaplan_Meier!$B$8:$B$207,Kaplan_Meier!$G$8:$G$207),1)</f>
        <v>0.43758273125390768</v>
      </c>
    </row>
    <row r="53" spans="1:4" ht="14.5" x14ac:dyDescent="0.35">
      <c r="A53" s="47">
        <v>4800</v>
      </c>
      <c r="B53" s="15">
        <f>EXP(-((A53/Metodo_Grafico!$P$16)^Metodo_Grafico!$P$15))</f>
        <v>0.41352551807911792</v>
      </c>
      <c r="C53" s="15">
        <f>EXP(-((A53/Max_Verosimilitud!$I$6)^Max_Verosimilitud!$I$5))</f>
        <v>0.41118848977325406</v>
      </c>
      <c r="D53" s="15">
        <f>IFERROR(LOOKUP(A53,Kaplan_Meier!$B$8:$B$207,Kaplan_Meier!$G$8:$G$207),1)</f>
        <v>0.40421585632169249</v>
      </c>
    </row>
    <row r="54" spans="1:4" ht="14.5" x14ac:dyDescent="0.35">
      <c r="A54" s="47">
        <v>5000</v>
      </c>
      <c r="B54" s="15">
        <f>EXP(-((A54/Metodo_Grafico!$P$16)^Metodo_Grafico!$P$15))</f>
        <v>0.38496236082889335</v>
      </c>
      <c r="C54" s="15">
        <f>EXP(-((A54/Max_Verosimilitud!$I$6)^Max_Verosimilitud!$I$5))</f>
        <v>0.38203328569190104</v>
      </c>
      <c r="D54" s="15">
        <f>IFERROR(LOOKUP(A54,Kaplan_Meier!$B$8:$B$207,Kaplan_Meier!$G$8:$G$207),1)</f>
        <v>0.38662425715875615</v>
      </c>
    </row>
    <row r="55" spans="1:4" ht="14.5" x14ac:dyDescent="0.35">
      <c r="A55" s="47">
        <v>5200</v>
      </c>
      <c r="B55" s="15">
        <f>EXP(-((A55/Metodo_Grafico!$P$16)^Metodo_Grafico!$P$15))</f>
        <v>0.35742325540159497</v>
      </c>
      <c r="C55" s="15">
        <f>EXP(-((A55/Max_Verosimilitud!$I$6)^Max_Verosimilitud!$I$5))</f>
        <v>0.35393808776819846</v>
      </c>
      <c r="D55" s="15">
        <f>IFERROR(LOOKUP(A55,Kaplan_Meier!$B$8:$B$207,Kaplan_Meier!$G$8:$G$207),1)</f>
        <v>0.35900823879027355</v>
      </c>
    </row>
    <row r="56" spans="1:4" ht="14.5" x14ac:dyDescent="0.35">
      <c r="A56" s="47">
        <v>5400</v>
      </c>
      <c r="B56" s="15">
        <f>EXP(-((A56/Metodo_Grafico!$P$16)^Metodo_Grafico!$P$15))</f>
        <v>0.33097868082046805</v>
      </c>
      <c r="C56" s="15">
        <f>EXP(-((A56/Max_Verosimilitud!$I$6)^Max_Verosimilitud!$I$5))</f>
        <v>0.32698043672028454</v>
      </c>
      <c r="D56" s="15">
        <f>IFERROR(LOOKUP(A56,Kaplan_Meier!$B$8:$B$207,Kaplan_Meier!$G$8:$G$207),1)</f>
        <v>0.32989946267214326</v>
      </c>
    </row>
    <row r="57" spans="1:4" ht="14.5" x14ac:dyDescent="0.35">
      <c r="A57" s="47">
        <v>5600</v>
      </c>
      <c r="B57" s="15">
        <f>EXP(-((A57/Metodo_Grafico!$P$16)^Metodo_Grafico!$P$15))</f>
        <v>0.30568479681609662</v>
      </c>
      <c r="C57" s="15">
        <f>EXP(-((A57/Max_Verosimilitud!$I$6)^Max_Verosimilitud!$I$5))</f>
        <v>0.30122224576037587</v>
      </c>
      <c r="D57" s="15">
        <f>IFERROR(LOOKUP(A57,Kaplan_Meier!$B$8:$B$207,Kaplan_Meier!$G$8:$G$207),1)</f>
        <v>0.30079068655401292</v>
      </c>
    </row>
    <row r="58" spans="1:4" ht="14.5" x14ac:dyDescent="0.35">
      <c r="A58" s="47">
        <v>5800</v>
      </c>
      <c r="B58" s="15">
        <f>EXP(-((A58/Metodo_Grafico!$P$16)^Metodo_Grafico!$P$15))</f>
        <v>0.2815840391575658</v>
      </c>
      <c r="C58" s="15">
        <f>EXP(-((A58/Max_Verosimilitud!$I$6)^Max_Verosimilitud!$I$5))</f>
        <v>0.2767103827924034</v>
      </c>
      <c r="D58" s="15">
        <f>IFERROR(LOOKUP(A58,Kaplan_Meier!$B$8:$B$207,Kaplan_Meier!$G$8:$G$207),1)</f>
        <v>0.25123646054338639</v>
      </c>
    </row>
    <row r="59" spans="1:4" ht="14.5" x14ac:dyDescent="0.35">
      <c r="A59" s="47">
        <v>6000</v>
      </c>
      <c r="B59" s="15">
        <f>EXP(-((A59/Metodo_Grafico!$P$16)^Metodo_Grafico!$P$15))</f>
        <v>0.25870583942538733</v>
      </c>
      <c r="C59" s="15">
        <f>EXP(-((A59/Max_Verosimilitud!$I$6)^Max_Verosimilitud!$I$5))</f>
        <v>0.25347740937485125</v>
      </c>
      <c r="D59" s="15">
        <f>IFERROR(LOOKUP(A59,Kaplan_Meier!$B$8:$B$207,Kaplan_Meier!$G$8:$G$207),1)</f>
        <v>0.21983190297546312</v>
      </c>
    </row>
    <row r="60" spans="1:4" ht="14.5" x14ac:dyDescent="0.35">
      <c r="A60" s="47">
        <v>6200</v>
      </c>
      <c r="B60" s="15">
        <f>EXP(-((A60/Metodo_Grafico!$P$16)^Metodo_Grafico!$P$15))</f>
        <v>0.23706744790545073</v>
      </c>
      <c r="C60" s="15">
        <f>EXP(-((A60/Max_Verosimilitud!$I$6)^Max_Verosimilitud!$I$5))</f>
        <v>0.2315424513976323</v>
      </c>
      <c r="D60" s="15">
        <f>IFERROR(LOOKUP(A60,Kaplan_Meier!$B$8:$B$207,Kaplan_Meier!$G$8:$G$207),1)</f>
        <v>0.19889553126351422</v>
      </c>
    </row>
    <row r="61" spans="1:4" ht="14.5" x14ac:dyDescent="0.35">
      <c r="A61" s="47">
        <v>6400</v>
      </c>
      <c r="B61" s="15">
        <f>EXP(-((A61/Metodo_Grafico!$P$16)^Metodo_Grafico!$P$15))</f>
        <v>0.21667483827398321</v>
      </c>
      <c r="C61" s="15">
        <f>EXP(-((A61/Max_Verosimilitud!$I$6)^Max_Verosimilitud!$I$5))</f>
        <v>0.21091217604279935</v>
      </c>
      <c r="D61" s="15">
        <f>IFERROR(LOOKUP(A61,Kaplan_Meier!$B$8:$B$207,Kaplan_Meier!$G$8:$G$207),1)</f>
        <v>0.17403358985557493</v>
      </c>
    </row>
    <row r="62" spans="1:4" ht="14.5" x14ac:dyDescent="0.35">
      <c r="A62" s="47">
        <v>6600</v>
      </c>
      <c r="B62" s="15">
        <f>EXP(-((A62/Metodo_Grafico!$P$16)^Metodo_Grafico!$P$15))</f>
        <v>0.19752367317351693</v>
      </c>
      <c r="C62" s="15">
        <f>EXP(-((A62/Max_Verosimilitud!$I$6)^Max_Verosimilitud!$I$5))</f>
        <v>0.19158184980767295</v>
      </c>
      <c r="D62" s="15">
        <f>IFERROR(LOOKUP(A62,Kaplan_Meier!$B$8:$B$207,Kaplan_Meier!$G$8:$G$207),1)</f>
        <v>0.17403358985557493</v>
      </c>
    </row>
    <row r="63" spans="1:4" ht="14.5" x14ac:dyDescent="0.35">
      <c r="A63" s="47">
        <v>6800</v>
      </c>
      <c r="B63" s="15">
        <f>EXP(-((A63/Metodo_Grafico!$P$16)^Metodo_Grafico!$P$15))</f>
        <v>0.17960031059699899</v>
      </c>
      <c r="C63" s="15">
        <f>EXP(-((A63/Max_Verosimilitud!$I$6)^Max_Verosimilitud!$I$5))</f>
        <v>0.17353645310669299</v>
      </c>
      <c r="D63" s="15">
        <f>IFERROR(LOOKUP(A63,Kaplan_Meier!$B$8:$B$207,Kaplan_Meier!$G$8:$G$207),1)</f>
        <v>0.17403358985557493</v>
      </c>
    </row>
    <row r="64" spans="1:4" ht="14.5" x14ac:dyDescent="0.35">
      <c r="A64" s="47">
        <v>7000</v>
      </c>
      <c r="B64" s="15">
        <f>EXP(-((A64/Metodo_Grafico!$P$16)^Metodo_Grafico!$P$15))</f>
        <v>0.1628828321451285</v>
      </c>
      <c r="C64" s="15">
        <f>EXP(-((A64/Max_Verosimilitud!$I$6)^Max_Verosimilitud!$I$5))</f>
        <v>0.15675182816764166</v>
      </c>
      <c r="D64" s="15">
        <f>IFERROR(LOOKUP(A64,Kaplan_Meier!$B$8:$B$207,Kaplan_Meier!$G$8:$G$207),1)</f>
        <v>0.16064639063591532</v>
      </c>
    </row>
    <row r="65" spans="1:4" ht="14.5" x14ac:dyDescent="0.35">
      <c r="A65" s="47">
        <v>7200</v>
      </c>
      <c r="B65" s="15">
        <f>EXP(-((A65/Metodo_Grafico!$P$16)^Metodo_Grafico!$P$15))</f>
        <v>0.14734207564203836</v>
      </c>
      <c r="C65" s="15">
        <f>EXP(-((A65/Max_Verosimilitud!$I$6)^Max_Verosimilitud!$I$5))</f>
        <v>0.14119583852572318</v>
      </c>
      <c r="D65" s="15">
        <f>IFERROR(LOOKUP(A65,Kaplan_Meier!$B$8:$B$207,Kaplan_Meier!$G$8:$G$207),1)</f>
        <v>0.14725919141625571</v>
      </c>
    </row>
    <row r="66" spans="1:4" ht="14.5" x14ac:dyDescent="0.35">
      <c r="A66" s="47">
        <v>7400</v>
      </c>
      <c r="B66" s="15">
        <f>EXP(-((A66/Metodo_Grafico!$P$16)^Metodo_Grafico!$P$15))</f>
        <v>0.13294265622724027</v>
      </c>
      <c r="C66" s="15">
        <f>EXP(-((A66/Max_Verosimilitud!$I$6)^Max_Verosimilitud!$I$5))</f>
        <v>0.12682952031902392</v>
      </c>
      <c r="D66" s="15">
        <f>IFERROR(LOOKUP(A66,Kaplan_Meier!$B$8:$B$207,Kaplan_Meier!$G$8:$G$207),1)</f>
        <v>0.12048479297693648</v>
      </c>
    </row>
    <row r="67" spans="1:4" ht="14.5" x14ac:dyDescent="0.35">
      <c r="A67" s="47">
        <v>7600</v>
      </c>
      <c r="B67" s="15">
        <f>EXP(-((A67/Metodo_Grafico!$P$16)^Metodo_Grafico!$P$15))</f>
        <v>0.11964396182884501</v>
      </c>
      <c r="C67" s="15">
        <f>EXP(-((A67/Max_Verosimilitud!$I$6)^Max_Verosimilitud!$I$5))</f>
        <v>0.11360820772416751</v>
      </c>
      <c r="D67" s="15">
        <f>IFERROR(LOOKUP(A67,Kaplan_Meier!$B$8:$B$207,Kaplan_Meier!$G$8:$G$207),1)</f>
        <v>0.12048479297693648</v>
      </c>
    </row>
    <row r="68" spans="1:4" ht="14.5" x14ac:dyDescent="0.35">
      <c r="A68" s="47">
        <v>7800</v>
      </c>
      <c r="B68" s="15">
        <f>EXP(-((A68/Metodo_Grafico!$P$16)^Metodo_Grafico!$P$15))</f>
        <v>0.10740111080838763</v>
      </c>
      <c r="C68" s="15">
        <f>EXP(-((A68/Max_Verosimilitud!$I$6)^Max_Verosimilitud!$I$5))</f>
        <v>0.10148261716614874</v>
      </c>
      <c r="D68" s="15">
        <f>IFERROR(LOOKUP(A68,Kaplan_Meier!$B$8:$B$207,Kaplan_Meier!$G$8:$G$207),1)</f>
        <v>0.12048479297693648</v>
      </c>
    </row>
    <row r="69" spans="1:4" ht="14.5" x14ac:dyDescent="0.35">
      <c r="A69" s="47">
        <v>8000</v>
      </c>
      <c r="B69" s="15">
        <f>EXP(-((A69/Metodo_Grafico!$P$16)^Metodo_Grafico!$P$15))</f>
        <v>9.6165861498602928E-2</v>
      </c>
      <c r="C69" s="15">
        <f>EXP(-((A69/Max_Verosimilitud!$I$6)^Max_Verosimilitud!$I$5))</f>
        <v>9.0399877319640123E-2</v>
      </c>
      <c r="D69" s="15">
        <f>IFERROR(LOOKUP(A69,Kaplan_Meier!$B$8:$B$207,Kaplan_Meier!$G$8:$G$207),1)</f>
        <v>0.10040399414744708</v>
      </c>
    </row>
    <row r="70" spans="1:4" ht="14.5" x14ac:dyDescent="0.35">
      <c r="A70" s="47">
        <v>8200</v>
      </c>
      <c r="B70" s="15">
        <f>EXP(-((A70/Metodo_Grafico!$P$16)^Metodo_Grafico!$P$15))</f>
        <v>8.5887465284245471E-2</v>
      </c>
      <c r="C70" s="15">
        <f>EXP(-((A70/Max_Verosimilitud!$I$6)^Max_Verosimilitud!$I$5))</f>
        <v>8.0304494324053205E-2</v>
      </c>
      <c r="D70" s="15">
        <f>IFERROR(LOOKUP(A70,Kaplan_Meier!$B$8:$B$207,Kaplan_Meier!$G$8:$G$207),1)</f>
        <v>7.5302995610585316E-2</v>
      </c>
    </row>
    <row r="71" spans="1:4" ht="14.5" x14ac:dyDescent="0.35">
      <c r="A71" s="47">
        <v>8400</v>
      </c>
      <c r="B71" s="15">
        <f>EXP(-((A71/Metodo_Grafico!$P$16)^Metodo_Grafico!$P$15))</f>
        <v>7.6513456759930626E-2</v>
      </c>
      <c r="C71" s="15">
        <f>EXP(-((A71/Max_Verosimilitud!$I$6)^Max_Verosimilitud!$I$5))</f>
        <v>7.1139244001496363E-2</v>
      </c>
      <c r="D71" s="15">
        <f>IFERROR(LOOKUP(A71,Kaplan_Meier!$B$8:$B$207,Kaplan_Meier!$G$8:$G$207),1)</f>
        <v>7.5302995610585316E-2</v>
      </c>
    </row>
    <row r="72" spans="1:4" ht="14.5" x14ac:dyDescent="0.35">
      <c r="A72" s="47">
        <v>8600</v>
      </c>
      <c r="B72" s="15">
        <f>EXP(-((A72/Metodo_Grafico!$P$16)^Metodo_Grafico!$P$15))</f>
        <v>6.799037630122752E-2</v>
      </c>
      <c r="C72" s="15">
        <f>EXP(-((A72/Max_Verosimilitud!$I$6)^Max_Verosimilitud!$I$5))</f>
        <v>6.2845985143335018E-2</v>
      </c>
      <c r="D72" s="15">
        <f>IFERROR(LOOKUP(A72,Kaplan_Meier!$B$8:$B$207,Kaplan_Meier!$G$8:$G$207),1)</f>
        <v>7.5302995610585316E-2</v>
      </c>
    </row>
    <row r="73" spans="1:4" ht="14.5" x14ac:dyDescent="0.35">
      <c r="A73" s="47">
        <v>8800</v>
      </c>
      <c r="B73" s="15">
        <f>EXP(-((A73/Metodo_Grafico!$P$16)^Metodo_Grafico!$P$15))</f>
        <v>6.0264422075304032E-2</v>
      </c>
      <c r="C73" s="15">
        <f>EXP(-((A73/Max_Verosimilitud!$I$6)^Max_Verosimilitud!$I$5))</f>
        <v>5.5366390073431887E-2</v>
      </c>
      <c r="D73" s="15">
        <f>IFERROR(LOOKUP(A73,Kaplan_Meier!$B$8:$B$207,Kaplan_Meier!$G$8:$G$207),1)</f>
        <v>7.5302995610585316E-2</v>
      </c>
    </row>
    <row r="74" spans="1:4" ht="14.5" x14ac:dyDescent="0.35">
      <c r="A74" s="47">
        <v>9000</v>
      </c>
      <c r="B74" s="15">
        <f>EXP(-((A74/Metodo_Grafico!$P$16)^Metodo_Grafico!$P$15))</f>
        <v>5.328203007100716E-2</v>
      </c>
      <c r="C74" s="15">
        <f>EXP(-((A74/Max_Verosimilitud!$I$6)^Max_Verosimilitud!$I$5))</f>
        <v>4.8642590669047088E-2</v>
      </c>
      <c r="D74" s="15">
        <f>IFERROR(LOOKUP(A74,Kaplan_Meier!$B$8:$B$207,Kaplan_Meier!$G$8:$G$207),1)</f>
        <v>7.5302995610585316E-2</v>
      </c>
    </row>
    <row r="75" spans="1:4" ht="14.5" x14ac:dyDescent="0.35">
      <c r="A75" s="47">
        <v>9200</v>
      </c>
      <c r="B75" s="15">
        <f>EXP(-((A75/Metodo_Grafico!$P$16)^Metodo_Grafico!$P$15))</f>
        <v>4.6990382127253684E-2</v>
      </c>
      <c r="C75" s="15">
        <f>EXP(-((A75/Max_Verosimilitud!$I$6)^Max_Verosimilitud!$I$5))</f>
        <v>4.2617739797116638E-2</v>
      </c>
      <c r="D75" s="15">
        <f>IFERROR(LOOKUP(A75,Kaplan_Meier!$B$8:$B$207,Kaplan_Meier!$G$8:$G$207),1)</f>
        <v>7.5302995610585316E-2</v>
      </c>
    </row>
    <row r="76" spans="1:4" ht="14.5" x14ac:dyDescent="0.35">
      <c r="A76" s="47">
        <v>9400</v>
      </c>
      <c r="B76" s="15">
        <f>EXP(-((A76/Metodo_Grafico!$P$16)^Metodo_Grafico!$P$15))</f>
        <v>4.1337843170812363E-2</v>
      </c>
      <c r="C76" s="15">
        <f>EXP(-((A76/Max_Verosimilitud!$I$6)^Max_Verosimilitud!$I$5))</f>
        <v>3.7236489685876333E-2</v>
      </c>
      <c r="D76" s="15">
        <f>IFERROR(LOOKUP(A76,Kaplan_Meier!$B$8:$B$207,Kaplan_Meier!$G$8:$G$207),1)</f>
        <v>7.5302995610585316E-2</v>
      </c>
    </row>
    <row r="77" spans="1:4" ht="14.5" x14ac:dyDescent="0.35">
      <c r="A77" s="47">
        <v>9600</v>
      </c>
      <c r="B77" s="15">
        <f>EXP(-((A77/Metodo_Grafico!$P$16)^Metodo_Grafico!$P$15))</f>
        <v>3.6274329933316786E-2</v>
      </c>
      <c r="C77" s="15">
        <f>EXP(-((A77/Max_Verosimilitud!$I$6)^Max_Verosimilitud!$I$5))</f>
        <v>3.2445390089069506E-2</v>
      </c>
      <c r="D77" s="15">
        <f>IFERROR(LOOKUP(A77,Kaplan_Meier!$B$8:$B$207,Kaplan_Meier!$G$8:$G$207),1)</f>
        <v>7.5302995610585316E-2</v>
      </c>
    </row>
    <row r="78" spans="1:4" ht="14.5" x14ac:dyDescent="0.35">
      <c r="A78" s="47">
        <v>9800</v>
      </c>
      <c r="B78" s="15">
        <f>EXP(-((A78/Metodo_Grafico!$P$16)^Metodo_Grafico!$P$15))</f>
        <v>3.1751614301009166E-2</v>
      </c>
      <c r="C78" s="15">
        <f>EXP(-((A78/Max_Verosimilitud!$I$6)^Max_Verosimilitud!$I$5))</f>
        <v>2.8193210208982997E-2</v>
      </c>
      <c r="D78" s="15">
        <f>IFERROR(LOOKUP(A78,Kaplan_Meier!$B$8:$B$207,Kaplan_Meier!$G$8:$G$207),1)</f>
        <v>7.5302995610585316E-2</v>
      </c>
    </row>
    <row r="79" spans="1:4" ht="14.5" x14ac:dyDescent="0.35">
      <c r="A79" s="47">
        <v>10000</v>
      </c>
      <c r="B79" s="15">
        <f>EXP(-((A79/Metodo_Grafico!$P$16)^Metodo_Grafico!$P$15))</f>
        <v>2.7723565162066158E-2</v>
      </c>
      <c r="C79" s="15">
        <f>EXP(-((A79/Max_Verosimilitud!$I$6)^Max_Verosimilitud!$I$5))</f>
        <v>2.4431189228362481E-2</v>
      </c>
      <c r="D79" s="15">
        <f>IFERROR(LOOKUP(A79,Kaplan_Meier!$B$8:$B$207,Kaplan_Meier!$G$8:$G$207),1)</f>
        <v>7.5302995610585316E-2</v>
      </c>
    </row>
  </sheetData>
  <mergeCells count="1">
    <mergeCell ref="I19:P40"/>
  </mergeCells>
  <pageMargins left="0.75" right="0.75" top="1" bottom="1"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14933-3AFF-4958-92BC-6A5B342463F7}">
  <dimension ref="A1:H45"/>
  <sheetViews>
    <sheetView workbookViewId="0">
      <selection activeCell="D18" sqref="A18:D18"/>
    </sheetView>
  </sheetViews>
  <sheetFormatPr defaultRowHeight="14.5" x14ac:dyDescent="0.35"/>
  <cols>
    <col min="1" max="1" width="35.26953125" customWidth="1"/>
    <col min="2" max="2" width="9.7265625" bestFit="1" customWidth="1"/>
    <col min="3" max="3" width="8" bestFit="1" customWidth="1"/>
    <col min="4" max="4" width="23.81640625" customWidth="1"/>
    <col min="5" max="5" width="14.54296875" bestFit="1" customWidth="1"/>
    <col min="6" max="6" width="12.453125" bestFit="1" customWidth="1"/>
    <col min="7" max="7" width="16.453125" customWidth="1"/>
    <col min="8" max="8" width="74.81640625" customWidth="1"/>
  </cols>
  <sheetData>
    <row r="1" spans="1:8" ht="24.75" customHeight="1" x14ac:dyDescent="0.35">
      <c r="A1" s="101" t="s">
        <v>199</v>
      </c>
      <c r="B1" s="101"/>
      <c r="C1" s="101"/>
      <c r="D1" s="101"/>
      <c r="E1" s="101"/>
      <c r="F1" s="101"/>
      <c r="G1" s="101"/>
      <c r="H1" s="101"/>
    </row>
    <row r="2" spans="1:8" ht="24.75" customHeight="1" x14ac:dyDescent="0.35">
      <c r="A2" s="102" t="s">
        <v>200</v>
      </c>
      <c r="B2" s="102"/>
      <c r="C2" s="102"/>
      <c r="D2" s="102"/>
      <c r="E2" s="102"/>
      <c r="F2" s="102"/>
      <c r="G2" s="102"/>
      <c r="H2" s="102"/>
    </row>
    <row r="3" spans="1:8" x14ac:dyDescent="0.35">
      <c r="A3" s="69"/>
      <c r="B3" s="69"/>
      <c r="C3" s="69"/>
      <c r="D3" s="69"/>
      <c r="E3" s="69"/>
      <c r="F3" s="69"/>
      <c r="G3" s="69"/>
      <c r="H3" s="69"/>
    </row>
    <row r="4" spans="1:8" ht="32.25" customHeight="1" x14ac:dyDescent="0.35">
      <c r="A4" s="103" t="s">
        <v>201</v>
      </c>
      <c r="B4" s="103"/>
      <c r="C4" s="103"/>
      <c r="D4" s="103"/>
      <c r="E4" s="103"/>
      <c r="F4" s="103"/>
      <c r="G4" s="103"/>
      <c r="H4" s="103"/>
    </row>
    <row r="5" spans="1:8" x14ac:dyDescent="0.35">
      <c r="A5" s="69"/>
      <c r="B5" s="69"/>
      <c r="C5" s="69"/>
      <c r="D5" s="69"/>
      <c r="E5" s="69"/>
      <c r="F5" s="69"/>
      <c r="G5" s="69"/>
      <c r="H5" s="69"/>
    </row>
    <row r="6" spans="1:8" x14ac:dyDescent="0.35">
      <c r="A6" s="70" t="s">
        <v>202</v>
      </c>
      <c r="B6" s="70" t="s">
        <v>203</v>
      </c>
      <c r="C6" s="69"/>
      <c r="D6" s="70" t="s">
        <v>204</v>
      </c>
      <c r="E6" s="70" t="s">
        <v>205</v>
      </c>
      <c r="F6" s="70" t="s">
        <v>206</v>
      </c>
      <c r="G6" s="70" t="s">
        <v>207</v>
      </c>
      <c r="H6" s="70" t="s">
        <v>208</v>
      </c>
    </row>
    <row r="7" spans="1:8" x14ac:dyDescent="0.35">
      <c r="A7" s="71" t="s">
        <v>209</v>
      </c>
      <c r="B7" s="73">
        <f>Max_Verosimilitud!I5</f>
        <v>1.9476758093061974</v>
      </c>
      <c r="C7" s="69"/>
      <c r="D7" s="71" t="s">
        <v>210</v>
      </c>
      <c r="E7" s="73">
        <f>Max_Verosimilitud!I5</f>
        <v>1.9476758093061974</v>
      </c>
      <c r="F7" s="73">
        <f>B7</f>
        <v>1.9476758093061974</v>
      </c>
      <c r="G7" s="69">
        <v>1</v>
      </c>
      <c r="H7" s="82" t="s">
        <v>211</v>
      </c>
    </row>
    <row r="8" spans="1:8" x14ac:dyDescent="0.35">
      <c r="A8" s="71" t="s">
        <v>212</v>
      </c>
      <c r="B8" s="74">
        <f>Datos!I4</f>
        <v>200</v>
      </c>
      <c r="C8" s="69"/>
      <c r="D8" s="71" t="s">
        <v>213</v>
      </c>
      <c r="E8" s="79">
        <f>Max_Verosimilitud!I6</f>
        <v>5099.7759822792023</v>
      </c>
      <c r="F8" s="79">
        <f>B19</f>
        <v>5157.1997389814123</v>
      </c>
      <c r="G8" s="69">
        <v>2</v>
      </c>
      <c r="H8" s="82" t="s">
        <v>214</v>
      </c>
    </row>
    <row r="9" spans="1:8" x14ac:dyDescent="0.35">
      <c r="A9" s="71" t="s">
        <v>215</v>
      </c>
      <c r="B9" s="74">
        <f>Datos!I5</f>
        <v>122</v>
      </c>
      <c r="C9" s="69"/>
      <c r="D9" s="71" t="s">
        <v>178</v>
      </c>
      <c r="E9" s="79">
        <f>Max_Verosimilitud!I10</f>
        <v>4522.1544450062684</v>
      </c>
      <c r="F9" s="79">
        <f>B22</f>
        <v>4573.0741515820464</v>
      </c>
      <c r="G9" s="69">
        <v>3</v>
      </c>
      <c r="H9" s="82" t="s">
        <v>216</v>
      </c>
    </row>
    <row r="10" spans="1:8" x14ac:dyDescent="0.35">
      <c r="A10" s="71" t="s">
        <v>217</v>
      </c>
      <c r="B10" s="75">
        <v>1</v>
      </c>
      <c r="C10" s="69"/>
      <c r="D10" s="71" t="s">
        <v>218</v>
      </c>
      <c r="E10" s="79">
        <f>Max_Verosimilitud!I11</f>
        <v>4224.9903632090127</v>
      </c>
      <c r="F10" s="79">
        <f>B23</f>
        <v>4272.5639859581561</v>
      </c>
      <c r="G10" s="69">
        <v>4</v>
      </c>
      <c r="H10" s="82" t="s">
        <v>219</v>
      </c>
    </row>
    <row r="11" spans="1:8" x14ac:dyDescent="0.35">
      <c r="A11" s="71" t="s">
        <v>220</v>
      </c>
      <c r="B11" s="76">
        <v>10000</v>
      </c>
      <c r="C11" s="69"/>
      <c r="D11" s="71" t="s">
        <v>221</v>
      </c>
      <c r="E11" s="79">
        <f>Max_Verosimilitud!I12</f>
        <v>1606.0615827651409</v>
      </c>
      <c r="F11" s="79">
        <f>B24</f>
        <v>1624.5031392810326</v>
      </c>
      <c r="G11" s="69">
        <v>5</v>
      </c>
      <c r="H11" s="82" t="s">
        <v>222</v>
      </c>
    </row>
    <row r="12" spans="1:8" x14ac:dyDescent="0.35">
      <c r="A12" s="71" t="s">
        <v>223</v>
      </c>
      <c r="B12" s="77">
        <f>POWER(B11,B7)</f>
        <v>61759424.047049798</v>
      </c>
      <c r="C12" s="69"/>
      <c r="D12" s="69"/>
      <c r="E12" s="69"/>
      <c r="F12" s="69"/>
      <c r="G12" s="69"/>
      <c r="H12" s="82"/>
    </row>
    <row r="13" spans="1:8" x14ac:dyDescent="0.35">
      <c r="A13" s="71"/>
      <c r="B13" s="77"/>
      <c r="C13" s="69"/>
      <c r="D13" s="69"/>
      <c r="E13" s="69"/>
      <c r="F13" s="69"/>
      <c r="G13" s="69"/>
      <c r="H13" s="82"/>
    </row>
    <row r="14" spans="1:8" x14ac:dyDescent="0.35">
      <c r="A14" s="72" t="s">
        <v>224</v>
      </c>
      <c r="B14" s="78" t="s">
        <v>225</v>
      </c>
      <c r="C14" s="69"/>
      <c r="D14" s="69"/>
      <c r="E14" s="69"/>
      <c r="F14" s="69"/>
      <c r="G14" s="70" t="s">
        <v>226</v>
      </c>
      <c r="H14" s="83" t="s">
        <v>227</v>
      </c>
    </row>
    <row r="15" spans="1:8" x14ac:dyDescent="0.35">
      <c r="A15" s="71" t="s">
        <v>228</v>
      </c>
      <c r="B15" s="77" cm="1">
        <f t="array" ref="B15">SUMPRODUCT(POWER(Datos!$C$5:$C$204,$B$7))</f>
        <v>2029866230.177099</v>
      </c>
      <c r="C15" s="69"/>
      <c r="D15" s="69"/>
      <c r="E15" s="69"/>
      <c r="F15" s="69"/>
      <c r="G15" s="69" t="s">
        <v>229</v>
      </c>
      <c r="H15" s="82" t="s">
        <v>230</v>
      </c>
    </row>
    <row r="16" spans="1:8" x14ac:dyDescent="0.35">
      <c r="A16" s="71" t="s">
        <v>231</v>
      </c>
      <c r="B16" s="74">
        <f>B10+B9</f>
        <v>123</v>
      </c>
      <c r="C16" s="69"/>
      <c r="D16" s="69"/>
      <c r="E16" s="69"/>
      <c r="F16" s="69"/>
      <c r="G16" s="69" t="s">
        <v>232</v>
      </c>
      <c r="H16" s="82" t="s">
        <v>233</v>
      </c>
    </row>
    <row r="17" spans="1:8" x14ac:dyDescent="0.35">
      <c r="A17" s="71" t="s">
        <v>234</v>
      </c>
      <c r="B17" s="77">
        <f>B12+B15</f>
        <v>2091625654.2241488</v>
      </c>
      <c r="C17" s="69"/>
      <c r="D17" s="69"/>
      <c r="E17" s="69"/>
      <c r="F17" s="69"/>
      <c r="G17" s="69" t="s">
        <v>235</v>
      </c>
      <c r="H17" s="82" t="s">
        <v>236</v>
      </c>
    </row>
    <row r="18" spans="1:8" x14ac:dyDescent="0.35">
      <c r="A18" s="71" t="s">
        <v>237</v>
      </c>
      <c r="B18" s="77">
        <f>B16/B17</f>
        <v>5.8805933916327229E-8</v>
      </c>
      <c r="C18" s="69"/>
      <c r="D18" s="69"/>
      <c r="E18" s="69"/>
      <c r="F18" s="69"/>
      <c r="G18" s="69" t="s">
        <v>238</v>
      </c>
      <c r="H18" s="82" t="s">
        <v>239</v>
      </c>
    </row>
    <row r="19" spans="1:8" x14ac:dyDescent="0.35">
      <c r="A19" s="71" t="s">
        <v>240</v>
      </c>
      <c r="B19" s="79">
        <f>POWER(1/B18,1/B7)</f>
        <v>5157.1997389814123</v>
      </c>
      <c r="C19" s="69"/>
      <c r="D19" s="69"/>
      <c r="E19" s="69"/>
      <c r="F19" s="69"/>
      <c r="G19" s="69"/>
      <c r="H19" s="69"/>
    </row>
    <row r="20" spans="1:8" x14ac:dyDescent="0.35">
      <c r="A20" s="71" t="s">
        <v>241</v>
      </c>
      <c r="B20" s="79">
        <f>POWER(_xlfn.GAMMA.INV(0.975,B16,1/B17),-1/B7)</f>
        <v>4728.2173536848313</v>
      </c>
      <c r="C20" s="69"/>
      <c r="D20" s="69"/>
      <c r="E20" s="69"/>
      <c r="F20" s="69"/>
      <c r="G20" s="69"/>
      <c r="H20" s="69"/>
    </row>
    <row r="21" spans="1:8" x14ac:dyDescent="0.35">
      <c r="A21" s="71" t="s">
        <v>242</v>
      </c>
      <c r="B21" s="79">
        <f>POWER(_xlfn.GAMMA.INV(0.025,B16,1/B17),-1/B7)</f>
        <v>5671.0981596408865</v>
      </c>
      <c r="C21" s="69"/>
      <c r="D21" s="69"/>
      <c r="E21" s="69"/>
      <c r="F21" s="69"/>
      <c r="G21" s="69"/>
      <c r="H21" s="69"/>
    </row>
    <row r="22" spans="1:8" x14ac:dyDescent="0.35">
      <c r="A22" s="71" t="s">
        <v>243</v>
      </c>
      <c r="B22" s="79">
        <f>B19*_xlfn.GAMMA(1+1/B7)</f>
        <v>4573.0741515820464</v>
      </c>
      <c r="C22" s="69"/>
      <c r="D22" s="69"/>
      <c r="E22" s="69"/>
      <c r="F22" s="69"/>
      <c r="G22" s="69"/>
      <c r="H22" s="69"/>
    </row>
    <row r="23" spans="1:8" x14ac:dyDescent="0.35">
      <c r="A23" s="71" t="s">
        <v>244</v>
      </c>
      <c r="B23" s="79">
        <f>B19*POWER(LN(2),1/B7)</f>
        <v>4272.5639859581561</v>
      </c>
      <c r="C23" s="69"/>
      <c r="D23" s="69"/>
      <c r="E23" s="69"/>
      <c r="F23" s="69"/>
      <c r="G23" s="69"/>
      <c r="H23" s="69"/>
    </row>
    <row r="24" spans="1:8" x14ac:dyDescent="0.35">
      <c r="A24" s="71" t="s">
        <v>245</v>
      </c>
      <c r="B24" s="79">
        <f>POWER(B17*(POWER(0.9,-1/B16)-1),1/B7)</f>
        <v>1624.5031392810326</v>
      </c>
      <c r="C24" s="69"/>
      <c r="D24" s="69"/>
      <c r="E24" s="69"/>
      <c r="F24" s="69"/>
      <c r="G24" s="69"/>
      <c r="H24" s="69"/>
    </row>
    <row r="25" spans="1:8" x14ac:dyDescent="0.35">
      <c r="A25" s="69"/>
      <c r="B25" s="69"/>
      <c r="C25" s="69"/>
      <c r="D25" s="69"/>
      <c r="E25" s="69"/>
      <c r="F25" s="69"/>
      <c r="G25" s="69"/>
      <c r="H25" s="69"/>
    </row>
    <row r="26" spans="1:8" x14ac:dyDescent="0.35">
      <c r="A26" s="69"/>
      <c r="B26" s="69"/>
      <c r="C26" s="69"/>
      <c r="D26" s="69"/>
      <c r="E26" s="69"/>
      <c r="F26" s="69"/>
      <c r="G26" s="69"/>
      <c r="H26" s="69"/>
    </row>
    <row r="27" spans="1:8" x14ac:dyDescent="0.35">
      <c r="A27" s="104" t="s">
        <v>246</v>
      </c>
      <c r="B27" s="104"/>
      <c r="C27" s="104"/>
      <c r="D27" s="104"/>
      <c r="E27" s="104"/>
      <c r="F27" s="69"/>
      <c r="G27" s="69"/>
      <c r="H27" s="69"/>
    </row>
    <row r="28" spans="1:8" x14ac:dyDescent="0.35">
      <c r="A28" s="70" t="s">
        <v>189</v>
      </c>
      <c r="B28" s="70" t="s">
        <v>247</v>
      </c>
      <c r="C28" s="70" t="s">
        <v>248</v>
      </c>
      <c r="D28" s="70" t="s">
        <v>135</v>
      </c>
      <c r="E28" s="70" t="s">
        <v>136</v>
      </c>
      <c r="F28" s="69"/>
      <c r="G28" s="69"/>
      <c r="H28" s="69"/>
    </row>
    <row r="29" spans="1:8" x14ac:dyDescent="0.35">
      <c r="A29" s="80">
        <v>1000</v>
      </c>
      <c r="B29" s="81">
        <f>POWER($B$17/($B$17+POWER(A29,$B$7)),$B$16)</f>
        <v>0.9598660468792346</v>
      </c>
      <c r="C29" s="81">
        <f>EXP(-POWER(A29/Max_Verosimilitud!$I$6,Max_Verosimilitud!$I$5))</f>
        <v>0.95899288113542713</v>
      </c>
      <c r="D29" s="81">
        <f>EXP(-_xlfn.GAMMA.INV(0.975,$B$16,1/$B$17)*POWER(A29,$B$7))</f>
        <v>0.95263963376961736</v>
      </c>
      <c r="E29" s="81">
        <f>EXP(-_xlfn.GAMMA.INV(0.025,$B$16,1/$B$17)*POWER(A29,$B$7))</f>
        <v>0.96652442158194773</v>
      </c>
      <c r="F29" s="69"/>
      <c r="G29" s="69"/>
      <c r="H29" s="69"/>
    </row>
    <row r="30" spans="1:8" x14ac:dyDescent="0.35">
      <c r="A30" s="80">
        <v>2000</v>
      </c>
      <c r="B30" s="81">
        <f t="shared" ref="B30:B36" si="0">POWER($B$17/($B$17+POWER(A30,$B$7)),$B$16)</f>
        <v>0.85390522723139062</v>
      </c>
      <c r="C30" s="81">
        <f>EXP(-POWER(A30/Max_Verosimilitud!$I$6,Max_Verosimilitud!$I$5))</f>
        <v>0.85084876288250688</v>
      </c>
      <c r="D30" s="81">
        <f t="shared" ref="D30:D36" si="1">EXP(-_xlfn.GAMMA.INV(0.975,$B$16,1/$B$17)*POWER(A30,$B$7))</f>
        <v>0.82930962937462671</v>
      </c>
      <c r="E30" s="81">
        <f t="shared" ref="E30:E36" si="2">EXP(-_xlfn.GAMMA.INV(0.025,$B$16,1/$B$17)*POWER(A30,$B$7))</f>
        <v>0.87691624964251802</v>
      </c>
      <c r="F30" s="69"/>
      <c r="G30" s="69"/>
      <c r="H30" s="69"/>
    </row>
    <row r="31" spans="1:8" x14ac:dyDescent="0.35">
      <c r="A31" s="80">
        <v>3000</v>
      </c>
      <c r="B31" s="81">
        <f t="shared" si="0"/>
        <v>0.70636300538933372</v>
      </c>
      <c r="C31" s="81">
        <f>EXP(-POWER(A31/Max_Verosimilitud!$I$6,Max_Verosimilitud!$I$5))</f>
        <v>0.70061765221700267</v>
      </c>
      <c r="D31" s="81">
        <f t="shared" si="1"/>
        <v>0.66214300580738061</v>
      </c>
      <c r="E31" s="81">
        <f t="shared" si="2"/>
        <v>0.74877267704708705</v>
      </c>
      <c r="F31" s="69"/>
      <c r="G31" s="69"/>
      <c r="H31" s="69"/>
    </row>
    <row r="32" spans="1:8" x14ac:dyDescent="0.35">
      <c r="A32" s="80">
        <v>4000</v>
      </c>
      <c r="B32" s="81">
        <f t="shared" si="0"/>
        <v>0.54437109319109578</v>
      </c>
      <c r="C32" s="81">
        <f>EXP(-POWER(A32/Max_Verosimilitud!$I$6,Max_Verosimilitud!$I$5))</f>
        <v>0.53629495749177825</v>
      </c>
      <c r="D32" s="81">
        <f>EXP(-_xlfn.GAMMA.INV(0.975,$B$16,1/$B$17)*POWER(A32,$B$7))</f>
        <v>0.4857889185731985</v>
      </c>
      <c r="E32" s="81">
        <f t="shared" si="2"/>
        <v>0.60250335179780778</v>
      </c>
      <c r="F32" s="69"/>
      <c r="G32" s="69"/>
      <c r="H32" s="69"/>
    </row>
    <row r="33" spans="1:8" x14ac:dyDescent="0.35">
      <c r="A33" s="80">
        <v>5000</v>
      </c>
      <c r="B33" s="81">
        <f t="shared" si="0"/>
        <v>0.39144718955216218</v>
      </c>
      <c r="C33" s="81">
        <f>EXP(-POWER(A33/Max_Verosimilitud!$I$6,Max_Verosimilitud!$I$5))</f>
        <v>0.38203328569190104</v>
      </c>
      <c r="D33" s="81">
        <f t="shared" si="1"/>
        <v>0.32791508242809519</v>
      </c>
      <c r="E33" s="81">
        <f t="shared" si="2"/>
        <v>0.45727517137104456</v>
      </c>
      <c r="F33" s="69"/>
      <c r="G33" s="69"/>
      <c r="H33" s="69"/>
    </row>
    <row r="34" spans="1:8" x14ac:dyDescent="0.35">
      <c r="A34" s="80">
        <v>6000</v>
      </c>
      <c r="B34" s="81">
        <f t="shared" si="0"/>
        <v>0.26300153412076482</v>
      </c>
      <c r="C34" s="81">
        <f>EXP(-POWER(A34/Max_Verosimilitud!$I$6,Max_Verosimilitud!$I$5))</f>
        <v>0.25347740937485125</v>
      </c>
      <c r="D34" s="81">
        <f t="shared" si="1"/>
        <v>0.2038529177492007</v>
      </c>
      <c r="E34" s="81">
        <f t="shared" si="2"/>
        <v>0.32756827797244931</v>
      </c>
      <c r="F34" s="69"/>
      <c r="G34" s="69"/>
      <c r="H34" s="69"/>
    </row>
    <row r="35" spans="1:8" x14ac:dyDescent="0.35">
      <c r="A35" s="80">
        <v>7000</v>
      </c>
      <c r="B35" s="81">
        <f t="shared" si="0"/>
        <v>0.16531831047894954</v>
      </c>
      <c r="C35" s="81">
        <f>EXP(-POWER(A35/Max_Verosimilitud!$I$6,Max_Verosimilitud!$I$5))</f>
        <v>0.15675182816764166</v>
      </c>
      <c r="D35" s="81">
        <f t="shared" si="1"/>
        <v>0.11680346926400377</v>
      </c>
      <c r="E35" s="81">
        <f t="shared" si="2"/>
        <v>0.22160103478547205</v>
      </c>
      <c r="F35" s="69"/>
      <c r="G35" s="69"/>
      <c r="H35" s="69"/>
    </row>
    <row r="36" spans="1:8" x14ac:dyDescent="0.35">
      <c r="A36" s="80">
        <v>8000</v>
      </c>
      <c r="B36" s="81">
        <f t="shared" si="0"/>
        <v>9.7347852719173858E-2</v>
      </c>
      <c r="C36" s="81">
        <f>EXP(-POWER(A36/Max_Verosimilitud!$I$6,Max_Verosimilitud!$I$5))</f>
        <v>9.0399877319640123E-2</v>
      </c>
      <c r="D36" s="81">
        <f t="shared" si="1"/>
        <v>6.1725346871183015E-2</v>
      </c>
      <c r="E36" s="81">
        <f t="shared" si="2"/>
        <v>0.14164066790518454</v>
      </c>
      <c r="F36" s="69"/>
      <c r="G36" s="69"/>
      <c r="H36" s="69"/>
    </row>
    <row r="37" spans="1:8" x14ac:dyDescent="0.35">
      <c r="A37" s="80">
        <v>9000</v>
      </c>
      <c r="B37" s="81">
        <f t="shared" ref="B37:B45" si="3">POWER($B$17/($B$17+POWER(A37,$B$7)),$B$16)</f>
        <v>5.3770605059231952E-2</v>
      </c>
      <c r="C37" s="81">
        <f>EXP(-POWER(A37/Max_Verosimilitud!$I$6,Max_Verosimilitud!$I$5))</f>
        <v>4.8642590669047088E-2</v>
      </c>
      <c r="D37" s="81">
        <f t="shared" ref="D37:D45" si="4">EXP(-_xlfn.GAMMA.INV(0.975,$B$16,1/$B$17)*POWER(A37,$B$7))</f>
        <v>3.0101330780161577E-2</v>
      </c>
      <c r="E37" s="81">
        <f t="shared" ref="E37:E45" si="5">EXP(-_xlfn.GAMMA.INV(0.025,$B$16,1/$B$17)*POWER(A37,$B$7))</f>
        <v>8.557020618587044E-2</v>
      </c>
    </row>
    <row r="38" spans="1:8" x14ac:dyDescent="0.35">
      <c r="A38" s="80">
        <v>10000</v>
      </c>
      <c r="B38" s="81">
        <f t="shared" si="3"/>
        <v>2.7897035322143895E-2</v>
      </c>
      <c r="C38" s="81">
        <f>EXP(-POWER(A38/Max_Verosimilitud!$I$6,Max_Verosimilitud!$I$5))</f>
        <v>2.4431189228362481E-2</v>
      </c>
      <c r="D38" s="81">
        <f t="shared" si="4"/>
        <v>1.3553051034392602E-2</v>
      </c>
      <c r="E38" s="81">
        <f t="shared" si="5"/>
        <v>4.8879460427864722E-2</v>
      </c>
    </row>
    <row r="39" spans="1:8" x14ac:dyDescent="0.35">
      <c r="A39" s="80">
        <v>11000</v>
      </c>
      <c r="B39" s="81">
        <f t="shared" si="3"/>
        <v>1.3613236283866631E-2</v>
      </c>
      <c r="C39" s="81">
        <f>EXP(-POWER(A39/Max_Verosimilitud!$I$6,Max_Verosimilitud!$I$5))</f>
        <v>1.1458199815787811E-2</v>
      </c>
      <c r="D39" s="81">
        <f t="shared" si="4"/>
        <v>5.6364888895348566E-3</v>
      </c>
      <c r="E39" s="81">
        <f t="shared" si="5"/>
        <v>2.6407875632131456E-2</v>
      </c>
    </row>
    <row r="40" spans="1:8" x14ac:dyDescent="0.35">
      <c r="A40" s="80">
        <v>12000</v>
      </c>
      <c r="B40" s="81">
        <f t="shared" si="3"/>
        <v>6.2569994014822815E-3</v>
      </c>
      <c r="C40" s="81">
        <f>EXP(-POWER(A40/Max_Verosimilitud!$I$6,Max_Verosimilitud!$I$5))</f>
        <v>5.0197294565201677E-3</v>
      </c>
      <c r="D40" s="81">
        <f t="shared" si="4"/>
        <v>2.1660687602484243E-3</v>
      </c>
      <c r="E40" s="81">
        <f t="shared" si="5"/>
        <v>1.3497841653571754E-2</v>
      </c>
    </row>
    <row r="41" spans="1:8" x14ac:dyDescent="0.35">
      <c r="A41" s="80">
        <v>13000</v>
      </c>
      <c r="B41" s="81">
        <f t="shared" si="3"/>
        <v>2.712684848780064E-3</v>
      </c>
      <c r="C41" s="81">
        <f>EXP(-POWER(A41/Max_Verosimilitud!$I$6,Max_Verosimilitud!$I$5))</f>
        <v>2.0548070042794458E-3</v>
      </c>
      <c r="D41" s="81">
        <f t="shared" si="4"/>
        <v>7.6945614861985922E-4</v>
      </c>
      <c r="E41" s="81">
        <f t="shared" si="5"/>
        <v>6.5287269081600223E-3</v>
      </c>
    </row>
    <row r="42" spans="1:8" x14ac:dyDescent="0.35">
      <c r="A42" s="80">
        <v>14000</v>
      </c>
      <c r="B42" s="81">
        <f t="shared" si="3"/>
        <v>1.1109733570555996E-3</v>
      </c>
      <c r="C42" s="81">
        <f>EXP(-POWER(A42/Max_Verosimilitud!$I$6,Max_Verosimilitud!$I$5))</f>
        <v>7.8616171432629707E-4</v>
      </c>
      <c r="D42" s="81">
        <f t="shared" si="4"/>
        <v>2.5274726085655646E-4</v>
      </c>
      <c r="E42" s="81">
        <f t="shared" si="5"/>
        <v>2.9890024203534978E-3</v>
      </c>
    </row>
    <row r="43" spans="1:8" x14ac:dyDescent="0.35">
      <c r="A43" s="80">
        <v>15000</v>
      </c>
      <c r="B43" s="81">
        <f t="shared" si="3"/>
        <v>4.3046332057262532E-4</v>
      </c>
      <c r="C43" s="81">
        <f>EXP(-POWER(A43/Max_Verosimilitud!$I$6,Max_Verosimilitud!$I$5))</f>
        <v>2.8120080938785199E-4</v>
      </c>
      <c r="D43" s="81">
        <f t="shared" si="4"/>
        <v>7.6791249653452564E-5</v>
      </c>
      <c r="E43" s="81">
        <f t="shared" si="5"/>
        <v>1.2955377617279039E-3</v>
      </c>
    </row>
    <row r="44" spans="1:8" x14ac:dyDescent="0.35">
      <c r="A44" s="80">
        <v>16000</v>
      </c>
      <c r="B44" s="81">
        <f t="shared" si="3"/>
        <v>1.5804009189837161E-4</v>
      </c>
      <c r="C44" s="81">
        <f>EXP(-POWER(A44/Max_Verosimilitud!$I$6,Max_Verosimilitud!$I$5))</f>
        <v>9.4056866610779945E-5</v>
      </c>
      <c r="D44" s="81">
        <f t="shared" si="4"/>
        <v>2.1586482754124802E-5</v>
      </c>
      <c r="E44" s="81">
        <f t="shared" si="5"/>
        <v>5.3172327593535118E-4</v>
      </c>
    </row>
    <row r="45" spans="1:8" x14ac:dyDescent="0.35">
      <c r="A45" s="80">
        <v>17000</v>
      </c>
      <c r="B45" s="81">
        <f t="shared" si="3"/>
        <v>5.5065448150951254E-5</v>
      </c>
      <c r="C45" s="81">
        <f>EXP(-POWER(A45/Max_Verosimilitud!$I$6,Max_Verosimilitud!$I$5))</f>
        <v>2.9426051393181871E-5</v>
      </c>
      <c r="D45" s="81">
        <f t="shared" si="4"/>
        <v>5.6157890761526534E-6</v>
      </c>
      <c r="E45" s="81">
        <f t="shared" si="5"/>
        <v>2.0668690902128899E-4</v>
      </c>
    </row>
  </sheetData>
  <mergeCells count="4">
    <mergeCell ref="A1:H1"/>
    <mergeCell ref="A2:H2"/>
    <mergeCell ref="A4:H4"/>
    <mergeCell ref="A27:E2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702F9-1E3A-4490-9158-9D911E4D6BE2}">
  <sheetPr>
    <tabColor theme="8"/>
  </sheetPr>
  <dimension ref="A1:AG1015"/>
  <sheetViews>
    <sheetView workbookViewId="0">
      <selection activeCell="D5" sqref="D5"/>
    </sheetView>
  </sheetViews>
  <sheetFormatPr defaultRowHeight="14.5" x14ac:dyDescent="0.35"/>
  <cols>
    <col min="1" max="1" width="27.54296875" style="84" customWidth="1"/>
    <col min="2" max="4" width="16.7265625" style="84" customWidth="1"/>
    <col min="5" max="7" width="20" style="84" customWidth="1"/>
    <col min="8" max="8" width="9.1796875" style="84"/>
    <col min="9" max="9" width="16.1796875" style="84" customWidth="1"/>
    <col min="10" max="12" width="17.1796875" style="84" customWidth="1"/>
    <col min="13" max="24" width="9.1796875" style="84"/>
    <col min="25" max="30" width="0" style="84" hidden="1" customWidth="1"/>
    <col min="31" max="33" width="9.7265625" style="84" hidden="1" customWidth="1"/>
  </cols>
  <sheetData>
    <row r="1" spans="1:33" ht="24.75" customHeight="1" x14ac:dyDescent="0.5">
      <c r="A1" s="105" t="s">
        <v>249</v>
      </c>
      <c r="B1" s="105"/>
      <c r="C1" s="105"/>
      <c r="D1" s="105"/>
      <c r="E1" s="105"/>
      <c r="F1" s="105"/>
      <c r="G1" s="105"/>
      <c r="H1" s="105"/>
      <c r="I1" s="105"/>
      <c r="J1" s="105"/>
      <c r="K1" s="105"/>
      <c r="L1" s="105"/>
      <c r="M1" s="105"/>
      <c r="N1" s="105"/>
      <c r="O1" s="105"/>
      <c r="P1" s="105"/>
      <c r="Q1" s="105"/>
      <c r="R1" s="105"/>
      <c r="S1" s="105"/>
      <c r="T1" s="105"/>
      <c r="U1" s="105"/>
      <c r="V1" s="105"/>
      <c r="W1" s="105"/>
    </row>
    <row r="2" spans="1:33" ht="24.75" customHeight="1" x14ac:dyDescent="0.35">
      <c r="A2" s="106" t="s">
        <v>250</v>
      </c>
      <c r="B2" s="106"/>
      <c r="C2" s="106"/>
      <c r="D2" s="106"/>
      <c r="E2" s="106"/>
      <c r="F2" s="106"/>
      <c r="G2" s="106"/>
      <c r="H2" s="106"/>
      <c r="I2" s="106"/>
      <c r="J2" s="106"/>
      <c r="K2" s="106"/>
      <c r="L2" s="106"/>
      <c r="M2" s="106"/>
      <c r="N2" s="106"/>
      <c r="O2" s="106"/>
      <c r="P2" s="106"/>
      <c r="Q2" s="106"/>
      <c r="R2" s="106"/>
      <c r="S2" s="106"/>
      <c r="T2" s="106"/>
      <c r="U2" s="106"/>
      <c r="V2" s="106"/>
      <c r="W2" s="106"/>
    </row>
    <row r="3" spans="1:33" x14ac:dyDescent="0.35">
      <c r="I3"/>
      <c r="J3"/>
      <c r="K3"/>
      <c r="Y3" s="84" t="s">
        <v>189</v>
      </c>
      <c r="Z3" s="84" t="s">
        <v>251</v>
      </c>
      <c r="AA3" s="84" t="s">
        <v>252</v>
      </c>
      <c r="AB3" s="84" t="s">
        <v>253</v>
      </c>
      <c r="AD3" s="84" t="s">
        <v>189</v>
      </c>
      <c r="AE3" s="84" t="s">
        <v>254</v>
      </c>
      <c r="AF3" s="84" t="s">
        <v>255</v>
      </c>
      <c r="AG3" s="84" t="s">
        <v>256</v>
      </c>
    </row>
    <row r="4" spans="1:33" x14ac:dyDescent="0.35">
      <c r="A4" s="85" t="s">
        <v>257</v>
      </c>
      <c r="B4" s="86" t="s">
        <v>258</v>
      </c>
      <c r="I4" s="87" t="s">
        <v>259</v>
      </c>
      <c r="J4" s="87" t="s">
        <v>210</v>
      </c>
      <c r="K4" s="87" t="s">
        <v>213</v>
      </c>
      <c r="L4" s="87" t="s">
        <v>260</v>
      </c>
      <c r="Y4" s="84">
        <v>0</v>
      </c>
      <c r="Z4" s="88" cm="1">
        <f t="array" aca="1" ref="Z4" ca="1">_xlfn.PERCENTILE.INC(EXP(-POWER(Y4/$E$16:$E$1015,$D$16:$D$1015)),0.1)</f>
        <v>1</v>
      </c>
      <c r="AA4" s="88" cm="1">
        <f t="array" aca="1" ref="AA4" ca="1">_xlfn.PERCENTILE.INC(EXP(-POWER(Y4/$E$16:$E$1015,$D$16:$D$1015)),0.5)</f>
        <v>1</v>
      </c>
      <c r="AB4" s="88" cm="1">
        <f t="array" aca="1" ref="AB4" ca="1">_xlfn.PERCENTILE.INC(EXP(-POWER(Y4/$E$16:$E$1015,$D$16:$D$1015)),0.9)</f>
        <v>1</v>
      </c>
      <c r="AD4" s="84">
        <v>0</v>
      </c>
      <c r="AE4" s="89" cm="1">
        <f t="array" aca="1" ref="AE4" ca="1">_xlfn.PERCENTILE.INC(($D$16:$D$1015/$E$16:$E$1015)*POWER(AD4/$E$16:$E$1015,$D$16:$D$1015-1)*EXP(-POWER(AD4/$E$16:$E$1015,$D$16:$D$1015)),0.1)</f>
        <v>0</v>
      </c>
      <c r="AF4" s="89" cm="1">
        <f t="array" aca="1" ref="AF4" ca="1">_xlfn.PERCENTILE.INC(($D$16:$D$1015/$E$16:$E$1015)*POWER(AD4/$E$16:$E$1015,$D$16:$D$1015-1)*EXP(-POWER(AD4/$E$16:$E$1015,$D$16:$D$1015)),0.5)</f>
        <v>0</v>
      </c>
      <c r="AG4" s="89" cm="1">
        <f t="array" aca="1" ref="AG4" ca="1">_xlfn.PERCENTILE.INC(($D$16:$D$1015/$E$16:$E$1015)*POWER(AD4/$E$16:$E$1015,$D$16:$D$1015-1)*EXP(-POWER(AD4/$E$16:$E$1015,$D$16:$D$1015)),0.9)</f>
        <v>0</v>
      </c>
    </row>
    <row r="5" spans="1:33" x14ac:dyDescent="0.35">
      <c r="A5" s="85" t="s">
        <v>261</v>
      </c>
      <c r="B5" s="86">
        <v>1000</v>
      </c>
      <c r="I5" s="84" t="s">
        <v>262</v>
      </c>
      <c r="J5" s="90">
        <f ca="1">_xlfn.PERCENTILE.INC($D$16:$D$1015,0.1)</f>
        <v>1.7850915611703497</v>
      </c>
      <c r="K5" s="91">
        <f ca="1">_xlfn.PERCENTILE.INC($E$16:$E$1015,0.1)</f>
        <v>4808.4427385290101</v>
      </c>
      <c r="L5" s="92">
        <f ca="1">_xlfn.PERCENTILE.INC($F$16:$F$1015,0.1)</f>
        <v>0.49514860357479212</v>
      </c>
      <c r="Y5" s="84">
        <v>250</v>
      </c>
      <c r="Z5" s="88" cm="1">
        <f t="array" aca="1" ref="Z5" ca="1">_xlfn.PERCENTILE.INC(EXP(-POWER(Y5/$E$16:$E$1015,$D$16:$D$1015)),0.1)</f>
        <v>0.9953097883659453</v>
      </c>
      <c r="AA5" s="88" cm="1">
        <f t="array" aca="1" ref="AA5" ca="1">_xlfn.PERCENTILE.INC(EXP(-POWER(Y5/$E$16:$E$1015,$D$16:$D$1015)),0.5)</f>
        <v>0.99718475467456535</v>
      </c>
      <c r="AB5" s="88" cm="1">
        <f t="array" aca="1" ref="AB5" ca="1">_xlfn.PERCENTILE.INC(EXP(-POWER(Y5/$E$16:$E$1015,$D$16:$D$1015)),0.9)</f>
        <v>0.99839866058698057</v>
      </c>
      <c r="AD5" s="84">
        <v>250</v>
      </c>
      <c r="AE5" s="89" cm="1">
        <f t="array" aca="1" ref="AE5" ca="1">_xlfn.PERCENTILE.INC(($D$16:$D$1015/$E$16:$E$1015)*POWER(AD5/$E$16:$E$1015,$D$16:$D$1015-1)*EXP(-POWER(AD5/$E$16:$E$1015,$D$16:$D$1015)),0.1)</f>
        <v>1.3741913200782676E-5</v>
      </c>
      <c r="AF5" s="89" cm="1">
        <f t="array" aca="1" ref="AF5" ca="1">_xlfn.PERCENTILE.INC(($D$16:$D$1015/$E$16:$E$1015)*POWER(AD5/$E$16:$E$1015,$D$16:$D$1015-1)*EXP(-POWER(AD5/$E$16:$E$1015,$D$16:$D$1015)),0.5)</f>
        <v>2.1947709707344222E-5</v>
      </c>
      <c r="AG5" s="89" cm="1">
        <f t="array" aca="1" ref="AG5" ca="1">_xlfn.PERCENTILE.INC(($D$16:$D$1015/$E$16:$E$1015)*POWER(AD5/$E$16:$E$1015,$D$16:$D$1015-1)*EXP(-POWER(AD5/$E$16:$E$1015,$D$16:$D$1015)),0.9)</f>
        <v>3.3675212351871356E-5</v>
      </c>
    </row>
    <row r="6" spans="1:33" x14ac:dyDescent="0.35">
      <c r="A6" s="85" t="s">
        <v>263</v>
      </c>
      <c r="B6" s="86">
        <v>4</v>
      </c>
      <c r="I6" s="84" t="s">
        <v>264</v>
      </c>
      <c r="J6" s="90">
        <f ca="1">_xlfn.PERCENTILE.INC($D$16:$D$1015,0.5)</f>
        <v>1.9440080008031992</v>
      </c>
      <c r="K6" s="91">
        <f ca="1">_xlfn.PERCENTILE.INC($E$16:$E$1015,0.5)</f>
        <v>5093.116560741275</v>
      </c>
      <c r="L6" s="92">
        <f ca="1">_xlfn.PERCENTILE.INC($F$16:$F$1015,0.5)</f>
        <v>0.53622193686211317</v>
      </c>
      <c r="Y6" s="84">
        <v>500</v>
      </c>
      <c r="Z6" s="88" cm="1">
        <f t="array" aca="1" ref="Z6" ca="1">_xlfn.PERCENTILE.INC(EXP(-POWER(Y6/$E$16:$E$1015,$D$16:$D$1015)),0.1)</f>
        <v>0.98372313463027738</v>
      </c>
      <c r="AA6" s="88" cm="1">
        <f t="array" aca="1" ref="AA6" ca="1">_xlfn.PERCENTILE.INC(EXP(-POWER(Y6/$E$16:$E$1015,$D$16:$D$1015)),0.5)</f>
        <v>0.98918508436228225</v>
      </c>
      <c r="AB6" s="88" cm="1">
        <f t="array" aca="1" ref="AB6" ca="1">_xlfn.PERCENTILE.INC(EXP(-POWER(Y6/$E$16:$E$1015,$D$16:$D$1015)),0.9)</f>
        <v>0.99299526593163168</v>
      </c>
      <c r="AD6" s="84">
        <v>500</v>
      </c>
      <c r="AE6" s="89" cm="1">
        <f t="array" aca="1" ref="AE6" ca="1">_xlfn.PERCENTILE.INC(($D$16:$D$1015/$E$16:$E$1015)*POWER(AD6/$E$16:$E$1015,$D$16:$D$1015-1)*EXP(-POWER(AD6/$E$16:$E$1015,$D$16:$D$1015)),0.1)</f>
        <v>2.9665881267618614E-5</v>
      </c>
      <c r="AF6" s="89" cm="1">
        <f t="array" aca="1" ref="AF6" ca="1">_xlfn.PERCENTILE.INC(($D$16:$D$1015/$E$16:$E$1015)*POWER(AD6/$E$16:$E$1015,$D$16:$D$1015-1)*EXP(-POWER(AD6/$E$16:$E$1015,$D$16:$D$1015)),0.5)</f>
        <v>4.1988244612251033E-5</v>
      </c>
      <c r="AG6" s="89" cm="1">
        <f t="array" aca="1" ref="AG6" ca="1">_xlfn.PERCENTILE.INC(($D$16:$D$1015/$E$16:$E$1015)*POWER(AD6/$E$16:$E$1015,$D$16:$D$1015-1)*EXP(-POWER(AD6/$E$16:$E$1015,$D$16:$D$1015)),0.9)</f>
        <v>5.7849501333045303E-5</v>
      </c>
    </row>
    <row r="7" spans="1:33" x14ac:dyDescent="0.35">
      <c r="I7" s="84" t="s">
        <v>265</v>
      </c>
      <c r="J7" s="90">
        <f ca="1">_xlfn.PERCENTILE.INC($D$16:$D$1015,0.9)</f>
        <v>2.1251755328294148</v>
      </c>
      <c r="K7" s="91">
        <f ca="1">_xlfn.PERCENTILE.INC($E$16:$E$1015,0.9)</f>
        <v>5441.4791083264518</v>
      </c>
      <c r="L7" s="92">
        <f ca="1">_xlfn.PERCENTILE.INC($F$16:$F$1015,0.9)</f>
        <v>0.58046166850791825</v>
      </c>
      <c r="Y7" s="84">
        <v>750</v>
      </c>
      <c r="Z7" s="88" cm="1">
        <f t="array" aca="1" ref="Z7" ca="1">_xlfn.PERCENTILE.INC(EXP(-POWER(Y7/$E$16:$E$1015,$D$16:$D$1015)),0.1)</f>
        <v>0.9667760855659332</v>
      </c>
      <c r="AA7" s="88" cm="1">
        <f t="array" aca="1" ref="AA7" ca="1">_xlfn.PERCENTILE.INC(EXP(-POWER(Y7/$E$16:$E$1015,$D$16:$D$1015)),0.5)</f>
        <v>0.9762196861216158</v>
      </c>
      <c r="AB7" s="88" cm="1">
        <f t="array" aca="1" ref="AB7" ca="1">_xlfn.PERCENTILE.INC(EXP(-POWER(Y7/$E$16:$E$1015,$D$16:$D$1015)),0.9)</f>
        <v>0.98346702831762767</v>
      </c>
      <c r="AD7" s="84">
        <v>750</v>
      </c>
      <c r="AE7" s="89" cm="1">
        <f t="array" aca="1" ref="AE7" ca="1">_xlfn.PERCENTILE.INC(($D$16:$D$1015/$E$16:$E$1015)*POWER(AD7/$E$16:$E$1015,$D$16:$D$1015-1)*EXP(-POWER(AD7/$E$16:$E$1015,$D$16:$D$1015)),0.1)</f>
        <v>4.6348156338593022E-5</v>
      </c>
      <c r="AF7" s="89" cm="1">
        <f t="array" aca="1" ref="AF7" ca="1">_xlfn.PERCENTILE.INC(($D$16:$D$1015/$E$16:$E$1015)*POWER(AD7/$E$16:$E$1015,$D$16:$D$1015-1)*EXP(-POWER(AD7/$E$16:$E$1015,$D$16:$D$1015)),0.5)</f>
        <v>6.0903743628275151E-5</v>
      </c>
      <c r="AG7" s="89" cm="1">
        <f t="array" aca="1" ref="AG7" ca="1">_xlfn.PERCENTILE.INC(($D$16:$D$1015/$E$16:$E$1015)*POWER(AD7/$E$16:$E$1015,$D$16:$D$1015-1)*EXP(-POWER(AD7/$E$16:$E$1015,$D$16:$D$1015)),0.9)</f>
        <v>7.8120239143053807E-5</v>
      </c>
    </row>
    <row r="8" spans="1:33" x14ac:dyDescent="0.35">
      <c r="A8" s="87" t="s">
        <v>266</v>
      </c>
      <c r="B8" s="87" t="s">
        <v>267</v>
      </c>
      <c r="C8" s="87" t="s">
        <v>268</v>
      </c>
      <c r="D8" s="87" t="s">
        <v>269</v>
      </c>
      <c r="E8" s="87" t="s">
        <v>270</v>
      </c>
      <c r="I8" s="84" t="s">
        <v>271</v>
      </c>
      <c r="J8" s="93">
        <f ca="1">AVERAGE($D$16:$D$1015)</f>
        <v>1.9483836989470811</v>
      </c>
      <c r="K8" s="94">
        <f ca="1">AVERAGE($E$16:$E$1015)</f>
        <v>5111.7938203404738</v>
      </c>
      <c r="L8" s="88">
        <f ca="1">AVERAGE($F$16:$F$1015)</f>
        <v>0.53653936202583108</v>
      </c>
      <c r="Y8" s="84">
        <v>1000</v>
      </c>
      <c r="Z8" s="88" cm="1">
        <f t="array" aca="1" ref="Z8" ca="1">_xlfn.PERCENTILE.INC(EXP(-POWER(Y8/$E$16:$E$1015,$D$16:$D$1015)),0.1)</f>
        <v>0.9447686125597049</v>
      </c>
      <c r="AA8" s="88" cm="1">
        <f t="array" aca="1" ref="AA8" ca="1">_xlfn.PERCENTILE.INC(EXP(-POWER(Y8/$E$16:$E$1015,$D$16:$D$1015)),0.5)</f>
        <v>0.95870501322715396</v>
      </c>
      <c r="AB8" s="88" cm="1">
        <f t="array" aca="1" ref="AB8" ca="1">_xlfn.PERCENTILE.INC(EXP(-POWER(Y8/$E$16:$E$1015,$D$16:$D$1015)),0.9)</f>
        <v>0.96970568320570549</v>
      </c>
      <c r="AD8" s="84">
        <v>1000</v>
      </c>
      <c r="AE8" s="89" cm="1">
        <f t="array" aca="1" ref="AE8" ca="1">_xlfn.PERCENTILE.INC(($D$16:$D$1015/$E$16:$E$1015)*POWER(AD8/$E$16:$E$1015,$D$16:$D$1015-1)*EXP(-POWER(AD8/$E$16:$E$1015,$D$16:$D$1015)),0.1)</f>
        <v>6.2716698556097232E-5</v>
      </c>
      <c r="AF8" s="89" cm="1">
        <f t="array" aca="1" ref="AF8" ca="1">_xlfn.PERCENTILE.INC(($D$16:$D$1015/$E$16:$E$1015)*POWER(AD8/$E$16:$E$1015,$D$16:$D$1015-1)*EXP(-POWER(AD8/$E$16:$E$1015,$D$16:$D$1015)),0.5)</f>
        <v>7.8260115336521122E-5</v>
      </c>
      <c r="AG8" s="89" cm="1">
        <f t="array" aca="1" ref="AG8" ca="1">_xlfn.PERCENTILE.INC(($D$16:$D$1015/$E$16:$E$1015)*POWER(AD8/$E$16:$E$1015,$D$16:$D$1015-1)*EXP(-POWER(AD8/$E$16:$E$1015,$D$16:$D$1015)),0.9)</f>
        <v>9.6191988702391701E-5</v>
      </c>
    </row>
    <row r="9" spans="1:33" x14ac:dyDescent="0.35">
      <c r="A9" s="84" t="s">
        <v>272</v>
      </c>
      <c r="B9" s="95">
        <f>Max_Verosimilitud!$I$30</f>
        <v>1.696584534397833</v>
      </c>
      <c r="C9" s="95">
        <f>Max_Verosimilitud!$I$5</f>
        <v>1.9476758093061974</v>
      </c>
      <c r="D9" s="95">
        <f>Max_Verosimilitud!$I$31</f>
        <v>2.2359281139521601</v>
      </c>
      <c r="E9" s="96">
        <f>Max_Verosimilitud!$I$28</f>
        <v>0.13715430839746776</v>
      </c>
      <c r="I9" s="107" t="s">
        <v>273</v>
      </c>
      <c r="J9" s="107"/>
      <c r="K9" s="107"/>
      <c r="L9" s="107"/>
      <c r="Y9" s="84">
        <v>1250</v>
      </c>
      <c r="Z9" s="88" cm="1">
        <f t="array" aca="1" ref="Z9" ca="1">_xlfn.PERCENTILE.INC(EXP(-POWER(Y9/$E$16:$E$1015,$D$16:$D$1015)),0.1)</f>
        <v>0.91904203305966847</v>
      </c>
      <c r="AA9" s="88" cm="1">
        <f t="array" aca="1" ref="AA9" ca="1">_xlfn.PERCENTILE.INC(EXP(-POWER(Y9/$E$16:$E$1015,$D$16:$D$1015)),0.5)</f>
        <v>0.93705393404169879</v>
      </c>
      <c r="AB9" s="88" cm="1">
        <f t="array" aca="1" ref="AB9" ca="1">_xlfn.PERCENTILE.INC(EXP(-POWER(Y9/$E$16:$E$1015,$D$16:$D$1015)),0.9)</f>
        <v>0.95192394459095075</v>
      </c>
      <c r="AD9" s="84">
        <v>1250</v>
      </c>
      <c r="AE9" s="89" cm="1">
        <f t="array" aca="1" ref="AE9" ca="1">_xlfn.PERCENTILE.INC(($D$16:$D$1015/$E$16:$E$1015)*POWER(AD9/$E$16:$E$1015,$D$16:$D$1015-1)*EXP(-POWER(AD9/$E$16:$E$1015,$D$16:$D$1015)),0.1)</f>
        <v>7.826231434561672E-5</v>
      </c>
      <c r="AF9" s="89" cm="1">
        <f t="array" aca="1" ref="AF9" ca="1">_xlfn.PERCENTILE.INC(($D$16:$D$1015/$E$16:$E$1015)*POWER(AD9/$E$16:$E$1015,$D$16:$D$1015-1)*EXP(-POWER(AD9/$E$16:$E$1015,$D$16:$D$1015)),0.5)</f>
        <v>9.4469985579827921E-5</v>
      </c>
      <c r="AG9" s="89" cm="1">
        <f t="array" aca="1" ref="AG9" ca="1">_xlfn.PERCENTILE.INC(($D$16:$D$1015/$E$16:$E$1015)*POWER(AD9/$E$16:$E$1015,$D$16:$D$1015-1)*EXP(-POWER(AD9/$E$16:$E$1015,$D$16:$D$1015)),0.9)</f>
        <v>1.1155425715702118E-4</v>
      </c>
    </row>
    <row r="10" spans="1:33" x14ac:dyDescent="0.35">
      <c r="A10" s="84" t="s">
        <v>274</v>
      </c>
      <c r="B10" s="97">
        <f>Max_Verosimilitud!$I$32</f>
        <v>4655.2288156412278</v>
      </c>
      <c r="C10" s="97">
        <f>Max_Verosimilitud!$I$6</f>
        <v>5099.7759822792023</v>
      </c>
      <c r="D10" s="97">
        <f>Max_Verosimilitud!$I$33</f>
        <v>5586.774807297933</v>
      </c>
      <c r="E10" s="97">
        <f>Max_Verosimilitud!$I$29</f>
        <v>237.31449671294629</v>
      </c>
      <c r="Y10" s="84">
        <v>1500</v>
      </c>
      <c r="Z10" s="88" cm="1">
        <f t="array" aca="1" ref="Z10" ca="1">_xlfn.PERCENTILE.INC(EXP(-POWER(Y10/$E$16:$E$1015,$D$16:$D$1015)),0.1)</f>
        <v>0.8892048258057117</v>
      </c>
      <c r="AA10" s="88" cm="1">
        <f t="array" aca="1" ref="AA10" ca="1">_xlfn.PERCENTILE.INC(EXP(-POWER(Y10/$E$16:$E$1015,$D$16:$D$1015)),0.5)</f>
        <v>0.9115441899202823</v>
      </c>
      <c r="AB10" s="88" cm="1">
        <f t="array" aca="1" ref="AB10" ca="1">_xlfn.PERCENTILE.INC(EXP(-POWER(Y10/$E$16:$E$1015,$D$16:$D$1015)),0.9)</f>
        <v>0.93030132503399299</v>
      </c>
      <c r="AD10" s="84">
        <v>1500</v>
      </c>
      <c r="AE10" s="89" cm="1">
        <f t="array" aca="1" ref="AE10" ca="1">_xlfn.PERCENTILE.INC(($D$16:$D$1015/$E$16:$E$1015)*POWER(AD10/$E$16:$E$1015,$D$16:$D$1015-1)*EXP(-POWER(AD10/$E$16:$E$1015,$D$16:$D$1015)),0.1)</f>
        <v>9.2830847828959454E-5</v>
      </c>
      <c r="AF10" s="89" cm="1">
        <f t="array" aca="1" ref="AF10" ca="1">_xlfn.PERCENTILE.INC(($D$16:$D$1015/$E$16:$E$1015)*POWER(AD10/$E$16:$E$1015,$D$16:$D$1015-1)*EXP(-POWER(AD10/$E$16:$E$1015,$D$16:$D$1015)),0.5)</f>
        <v>1.0928407216736463E-4</v>
      </c>
      <c r="AG10" s="89" cm="1">
        <f t="array" aca="1" ref="AG10" ca="1">_xlfn.PERCENTILE.INC(($D$16:$D$1015/$E$16:$E$1015)*POWER(AD10/$E$16:$E$1015,$D$16:$D$1015-1)*EXP(-POWER(AD10/$E$16:$E$1015,$D$16:$D$1015)),0.9)</f>
        <v>1.257185214249077E-4</v>
      </c>
    </row>
    <row r="11" spans="1:33" ht="14.5" customHeight="1" x14ac:dyDescent="0.35">
      <c r="A11" s="108" t="s">
        <v>275</v>
      </c>
      <c r="B11" s="109"/>
      <c r="C11" s="109"/>
      <c r="D11" s="109"/>
      <c r="E11" s="109"/>
      <c r="F11" s="109"/>
      <c r="G11" s="109"/>
      <c r="Y11" s="84">
        <v>1750</v>
      </c>
      <c r="Z11" s="88" cm="1">
        <f t="array" aca="1" ref="Z11" ca="1">_xlfn.PERCENTILE.INC(EXP(-POWER(Y11/$E$16:$E$1015,$D$16:$D$1015)),0.1)</f>
        <v>0.85656305196496973</v>
      </c>
      <c r="AA11" s="88" cm="1">
        <f t="array" aca="1" ref="AA11" ca="1">_xlfn.PERCENTILE.INC(EXP(-POWER(Y11/$E$16:$E$1015,$D$16:$D$1015)),0.5)</f>
        <v>0.8825909411452334</v>
      </c>
      <c r="AB11" s="88" cm="1">
        <f t="array" aca="1" ref="AB11" ca="1">_xlfn.PERCENTILE.INC(EXP(-POWER(Y11/$E$16:$E$1015,$D$16:$D$1015)),0.9)</f>
        <v>0.90517759894963024</v>
      </c>
      <c r="AD11" s="84">
        <v>1750</v>
      </c>
      <c r="AE11" s="89" cm="1">
        <f t="array" aca="1" ref="AE11" ca="1">_xlfn.PERCENTILE.INC(($D$16:$D$1015/$E$16:$E$1015)*POWER(AD11/$E$16:$E$1015,$D$16:$D$1015-1)*EXP(-POWER(AD11/$E$16:$E$1015,$D$16:$D$1015)),0.1)</f>
        <v>1.0640376721692331E-4</v>
      </c>
      <c r="AF11" s="89" cm="1">
        <f t="array" aca="1" ref="AF11" ca="1">_xlfn.PERCENTILE.INC(($D$16:$D$1015/$E$16:$E$1015)*POWER(AD11/$E$16:$E$1015,$D$16:$D$1015-1)*EXP(-POWER(AD11/$E$16:$E$1015,$D$16:$D$1015)),0.5)</f>
        <v>1.2241461854189725E-4</v>
      </c>
      <c r="AG11" s="89" cm="1">
        <f t="array" aca="1" ref="AG11" ca="1">_xlfn.PERCENTILE.INC(($D$16:$D$1015/$E$16:$E$1015)*POWER(AD11/$E$16:$E$1015,$D$16:$D$1015-1)*EXP(-POWER(AD11/$E$16:$E$1015,$D$16:$D$1015)),0.9)</f>
        <v>1.3743932294339517E-4</v>
      </c>
    </row>
    <row r="12" spans="1:33" x14ac:dyDescent="0.35">
      <c r="A12" s="84" t="s">
        <v>276</v>
      </c>
      <c r="B12" s="86">
        <v>4000</v>
      </c>
      <c r="Y12" s="84">
        <v>2000</v>
      </c>
      <c r="Z12" s="88" cm="1">
        <f t="array" aca="1" ref="Z12" ca="1">_xlfn.PERCENTILE.INC(EXP(-POWER(Y12/$E$16:$E$1015,$D$16:$D$1015)),0.1)</f>
        <v>0.82162983939365375</v>
      </c>
      <c r="AA12" s="88" cm="1">
        <f t="array" aca="1" ref="AA12" ca="1">_xlfn.PERCENTILE.INC(EXP(-POWER(Y12/$E$16:$E$1015,$D$16:$D$1015)),0.5)</f>
        <v>0.85074294300830544</v>
      </c>
      <c r="AB12" s="88" cm="1">
        <f t="array" aca="1" ref="AB12" ca="1">_xlfn.PERCENTILE.INC(EXP(-POWER(Y12/$E$16:$E$1015,$D$16:$D$1015)),0.9)</f>
        <v>0.87679887232524112</v>
      </c>
      <c r="AD12" s="84">
        <v>2000</v>
      </c>
      <c r="AE12" s="89" cm="1">
        <f t="array" aca="1" ref="AE12" ca="1">_xlfn.PERCENTILE.INC(($D$16:$D$1015/$E$16:$E$1015)*POWER(AD12/$E$16:$E$1015,$D$16:$D$1015-1)*EXP(-POWER(AD12/$E$16:$E$1015,$D$16:$D$1015)),0.1)</f>
        <v>1.1855590716286228E-4</v>
      </c>
      <c r="AF12" s="89" cm="1">
        <f t="array" aca="1" ref="AF12" ca="1">_xlfn.PERCENTILE.INC(($D$16:$D$1015/$E$16:$E$1015)*POWER(AD12/$E$16:$E$1015,$D$16:$D$1015-1)*EXP(-POWER(AD12/$E$16:$E$1015,$D$16:$D$1015)),0.5)</f>
        <v>1.3358084433488432E-4</v>
      </c>
      <c r="AG12" s="89" cm="1">
        <f t="array" aca="1" ref="AG12" ca="1">_xlfn.PERCENTILE.INC(($D$16:$D$1015/$E$16:$E$1015)*POWER(AD12/$E$16:$E$1015,$D$16:$D$1015-1)*EXP(-POWER(AD12/$E$16:$E$1015,$D$16:$D$1015)),0.9)</f>
        <v>1.4793637027570719E-4</v>
      </c>
    </row>
    <row r="13" spans="1:33" x14ac:dyDescent="0.35">
      <c r="A13" s="84" t="s">
        <v>277</v>
      </c>
      <c r="B13" s="86">
        <v>10000</v>
      </c>
      <c r="Y13" s="84">
        <v>2250</v>
      </c>
      <c r="Z13" s="88" cm="1">
        <f t="array" aca="1" ref="Z13" ca="1">_xlfn.PERCENTILE.INC(EXP(-POWER(Y13/$E$16:$E$1015,$D$16:$D$1015)),0.1)</f>
        <v>0.78435098410508941</v>
      </c>
      <c r="AA13" s="88" cm="1">
        <f t="array" aca="1" ref="AA13" ca="1">_xlfn.PERCENTILE.INC(EXP(-POWER(Y13/$E$16:$E$1015,$D$16:$D$1015)),0.5)</f>
        <v>0.81598971202352633</v>
      </c>
      <c r="AB13" s="88" cm="1">
        <f t="array" aca="1" ref="AB13" ca="1">_xlfn.PERCENTILE.INC(EXP(-POWER(Y13/$E$16:$E$1015,$D$16:$D$1015)),0.9)</f>
        <v>0.84545957871772903</v>
      </c>
      <c r="AD13" s="84">
        <v>2250</v>
      </c>
      <c r="AE13" s="89" cm="1">
        <f t="array" aca="1" ref="AE13" ca="1">_xlfn.PERCENTILE.INC(($D$16:$D$1015/$E$16:$E$1015)*POWER(AD13/$E$16:$E$1015,$D$16:$D$1015-1)*EXP(-POWER(AD13/$E$16:$E$1015,$D$16:$D$1015)),0.1)</f>
        <v>1.2830042171636016E-4</v>
      </c>
      <c r="AF13" s="89" cm="1">
        <f t="array" aca="1" ref="AF13" ca="1">_xlfn.PERCENTILE.INC(($D$16:$D$1015/$E$16:$E$1015)*POWER(AD13/$E$16:$E$1015,$D$16:$D$1015-1)*EXP(-POWER(AD13/$E$16:$E$1015,$D$16:$D$1015)),0.5)</f>
        <v>1.4338934888789162E-4</v>
      </c>
      <c r="AG13" s="89" cm="1">
        <f t="array" aca="1" ref="AG13" ca="1">_xlfn.PERCENTILE.INC(($D$16:$D$1015/$E$16:$E$1015)*POWER(AD13/$E$16:$E$1015,$D$16:$D$1015-1)*EXP(-POWER(AD13/$E$16:$E$1015,$D$16:$D$1015)),0.9)</f>
        <v>1.5675809034243121E-4</v>
      </c>
    </row>
    <row r="14" spans="1:33" x14ac:dyDescent="0.35">
      <c r="Y14" s="84">
        <v>2500</v>
      </c>
      <c r="Z14" s="88" cm="1">
        <f t="array" aca="1" ref="Z14" ca="1">_xlfn.PERCENTILE.INC(EXP(-POWER(Y14/$E$16:$E$1015,$D$16:$D$1015)),0.1)</f>
        <v>0.74482494691195711</v>
      </c>
      <c r="AA14" s="88" cm="1">
        <f t="array" aca="1" ref="AA14" ca="1">_xlfn.PERCENTILE.INC(EXP(-POWER(Y14/$E$16:$E$1015,$D$16:$D$1015)),0.5)</f>
        <v>0.77873514801552612</v>
      </c>
      <c r="AB14" s="88" cm="1">
        <f t="array" aca="1" ref="AB14" ca="1">_xlfn.PERCENTILE.INC(EXP(-POWER(Y14/$E$16:$E$1015,$D$16:$D$1015)),0.9)</f>
        <v>0.81181174391918209</v>
      </c>
      <c r="AD14" s="84">
        <v>2500</v>
      </c>
      <c r="AE14" s="89" cm="1">
        <f t="array" aca="1" ref="AE14" ca="1">_xlfn.PERCENTILE.INC(($D$16:$D$1015/$E$16:$E$1015)*POWER(AD14/$E$16:$E$1015,$D$16:$D$1015-1)*EXP(-POWER(AD14/$E$16:$E$1015,$D$16:$D$1015)),0.1)</f>
        <v>1.3688493239418455E-4</v>
      </c>
      <c r="AF14" s="89" cm="1">
        <f t="array" aca="1" ref="AF14" ca="1">_xlfn.PERCENTILE.INC(($D$16:$D$1015/$E$16:$E$1015)*POWER(AD14/$E$16:$E$1015,$D$16:$D$1015-1)*EXP(-POWER(AD14/$E$16:$E$1015,$D$16:$D$1015)),0.5)</f>
        <v>1.5108124820397453E-4</v>
      </c>
      <c r="AG14" s="89" cm="1">
        <f t="array" aca="1" ref="AG14" ca="1">_xlfn.PERCENTILE.INC(($D$16:$D$1015/$E$16:$E$1015)*POWER(AD14/$E$16:$E$1015,$D$16:$D$1015-1)*EXP(-POWER(AD14/$E$16:$E$1015,$D$16:$D$1015)),0.9)</f>
        <v>1.6427098474530957E-4</v>
      </c>
    </row>
    <row r="15" spans="1:33" x14ac:dyDescent="0.35">
      <c r="A15" s="84" t="s">
        <v>278</v>
      </c>
      <c r="B15" s="84" t="s">
        <v>279</v>
      </c>
      <c r="C15" s="84" t="s">
        <v>280</v>
      </c>
      <c r="D15" s="84" t="s">
        <v>281</v>
      </c>
      <c r="E15" s="84" t="s">
        <v>282</v>
      </c>
      <c r="F15" s="84" t="s">
        <v>283</v>
      </c>
      <c r="G15" s="84" t="s">
        <v>284</v>
      </c>
      <c r="Y15" s="84">
        <v>2750</v>
      </c>
      <c r="Z15" s="88" cm="1">
        <f t="array" aca="1" ref="Z15" ca="1">_xlfn.PERCENTILE.INC(EXP(-POWER(Y15/$E$16:$E$1015,$D$16:$D$1015)),0.1)</f>
        <v>0.70385200650055901</v>
      </c>
      <c r="AA15" s="88" cm="1">
        <f t="array" aca="1" ref="AA15" ca="1">_xlfn.PERCENTILE.INC(EXP(-POWER(Y15/$E$16:$E$1015,$D$16:$D$1015)),0.5)</f>
        <v>0.73975782369909759</v>
      </c>
      <c r="AB15" s="88" cm="1">
        <f t="array" aca="1" ref="AB15" ca="1">_xlfn.PERCENTILE.INC(EXP(-POWER(Y15/$E$16:$E$1015,$D$16:$D$1015)),0.9)</f>
        <v>0.77609643332547129</v>
      </c>
      <c r="AD15" s="84">
        <v>2750</v>
      </c>
      <c r="AE15" s="89" cm="1">
        <f t="array" aca="1" ref="AE15" ca="1">_xlfn.PERCENTILE.INC(($D$16:$D$1015/$E$16:$E$1015)*POWER(AD15/$E$16:$E$1015,$D$16:$D$1015-1)*EXP(-POWER(AD15/$E$16:$E$1015,$D$16:$D$1015)),0.1)</f>
        <v>1.4333944446568458E-4</v>
      </c>
      <c r="AF15" s="89" cm="1">
        <f t="array" aca="1" ref="AF15" ca="1">_xlfn.PERCENTILE.INC(($D$16:$D$1015/$E$16:$E$1015)*POWER(AD15/$E$16:$E$1015,$D$16:$D$1015-1)*EXP(-POWER(AD15/$E$16:$E$1015,$D$16:$D$1015)),0.5)</f>
        <v>1.5689152463322211E-4</v>
      </c>
      <c r="AG15" s="89" cm="1">
        <f t="array" aca="1" ref="AG15" ca="1">_xlfn.PERCENTILE.INC(($D$16:$D$1015/$E$16:$E$1015)*POWER(AD15/$E$16:$E$1015,$D$16:$D$1015-1)*EXP(-POWER(AD15/$E$16:$E$1015,$D$16:$D$1015)),0.9)</f>
        <v>1.7038191705965374E-4</v>
      </c>
    </row>
    <row r="16" spans="1:33" x14ac:dyDescent="0.35">
      <c r="A16" s="84">
        <v>1</v>
      </c>
      <c r="B16" s="84">
        <f ca="1">RAND()</f>
        <v>0.77117412429821064</v>
      </c>
      <c r="C16" s="84">
        <f ca="1">RAND()</f>
        <v>0.98212750516453839</v>
      </c>
      <c r="D16" s="93" cm="1">
        <f t="array" aca="1" ref="D16" ca="1">_xlfn.SWITCH($B$4,"Normal MLE",EXP(_xlfn.NORM.INV(B16,LN($C$9),$E$9/$C$9)),"Uniforme",$B$9+($D$9-$B$9)*B16,"Triangular",IF(B16&lt;=($C$9-$B$9)/($D$9-$B$9),$B$9+SQRT(B16*($D$9-$B$9)*($C$9-$B$9)),$D$9-SQRT((1-B16)*($D$9-$B$9)*($D$9-$C$9))),"PERT",_xlfn.BETA.INV(B16,1+$B$6*($C$9-$B$9)/($D$9-$B$9),1+$B$6*($D$9-$C$9)/($D$9-$B$9),$B$9,$D$9))</f>
        <v>2.0522539146082708</v>
      </c>
      <c r="E16" s="94" cm="1">
        <f t="array" aca="1" ref="E16" ca="1">_xlfn.SWITCH($B$4,"Normal MLE",EXP(_xlfn.NORM.INV(C16,LN($C$10),$E$10/$C$10)),"Uniforme",$B$10+($D$10-$B$10)*C16,"Triangular",IF(C16&lt;=($C$10-$B$10)/($D$10-$B$10),$B$10+SQRT(C16*($D$10-$B$10)*($C$10-$B$10)),$D$10-SQRT((1-C16)*($D$10-$B$10)*($D$10-$C$10))),"PERT",_xlfn.BETA.INV(C16,1+$B$6*($C$10-$B$10)/($D$10-$B$10),1+$B$6*($D$10-$C$10)/($D$10-$B$10),$B$10,$D$10))</f>
        <v>5623.2517469308295</v>
      </c>
      <c r="F16" s="88">
        <f ca="1">EXP(-POWER($B$12/E16,D16))</f>
        <v>0.60831208305155027</v>
      </c>
      <c r="G16" s="89">
        <f ca="1">(D16/E16)*POWER($B$12/E16,D16-1)*EXP(-POWER($B$12/E16,D16))</f>
        <v>1.5513603255852407E-4</v>
      </c>
      <c r="Y16" s="84">
        <v>3000</v>
      </c>
      <c r="Z16" s="88" cm="1">
        <f t="array" aca="1" ref="Z16" ca="1">_xlfn.PERCENTILE.INC(EXP(-POWER(Y16/$E$16:$E$1015,$D$16:$D$1015)),0.1)</f>
        <v>0.66265868214903845</v>
      </c>
      <c r="AA16" s="88" cm="1">
        <f t="array" aca="1" ref="AA16" ca="1">_xlfn.PERCENTILE.INC(EXP(-POWER(Y16/$E$16:$E$1015,$D$16:$D$1015)),0.5)</f>
        <v>0.69979150260606193</v>
      </c>
      <c r="AB16" s="88" cm="1">
        <f t="array" aca="1" ref="AB16" ca="1">_xlfn.PERCENTILE.INC(EXP(-POWER(Y16/$E$16:$E$1015,$D$16:$D$1015)),0.9)</f>
        <v>0.73787231633698369</v>
      </c>
      <c r="AD16" s="84">
        <v>3000</v>
      </c>
      <c r="AE16" s="89" cm="1">
        <f t="array" aca="1" ref="AE16" ca="1">_xlfn.PERCENTILE.INC(($D$16:$D$1015/$E$16:$E$1015)*POWER(AD16/$E$16:$E$1015,$D$16:$D$1015-1)*EXP(-POWER(AD16/$E$16:$E$1015,$D$16:$D$1015)),0.1)</f>
        <v>1.4775944714728376E-4</v>
      </c>
      <c r="AF16" s="89" cm="1">
        <f t="array" aca="1" ref="AF16" ca="1">_xlfn.PERCENTILE.INC(($D$16:$D$1015/$E$16:$E$1015)*POWER(AD16/$E$16:$E$1015,$D$16:$D$1015-1)*EXP(-POWER(AD16/$E$16:$E$1015,$D$16:$D$1015)),0.5)</f>
        <v>1.6055131948016697E-4</v>
      </c>
      <c r="AG16" s="89" cm="1">
        <f t="array" aca="1" ref="AG16" ca="1">_xlfn.PERCENTILE.INC(($D$16:$D$1015/$E$16:$E$1015)*POWER(AD16/$E$16:$E$1015,$D$16:$D$1015-1)*EXP(-POWER(AD16/$E$16:$E$1015,$D$16:$D$1015)),0.9)</f>
        <v>1.750115721124654E-4</v>
      </c>
    </row>
    <row r="17" spans="1:33" x14ac:dyDescent="0.35">
      <c r="A17" s="84">
        <v>2</v>
      </c>
      <c r="B17" s="84">
        <f t="shared" ref="B17:C80" ca="1" si="0">RAND()</f>
        <v>0.96416014873790767</v>
      </c>
      <c r="C17" s="84">
        <f t="shared" ca="1" si="0"/>
        <v>0.81516642301006292</v>
      </c>
      <c r="D17" s="93" cm="1">
        <f t="array" aca="1" ref="D17" ca="1">_xlfn.SWITCH($B$4,"Normal MLE",EXP(_xlfn.NORM.INV(B17,LN($C$9),$E$9/$C$9)),"Uniforme",$B$9+($D$9-$B$9)*B17,"Triangular",IF(B17&lt;=($C$9-$B$9)/($D$9-$B$9),$B$9+SQRT(B17*($D$9-$B$9)*($C$9-$B$9)),$D$9-SQRT((1-B17)*($D$9-$B$9)*($D$9-$C$9))),"PERT",_xlfn.BETA.INV(B17,1+$B$6*($C$9-$B$9)/($D$9-$B$9),1+$B$6*($D$9-$C$9)/($D$9-$B$9),$B$9,$D$9))</f>
        <v>2.2110612424195781</v>
      </c>
      <c r="E17" s="94" cm="1">
        <f t="array" aca="1" ref="E17" ca="1">_xlfn.SWITCH($B$4,"Normal MLE",EXP(_xlfn.NORM.INV(C17,LN($C$10),$E$10/$C$10)),"Uniforme",$B$10+($D$10-$B$10)*C17,"Triangular",IF(C17&lt;=($C$10-$B$10)/($D$10-$B$10),$B$10+SQRT(C17*($D$10-$B$10)*($C$10-$B$10)),$D$10-SQRT((1-C17)*($D$10-$B$10)*($D$10-$C$10))),"PERT",_xlfn.BETA.INV(C17,1+$B$6*($C$10-$B$10)/($D$10-$B$10),1+$B$6*($D$10-$C$10)/($D$10-$B$10),$B$10,$D$10))</f>
        <v>5317.1763096247241</v>
      </c>
      <c r="F17" s="88">
        <f t="shared" ref="F17:F80" ca="1" si="1">EXP(-POWER($B$12/E17,D17))</f>
        <v>0.58688570761270065</v>
      </c>
      <c r="G17" s="89">
        <f t="shared" ref="G17:G80" ca="1" si="2">(D17/E17)*POWER($B$12/E17,D17-1)*EXP(-POWER($B$12/E17,D17))</f>
        <v>1.7288629117814821E-4</v>
      </c>
      <c r="Y17" s="84">
        <v>3250</v>
      </c>
      <c r="Z17" s="88" cm="1">
        <f t="array" aca="1" ref="Z17" ca="1">_xlfn.PERCENTILE.INC(EXP(-POWER(Y17/$E$16:$E$1015,$D$16:$D$1015)),0.1)</f>
        <v>0.62100569351962975</v>
      </c>
      <c r="AA17" s="88" cm="1">
        <f t="array" aca="1" ref="AA17" ca="1">_xlfn.PERCENTILE.INC(EXP(-POWER(Y17/$E$16:$E$1015,$D$16:$D$1015)),0.5)</f>
        <v>0.65962811089645723</v>
      </c>
      <c r="AB17" s="88" cm="1">
        <f t="array" aca="1" ref="AB17" ca="1">_xlfn.PERCENTILE.INC(EXP(-POWER(Y17/$E$16:$E$1015,$D$16:$D$1015)),0.9)</f>
        <v>0.69922159705146614</v>
      </c>
      <c r="AD17" s="84">
        <v>3250</v>
      </c>
      <c r="AE17" s="89" cm="1">
        <f t="array" aca="1" ref="AE17" ca="1">_xlfn.PERCENTILE.INC(($D$16:$D$1015/$E$16:$E$1015)*POWER(AD17/$E$16:$E$1015,$D$16:$D$1015-1)*EXP(-POWER(AD17/$E$16:$E$1015,$D$16:$D$1015)),0.1)</f>
        <v>1.5049738705583566E-4</v>
      </c>
      <c r="AF17" s="89" cm="1">
        <f t="array" aca="1" ref="AF17" ca="1">_xlfn.PERCENTILE.INC(($D$16:$D$1015/$E$16:$E$1015)*POWER(AD17/$E$16:$E$1015,$D$16:$D$1015-1)*EXP(-POWER(AD17/$E$16:$E$1015,$D$16:$D$1015)),0.5)</f>
        <v>1.6325183529952421E-4</v>
      </c>
      <c r="AG17" s="89" cm="1">
        <f t="array" aca="1" ref="AG17" ca="1">_xlfn.PERCENTILE.INC(($D$16:$D$1015/$E$16:$E$1015)*POWER(AD17/$E$16:$E$1015,$D$16:$D$1015-1)*EXP(-POWER(AD17/$E$16:$E$1015,$D$16:$D$1015)),0.9)</f>
        <v>1.7762544581813474E-4</v>
      </c>
    </row>
    <row r="18" spans="1:33" x14ac:dyDescent="0.35">
      <c r="A18" s="84">
        <v>3</v>
      </c>
      <c r="B18" s="84">
        <f t="shared" ca="1" si="0"/>
        <v>0.68022455867085396</v>
      </c>
      <c r="C18" s="84">
        <f t="shared" ca="1" si="0"/>
        <v>0.27926747098606441</v>
      </c>
      <c r="D18" s="93" cm="1">
        <f t="array" aca="1" ref="D18" ca="1">_xlfn.SWITCH($B$4,"Normal MLE",EXP(_xlfn.NORM.INV(B18,LN($C$9),$E$9/$C$9)),"Uniforme",$B$9+($D$9-$B$9)*B18,"Triangular",IF(B18&lt;=($C$9-$B$9)/($D$9-$B$9),$B$9+SQRT(B18*($D$9-$B$9)*($C$9-$B$9)),$D$9-SQRT((1-B18)*($D$9-$B$9)*($D$9-$C$9))),"PERT",_xlfn.BETA.INV(B18,1+$B$6*($C$9-$B$9)/($D$9-$B$9),1+$B$6*($D$9-$C$9)/($D$9-$B$9),$B$9,$D$9))</f>
        <v>2.0129797738271051</v>
      </c>
      <c r="E18" s="94" cm="1">
        <f t="array" aca="1" ref="E18" ca="1">_xlfn.SWITCH($B$4,"Normal MLE",EXP(_xlfn.NORM.INV(C18,LN($C$10),$E$10/$C$10)),"Uniforme",$B$10+($D$10-$B$10)*C18,"Triangular",IF(C18&lt;=($C$10-$B$10)/($D$10-$B$10),$B$10+SQRT(C18*($D$10-$B$10)*($C$10-$B$10)),$D$10-SQRT((1-C18)*($D$10-$B$10)*($D$10-$C$10))),"PERT",_xlfn.BETA.INV(C18,1+$B$6*($C$10-$B$10)/($D$10-$B$10),1+$B$6*($D$10-$C$10)/($D$10-$B$10),$B$10,$D$10))</f>
        <v>4962.8152236126007</v>
      </c>
      <c r="F18" s="88">
        <f t="shared" ca="1" si="1"/>
        <v>0.52319005040582123</v>
      </c>
      <c r="G18" s="89">
        <f t="shared" ca="1" si="2"/>
        <v>1.7056380519822167E-4</v>
      </c>
      <c r="Y18" s="84">
        <v>3500</v>
      </c>
      <c r="Z18" s="88" cm="1">
        <f t="array" aca="1" ref="Z18" ca="1">_xlfn.PERCENTILE.INC(EXP(-POWER(Y18/$E$16:$E$1015,$D$16:$D$1015)),0.1)</f>
        <v>0.5784211833349856</v>
      </c>
      <c r="AA18" s="88" cm="1">
        <f t="array" aca="1" ref="AA18" ca="1">_xlfn.PERCENTILE.INC(EXP(-POWER(Y18/$E$16:$E$1015,$D$16:$D$1015)),0.5)</f>
        <v>0.61839387680032498</v>
      </c>
      <c r="AB18" s="88" cm="1">
        <f t="array" aca="1" ref="AB18" ca="1">_xlfn.PERCENTILE.INC(EXP(-POWER(Y18/$E$16:$E$1015,$D$16:$D$1015)),0.9)</f>
        <v>0.65967556532828464</v>
      </c>
      <c r="AD18" s="84">
        <v>3500</v>
      </c>
      <c r="AE18" s="89" cm="1">
        <f t="array" aca="1" ref="AE18" ca="1">_xlfn.PERCENTILE.INC(($D$16:$D$1015/$E$16:$E$1015)*POWER(AD18/$E$16:$E$1015,$D$16:$D$1015-1)*EXP(-POWER(AD18/$E$16:$E$1015,$D$16:$D$1015)),0.1)</f>
        <v>1.5116585412134668E-4</v>
      </c>
      <c r="AF18" s="89" cm="1">
        <f t="array" aca="1" ref="AF18" ca="1">_xlfn.PERCENTILE.INC(($D$16:$D$1015/$E$16:$E$1015)*POWER(AD18/$E$16:$E$1015,$D$16:$D$1015-1)*EXP(-POWER(AD18/$E$16:$E$1015,$D$16:$D$1015)),0.5)</f>
        <v>1.6426813462491909E-4</v>
      </c>
      <c r="AG18" s="89" cm="1">
        <f t="array" aca="1" ref="AG18" ca="1">_xlfn.PERCENTILE.INC(($D$16:$D$1015/$E$16:$E$1015)*POWER(AD18/$E$16:$E$1015,$D$16:$D$1015-1)*EXP(-POWER(AD18/$E$16:$E$1015,$D$16:$D$1015)),0.9)</f>
        <v>1.7861722488914138E-4</v>
      </c>
    </row>
    <row r="19" spans="1:33" x14ac:dyDescent="0.35">
      <c r="A19" s="84">
        <v>4</v>
      </c>
      <c r="B19" s="84">
        <f t="shared" ca="1" si="0"/>
        <v>0.23573462484635754</v>
      </c>
      <c r="C19" s="84">
        <f t="shared" ca="1" si="0"/>
        <v>3.1372953234402812E-2</v>
      </c>
      <c r="D19" s="93" cm="1">
        <f t="array" aca="1" ref="D19" ca="1">_xlfn.SWITCH($B$4,"Normal MLE",EXP(_xlfn.NORM.INV(B19,LN($C$9),$E$9/$C$9)),"Uniforme",$B$9+($D$9-$B$9)*B19,"Triangular",IF(B19&lt;=($C$9-$B$9)/($D$9-$B$9),$B$9+SQRT(B19*($D$9-$B$9)*($C$9-$B$9)),$D$9-SQRT((1-B19)*($D$9-$B$9)*($D$9-$C$9))),"PERT",_xlfn.BETA.INV(B19,1+$B$6*($C$9-$B$9)/($D$9-$B$9),1+$B$6*($D$9-$C$9)/($D$9-$B$9),$B$9,$D$9))</f>
        <v>1.8513745642080019</v>
      </c>
      <c r="E19" s="94" cm="1">
        <f t="array" aca="1" ref="E19" ca="1">_xlfn.SWITCH($B$4,"Normal MLE",EXP(_xlfn.NORM.INV(C19,LN($C$10),$E$10/$C$10)),"Uniforme",$B$10+($D$10-$B$10)*C19,"Triangular",IF(C19&lt;=($C$10-$B$10)/($D$10-$B$10),$B$10+SQRT(C19*($D$10-$B$10)*($C$10-$B$10)),$D$10-SQRT((1-C19)*($D$10-$B$10)*($D$10-$C$10))),"PERT",_xlfn.BETA.INV(C19,1+$B$6*($C$10-$B$10)/($D$10-$B$10),1+$B$6*($D$10-$C$10)/($D$10-$B$10),$B$10,$D$10))</f>
        <v>4676.7192755865935</v>
      </c>
      <c r="F19" s="88">
        <f t="shared" ca="1" si="1"/>
        <v>0.47296599643777387</v>
      </c>
      <c r="G19" s="89">
        <f t="shared" ca="1" si="2"/>
        <v>1.6390435324069424E-4</v>
      </c>
      <c r="Y19" s="84">
        <v>3750</v>
      </c>
      <c r="Z19" s="88" cm="1">
        <f t="array" aca="1" ref="Z19" ca="1">_xlfn.PERCENTILE.INC(EXP(-POWER(Y19/$E$16:$E$1015,$D$16:$D$1015)),0.1)</f>
        <v>0.53649583818726354</v>
      </c>
      <c r="AA19" s="88" cm="1">
        <f t="array" aca="1" ref="AA19" ca="1">_xlfn.PERCENTILE.INC(EXP(-POWER(Y19/$E$16:$E$1015,$D$16:$D$1015)),0.5)</f>
        <v>0.57741878417737591</v>
      </c>
      <c r="AB19" s="88" cm="1">
        <f t="array" aca="1" ref="AB19" ca="1">_xlfn.PERCENTILE.INC(EXP(-POWER(Y19/$E$16:$E$1015,$D$16:$D$1015)),0.9)</f>
        <v>0.61930319382845256</v>
      </c>
      <c r="AD19" s="84">
        <v>3750</v>
      </c>
      <c r="AE19" s="89" cm="1">
        <f t="array" aca="1" ref="AE19" ca="1">_xlfn.PERCENTILE.INC(($D$16:$D$1015/$E$16:$E$1015)*POWER(AD19/$E$16:$E$1015,$D$16:$D$1015-1)*EXP(-POWER(AD19/$E$16:$E$1015,$D$16:$D$1015)),0.1)</f>
        <v>1.5032301653628902E-4</v>
      </c>
      <c r="AF19" s="89" cm="1">
        <f t="array" aca="1" ref="AF19" ca="1">_xlfn.PERCENTILE.INC(($D$16:$D$1015/$E$16:$E$1015)*POWER(AD19/$E$16:$E$1015,$D$16:$D$1015-1)*EXP(-POWER(AD19/$E$16:$E$1015,$D$16:$D$1015)),0.5)</f>
        <v>1.6348685551938723E-4</v>
      </c>
      <c r="AG19" s="89" cm="1">
        <f t="array" aca="1" ref="AG19" ca="1">_xlfn.PERCENTILE.INC(($D$16:$D$1015/$E$16:$E$1015)*POWER(AD19/$E$16:$E$1015,$D$16:$D$1015-1)*EXP(-POWER(AD19/$E$16:$E$1015,$D$16:$D$1015)),0.9)</f>
        <v>1.7788646051869814E-4</v>
      </c>
    </row>
    <row r="20" spans="1:33" x14ac:dyDescent="0.35">
      <c r="A20" s="84">
        <v>5</v>
      </c>
      <c r="B20" s="84">
        <f t="shared" ca="1" si="0"/>
        <v>0.95638265308243509</v>
      </c>
      <c r="C20" s="84">
        <f t="shared" ca="1" si="0"/>
        <v>9.3389115552707569E-2</v>
      </c>
      <c r="D20" s="93" cm="1">
        <f t="array" aca="1" ref="D20" ca="1">_xlfn.SWITCH($B$4,"Normal MLE",EXP(_xlfn.NORM.INV(B20,LN($C$9),$E$9/$C$9)),"Uniforme",$B$9+($D$9-$B$9)*B20,"Triangular",IF(B20&lt;=($C$9-$B$9)/($D$9-$B$9),$B$9+SQRT(B20*($D$9-$B$9)*($C$9-$B$9)),$D$9-SQRT((1-B20)*($D$9-$B$9)*($D$9-$C$9))),"PERT",_xlfn.BETA.INV(B20,1+$B$6*($C$9-$B$9)/($D$9-$B$9),1+$B$6*($D$9-$C$9)/($D$9-$B$9),$B$9,$D$9))</f>
        <v>2.1969410189611138</v>
      </c>
      <c r="E20" s="94" cm="1">
        <f t="array" aca="1" ref="E20" ca="1">_xlfn.SWITCH($B$4,"Normal MLE",EXP(_xlfn.NORM.INV(C20,LN($C$10),$E$10/$C$10)),"Uniforme",$B$10+($D$10-$B$10)*C20,"Triangular",IF(C20&lt;=($C$10-$B$10)/($D$10-$B$10),$B$10+SQRT(C20*($D$10-$B$10)*($C$10-$B$10)),$D$10-SQRT((1-C20)*($D$10-$B$10)*($D$10-$C$10))),"PERT",_xlfn.BETA.INV(C20,1+$B$6*($C$10-$B$10)/($D$10-$B$10),1+$B$6*($D$10-$C$10)/($D$10-$B$10),$B$10,$D$10))</f>
        <v>4795.9097745035506</v>
      </c>
      <c r="F20" s="88">
        <f t="shared" ca="1" si="1"/>
        <v>0.51109102099087633</v>
      </c>
      <c r="G20" s="89">
        <f t="shared" ca="1" si="2"/>
        <v>1.8841414797237749E-4</v>
      </c>
      <c r="Y20" s="84">
        <v>4000</v>
      </c>
      <c r="Z20" s="88" cm="1">
        <f t="array" aca="1" ref="Z20" ca="1">_xlfn.PERCENTILE.INC(EXP(-POWER(Y20/$E$16:$E$1015,$D$16:$D$1015)),0.1)</f>
        <v>0.49514860357479212</v>
      </c>
      <c r="AA20" s="88" cm="1">
        <f t="array" aca="1" ref="AA20" ca="1">_xlfn.PERCENTILE.INC(EXP(-POWER(Y20/$E$16:$E$1015,$D$16:$D$1015)),0.5)</f>
        <v>0.53622193686211317</v>
      </c>
      <c r="AB20" s="88" cm="1">
        <f t="array" aca="1" ref="AB20" ca="1">_xlfn.PERCENTILE.INC(EXP(-POWER(Y20/$E$16:$E$1015,$D$16:$D$1015)),0.9)</f>
        <v>0.58046166850791825</v>
      </c>
      <c r="AD20" s="84">
        <v>4000</v>
      </c>
      <c r="AE20" s="89" cm="1">
        <f t="array" aca="1" ref="AE20" ca="1">_xlfn.PERCENTILE.INC(($D$16:$D$1015/$E$16:$E$1015)*POWER(AD20/$E$16:$E$1015,$D$16:$D$1015-1)*EXP(-POWER(AD20/$E$16:$E$1015,$D$16:$D$1015)),0.1)</f>
        <v>1.4827130576701038E-4</v>
      </c>
      <c r="AF20" s="89" cm="1">
        <f t="array" aca="1" ref="AF20" ca="1">_xlfn.PERCENTILE.INC(($D$16:$D$1015/$E$16:$E$1015)*POWER(AD20/$E$16:$E$1015,$D$16:$D$1015-1)*EXP(-POWER(AD20/$E$16:$E$1015,$D$16:$D$1015)),0.5)</f>
        <v>1.6144551337773135E-4</v>
      </c>
      <c r="AG20" s="89" cm="1">
        <f t="array" aca="1" ref="AG20" ca="1">_xlfn.PERCENTILE.INC(($D$16:$D$1015/$E$16:$E$1015)*POWER(AD20/$E$16:$E$1015,$D$16:$D$1015-1)*EXP(-POWER(AD20/$E$16:$E$1015,$D$16:$D$1015)),0.9)</f>
        <v>1.7561326685352344E-4</v>
      </c>
    </row>
    <row r="21" spans="1:33" x14ac:dyDescent="0.35">
      <c r="A21" s="84">
        <v>6</v>
      </c>
      <c r="B21" s="84">
        <f t="shared" ca="1" si="0"/>
        <v>0.44914150562243971</v>
      </c>
      <c r="C21" s="84">
        <f t="shared" ca="1" si="0"/>
        <v>0.21632989261728108</v>
      </c>
      <c r="D21" s="93" cm="1">
        <f t="array" aca="1" ref="D21" ca="1">_xlfn.SWITCH($B$4,"Normal MLE",EXP(_xlfn.NORM.INV(B21,LN($C$9),$E$9/$C$9)),"Uniforme",$B$9+($D$9-$B$9)*B21,"Triangular",IF(B21&lt;=($C$9-$B$9)/($D$9-$B$9),$B$9+SQRT(B21*($D$9-$B$9)*($C$9-$B$9)),$D$9-SQRT((1-B21)*($D$9-$B$9)*($D$9-$C$9))),"PERT",_xlfn.BETA.INV(B21,1+$B$6*($C$9-$B$9)/($D$9-$B$9),1+$B$6*($D$9-$C$9)/($D$9-$B$9),$B$9,$D$9))</f>
        <v>1.9302219635036262</v>
      </c>
      <c r="E21" s="94" cm="1">
        <f t="array" aca="1" ref="E21" ca="1">_xlfn.SWITCH($B$4,"Normal MLE",EXP(_xlfn.NORM.INV(C21,LN($C$10),$E$10/$C$10)),"Uniforme",$B$10+($D$10-$B$10)*C21,"Triangular",IF(C21&lt;=($C$10-$B$10)/($D$10-$B$10),$B$10+SQRT(C21*($D$10-$B$10)*($C$10-$B$10)),$D$10-SQRT((1-C21)*($D$10-$B$10)*($D$10-$C$10))),"PERT",_xlfn.BETA.INV(C21,1+$B$6*($C$10-$B$10)/($D$10-$B$10),1+$B$6*($D$10-$C$10)/($D$10-$B$10),$B$10,$D$10))</f>
        <v>4916.9260776810988</v>
      </c>
      <c r="F21" s="88">
        <f t="shared" ca="1" si="1"/>
        <v>0.51098814436417506</v>
      </c>
      <c r="G21" s="89">
        <f t="shared" ca="1" si="2"/>
        <v>1.6555609460135786E-4</v>
      </c>
      <c r="Y21" s="84">
        <v>4250</v>
      </c>
      <c r="Z21" s="88" cm="1">
        <f t="array" aca="1" ref="Z21" ca="1">_xlfn.PERCENTILE.INC(EXP(-POWER(Y21/$E$16:$E$1015,$D$16:$D$1015)),0.1)</f>
        <v>0.45433342674802274</v>
      </c>
      <c r="AA21" s="88" cm="1">
        <f t="array" aca="1" ref="AA21" ca="1">_xlfn.PERCENTILE.INC(EXP(-POWER(Y21/$E$16:$E$1015,$D$16:$D$1015)),0.5)</f>
        <v>0.49537204576019023</v>
      </c>
      <c r="AB21" s="88" cm="1">
        <f t="array" aca="1" ref="AB21" ca="1">_xlfn.PERCENTILE.INC(EXP(-POWER(Y21/$E$16:$E$1015,$D$16:$D$1015)),0.9)</f>
        <v>0.54145601282168199</v>
      </c>
      <c r="AD21" s="84">
        <v>4250</v>
      </c>
      <c r="AE21" s="89" cm="1">
        <f t="array" aca="1" ref="AE21" ca="1">_xlfn.PERCENTILE.INC(($D$16:$D$1015/$E$16:$E$1015)*POWER(AD21/$E$16:$E$1015,$D$16:$D$1015-1)*EXP(-POWER(AD21/$E$16:$E$1015,$D$16:$D$1015)),0.1)</f>
        <v>1.4517746453909992E-4</v>
      </c>
      <c r="AF21" s="89" cm="1">
        <f t="array" aca="1" ref="AF21" ca="1">_xlfn.PERCENTILE.INC(($D$16:$D$1015/$E$16:$E$1015)*POWER(AD21/$E$16:$E$1015,$D$16:$D$1015-1)*EXP(-POWER(AD21/$E$16:$E$1015,$D$16:$D$1015)),0.5)</f>
        <v>1.5815849918921214E-4</v>
      </c>
      <c r="AG21" s="89" cm="1">
        <f t="array" aca="1" ref="AG21" ca="1">_xlfn.PERCENTILE.INC(($D$16:$D$1015/$E$16:$E$1015)*POWER(AD21/$E$16:$E$1015,$D$16:$D$1015-1)*EXP(-POWER(AD21/$E$16:$E$1015,$D$16:$D$1015)),0.9)</f>
        <v>1.7242871458503562E-4</v>
      </c>
    </row>
    <row r="22" spans="1:33" x14ac:dyDescent="0.35">
      <c r="A22" s="84">
        <v>7</v>
      </c>
      <c r="B22" s="84">
        <f t="shared" ca="1" si="0"/>
        <v>0.17104633417107928</v>
      </c>
      <c r="C22" s="84">
        <f t="shared" ca="1" si="0"/>
        <v>7.7548411000342266E-2</v>
      </c>
      <c r="D22" s="93" cm="1">
        <f t="array" aca="1" ref="D22" ca="1">_xlfn.SWITCH($B$4,"Normal MLE",EXP(_xlfn.NORM.INV(B22,LN($C$9),$E$9/$C$9)),"Uniforme",$B$9+($D$9-$B$9)*B22,"Triangular",IF(B22&lt;=($C$9-$B$9)/($D$9-$B$9),$B$9+SQRT(B22*($D$9-$B$9)*($C$9-$B$9)),$D$9-SQRT((1-B22)*($D$9-$B$9)*($D$9-$C$9))),"PERT",_xlfn.BETA.INV(B22,1+$B$6*($C$9-$B$9)/($D$9-$B$9),1+$B$6*($D$9-$C$9)/($D$9-$B$9),$B$9,$D$9))</f>
        <v>1.8216370109207116</v>
      </c>
      <c r="E22" s="94" cm="1">
        <f t="array" aca="1" ref="E22" ca="1">_xlfn.SWITCH($B$4,"Normal MLE",EXP(_xlfn.NORM.INV(C22,LN($C$10),$E$10/$C$10)),"Uniforme",$B$10+($D$10-$B$10)*C22,"Triangular",IF(C22&lt;=($C$10-$B$10)/($D$10-$B$10),$B$10+SQRT(C22*($D$10-$B$10)*($C$10-$B$10)),$D$10-SQRT((1-C22)*($D$10-$B$10)*($D$10-$C$10))),"PERT",_xlfn.BETA.INV(C22,1+$B$6*($C$10-$B$10)/($D$10-$B$10),1+$B$6*($D$10-$C$10)/($D$10-$B$10),$B$10,$D$10))</f>
        <v>4773.2917053680958</v>
      </c>
      <c r="F22" s="88">
        <f t="shared" ca="1" si="1"/>
        <v>0.48445650590156919</v>
      </c>
      <c r="G22" s="89">
        <f t="shared" ca="1" si="2"/>
        <v>1.5989373862697212E-4</v>
      </c>
      <c r="Y22" s="84">
        <v>4500</v>
      </c>
      <c r="Z22" s="88" cm="1">
        <f t="array" aca="1" ref="Z22" ca="1">_xlfn.PERCENTILE.INC(EXP(-POWER(Y22/$E$16:$E$1015,$D$16:$D$1015)),0.1)</f>
        <v>0.41511500445284827</v>
      </c>
      <c r="AA22" s="88" cm="1">
        <f t="array" aca="1" ref="AA22" ca="1">_xlfn.PERCENTILE.INC(EXP(-POWER(Y22/$E$16:$E$1015,$D$16:$D$1015)),0.5)</f>
        <v>0.45576606802132291</v>
      </c>
      <c r="AB22" s="88" cm="1">
        <f t="array" aca="1" ref="AB22" ca="1">_xlfn.PERCENTILE.INC(EXP(-POWER(Y22/$E$16:$E$1015,$D$16:$D$1015)),0.9)</f>
        <v>0.50251558020606646</v>
      </c>
      <c r="AD22" s="84">
        <v>4500</v>
      </c>
      <c r="AE22" s="89" cm="1">
        <f t="array" aca="1" ref="AE22" ca="1">_xlfn.PERCENTILE.INC(($D$16:$D$1015/$E$16:$E$1015)*POWER(AD22/$E$16:$E$1015,$D$16:$D$1015-1)*EXP(-POWER(AD22/$E$16:$E$1015,$D$16:$D$1015)),0.1)</f>
        <v>1.4119991629470678E-4</v>
      </c>
      <c r="AF22" s="89" cm="1">
        <f t="array" aca="1" ref="AF22" ca="1">_xlfn.PERCENTILE.INC(($D$16:$D$1015/$E$16:$E$1015)*POWER(AD22/$E$16:$E$1015,$D$16:$D$1015-1)*EXP(-POWER(AD22/$E$16:$E$1015,$D$16:$D$1015)),0.5)</f>
        <v>1.5397022607294998E-4</v>
      </c>
      <c r="AG22" s="89" cm="1">
        <f t="array" aca="1" ref="AG22" ca="1">_xlfn.PERCENTILE.INC(($D$16:$D$1015/$E$16:$E$1015)*POWER(AD22/$E$16:$E$1015,$D$16:$D$1015-1)*EXP(-POWER(AD22/$E$16:$E$1015,$D$16:$D$1015)),0.9)</f>
        <v>1.6801193130908866E-4</v>
      </c>
    </row>
    <row r="23" spans="1:33" x14ac:dyDescent="0.35">
      <c r="A23" s="84">
        <v>8</v>
      </c>
      <c r="B23" s="84">
        <f t="shared" ca="1" si="0"/>
        <v>0.5124086899888628</v>
      </c>
      <c r="C23" s="84">
        <f t="shared" ca="1" si="0"/>
        <v>0.14114769510523895</v>
      </c>
      <c r="D23" s="93" cm="1">
        <f t="array" aca="1" ref="D23" ca="1">_xlfn.SWITCH($B$4,"Normal MLE",EXP(_xlfn.NORM.INV(B23,LN($C$9),$E$9/$C$9)),"Uniforme",$B$9+($D$9-$B$9)*B23,"Triangular",IF(B23&lt;=($C$9-$B$9)/($D$9-$B$9),$B$9+SQRT(B23*($D$9-$B$9)*($C$9-$B$9)),$D$9-SQRT((1-B23)*($D$9-$B$9)*($D$9-$C$9))),"PERT",_xlfn.BETA.INV(B23,1+$B$6*($C$9-$B$9)/($D$9-$B$9),1+$B$6*($D$9-$C$9)/($D$9-$B$9),$B$9,$D$9))</f>
        <v>1.9519472182720836</v>
      </c>
      <c r="E23" s="94" cm="1">
        <f t="array" aca="1" ref="E23" ca="1">_xlfn.SWITCH($B$4,"Normal MLE",EXP(_xlfn.NORM.INV(C23,LN($C$10),$E$10/$C$10)),"Uniforme",$B$10+($D$10-$B$10)*C23,"Triangular",IF(C23&lt;=($C$10-$B$10)/($D$10-$B$10),$B$10+SQRT(C23*($D$10-$B$10)*($C$10-$B$10)),$D$10-SQRT((1-C23)*($D$10-$B$10)*($D$10-$C$10))),"PERT",_xlfn.BETA.INV(C23,1+$B$6*($C$10-$B$10)/($D$10-$B$10),1+$B$6*($D$10-$C$10)/($D$10-$B$10),$B$10,$D$10))</f>
        <v>4850.8987451032872</v>
      </c>
      <c r="F23" s="88">
        <f t="shared" ca="1" si="1"/>
        <v>0.50344602051470266</v>
      </c>
      <c r="G23" s="89">
        <f t="shared" ca="1" si="2"/>
        <v>1.6860154971528983E-4</v>
      </c>
      <c r="Y23" s="84">
        <v>4750</v>
      </c>
      <c r="Z23" s="88" cm="1">
        <f t="array" aca="1" ref="Z23" ca="1">_xlfn.PERCENTILE.INC(EXP(-POWER(Y23/$E$16:$E$1015,$D$16:$D$1015)),0.1)</f>
        <v>0.37679757853182405</v>
      </c>
      <c r="AA23" s="88" cm="1">
        <f t="array" aca="1" ref="AA23" ca="1">_xlfn.PERCENTILE.INC(EXP(-POWER(Y23/$E$16:$E$1015,$D$16:$D$1015)),0.5)</f>
        <v>0.41780652341689528</v>
      </c>
      <c r="AB23" s="88" cm="1">
        <f t="array" aca="1" ref="AB23" ca="1">_xlfn.PERCENTILE.INC(EXP(-POWER(Y23/$E$16:$E$1015,$D$16:$D$1015)),0.9)</f>
        <v>0.46582158823694414</v>
      </c>
      <c r="AD23" s="84">
        <v>4750</v>
      </c>
      <c r="AE23" s="89" cm="1">
        <f t="array" aca="1" ref="AE23" ca="1">_xlfn.PERCENTILE.INC(($D$16:$D$1015/$E$16:$E$1015)*POWER(AD23/$E$16:$E$1015,$D$16:$D$1015-1)*EXP(-POWER(AD23/$E$16:$E$1015,$D$16:$D$1015)),0.1)</f>
        <v>1.3603438648656537E-4</v>
      </c>
      <c r="AF23" s="89" cm="1">
        <f t="array" aca="1" ref="AF23" ca="1">_xlfn.PERCENTILE.INC(($D$16:$D$1015/$E$16:$E$1015)*POWER(AD23/$E$16:$E$1015,$D$16:$D$1015-1)*EXP(-POWER(AD23/$E$16:$E$1015,$D$16:$D$1015)),0.5)</f>
        <v>1.4861930120878809E-4</v>
      </c>
      <c r="AG23" s="89" cm="1">
        <f t="array" aca="1" ref="AG23" ca="1">_xlfn.PERCENTILE.INC(($D$16:$D$1015/$E$16:$E$1015)*POWER(AD23/$E$16:$E$1015,$D$16:$D$1015-1)*EXP(-POWER(AD23/$E$16:$E$1015,$D$16:$D$1015)),0.9)</f>
        <v>1.6240070572797383E-4</v>
      </c>
    </row>
    <row r="24" spans="1:33" x14ac:dyDescent="0.35">
      <c r="A24" s="84">
        <v>9</v>
      </c>
      <c r="B24" s="84">
        <f t="shared" ca="1" si="0"/>
        <v>4.8371463226300815E-2</v>
      </c>
      <c r="C24" s="84">
        <f t="shared" ca="1" si="0"/>
        <v>0.92616599521763188</v>
      </c>
      <c r="D24" s="93" cm="1">
        <f t="array" aca="1" ref="D24" ca="1">_xlfn.SWITCH($B$4,"Normal MLE",EXP(_xlfn.NORM.INV(B24,LN($C$9),$E$9/$C$9)),"Uniforme",$B$9+($D$9-$B$9)*B24,"Triangular",IF(B24&lt;=($C$9-$B$9)/($D$9-$B$9),$B$9+SQRT(B24*($D$9-$B$9)*($C$9-$B$9)),$D$9-SQRT((1-B24)*($D$9-$B$9)*($D$9-$C$9))),"PERT",_xlfn.BETA.INV(B24,1+$B$6*($C$9-$B$9)/($D$9-$B$9),1+$B$6*($D$9-$C$9)/($D$9-$B$9),$B$9,$D$9))</f>
        <v>1.7326990821582331</v>
      </c>
      <c r="E24" s="94" cm="1">
        <f t="array" aca="1" ref="E24" ca="1">_xlfn.SWITCH($B$4,"Normal MLE",EXP(_xlfn.NORM.INV(C24,LN($C$10),$E$10/$C$10)),"Uniforme",$B$10+($D$10-$B$10)*C24,"Triangular",IF(C24&lt;=($C$10-$B$10)/($D$10-$B$10),$B$10+SQRT(C24*($D$10-$B$10)*($C$10-$B$10)),$D$10-SQRT((1-C24)*($D$10-$B$10)*($D$10-$C$10))),"PERT",_xlfn.BETA.INV(C24,1+$B$6*($C$10-$B$10)/($D$10-$B$10),1+$B$6*($D$10-$C$10)/($D$10-$B$10),$B$10,$D$10))</f>
        <v>5455.2028229155421</v>
      </c>
      <c r="F24" s="88">
        <f t="shared" ca="1" si="1"/>
        <v>0.55758497333745738</v>
      </c>
      <c r="G24" s="89">
        <f t="shared" ca="1" si="2"/>
        <v>1.4108844134450214E-4</v>
      </c>
      <c r="Y24" s="84">
        <v>5000</v>
      </c>
      <c r="Z24" s="88" cm="1">
        <f t="array" aca="1" ref="Z24" ca="1">_xlfn.PERCENTILE.INC(EXP(-POWER(Y24/$E$16:$E$1015,$D$16:$D$1015)),0.1)</f>
        <v>0.33980255853083763</v>
      </c>
      <c r="AA24" s="88" cm="1">
        <f t="array" aca="1" ref="AA24" ca="1">_xlfn.PERCENTILE.INC(EXP(-POWER(Y24/$E$16:$E$1015,$D$16:$D$1015)),0.5)</f>
        <v>0.38096810598322284</v>
      </c>
      <c r="AB24" s="88" cm="1">
        <f t="array" aca="1" ref="AB24" ca="1">_xlfn.PERCENTILE.INC(EXP(-POWER(Y24/$E$16:$E$1015,$D$16:$D$1015)),0.9)</f>
        <v>0.42870615702829162</v>
      </c>
      <c r="AD24" s="84">
        <v>5000</v>
      </c>
      <c r="AE24" s="89" cm="1">
        <f t="array" aca="1" ref="AE24" ca="1">_xlfn.PERCENTILE.INC(($D$16:$D$1015/$E$16:$E$1015)*POWER(AD24/$E$16:$E$1015,$D$16:$D$1015-1)*EXP(-POWER(AD24/$E$16:$E$1015,$D$16:$D$1015)),0.1)</f>
        <v>1.3067976239923172E-4</v>
      </c>
      <c r="AF24" s="89" cm="1">
        <f t="array" aca="1" ref="AF24" ca="1">_xlfn.PERCENTILE.INC(($D$16:$D$1015/$E$16:$E$1015)*POWER(AD24/$E$16:$E$1015,$D$16:$D$1015-1)*EXP(-POWER(AD24/$E$16:$E$1015,$D$16:$D$1015)),0.5)</f>
        <v>1.4223110540615921E-4</v>
      </c>
      <c r="AG24" s="89" cm="1">
        <f t="array" aca="1" ref="AG24" ca="1">_xlfn.PERCENTILE.INC(($D$16:$D$1015/$E$16:$E$1015)*POWER(AD24/$E$16:$E$1015,$D$16:$D$1015-1)*EXP(-POWER(AD24/$E$16:$E$1015,$D$16:$D$1015)),0.9)</f>
        <v>1.5586807910426554E-4</v>
      </c>
    </row>
    <row r="25" spans="1:33" x14ac:dyDescent="0.35">
      <c r="A25" s="84">
        <v>10</v>
      </c>
      <c r="B25" s="84">
        <f t="shared" ca="1" si="0"/>
        <v>1.0609969488319493E-2</v>
      </c>
      <c r="C25" s="84">
        <f t="shared" ca="1" si="0"/>
        <v>0.93203433560875881</v>
      </c>
      <c r="D25" s="93" cm="1">
        <f t="array" aca="1" ref="D25" ca="1">_xlfn.SWITCH($B$4,"Normal MLE",EXP(_xlfn.NORM.INV(B25,LN($C$9),$E$9/$C$9)),"Uniforme",$B$9+($D$9-$B$9)*B25,"Triangular",IF(B25&lt;=($C$9-$B$9)/($D$9-$B$9),$B$9+SQRT(B25*($D$9-$B$9)*($C$9-$B$9)),$D$9-SQRT((1-B25)*($D$9-$B$9)*($D$9-$C$9))),"PERT",_xlfn.BETA.INV(B25,1+$B$6*($C$9-$B$9)/($D$9-$B$9),1+$B$6*($D$9-$C$9)/($D$9-$B$9),$B$9,$D$9))</f>
        <v>1.6559699424169081</v>
      </c>
      <c r="E25" s="94" cm="1">
        <f t="array" aca="1" ref="E25" ca="1">_xlfn.SWITCH($B$4,"Normal MLE",EXP(_xlfn.NORM.INV(C25,LN($C$10),$E$10/$C$10)),"Uniforme",$B$10+($D$10-$B$10)*C25,"Triangular",IF(C25&lt;=($C$10-$B$10)/($D$10-$B$10),$B$10+SQRT(C25*($D$10-$B$10)*($C$10-$B$10)),$D$10-SQRT((1-C25)*($D$10-$B$10)*($D$10-$C$10))),"PERT",_xlfn.BETA.INV(C25,1+$B$6*($C$10-$B$10)/($D$10-$B$10),1+$B$6*($D$10-$C$10)/($D$10-$B$10),$B$10,$D$10))</f>
        <v>5466.2050452103103</v>
      </c>
      <c r="F25" s="88">
        <f t="shared" ca="1" si="1"/>
        <v>0.55088931302495614</v>
      </c>
      <c r="G25" s="89">
        <f t="shared" ca="1" si="2"/>
        <v>1.3597665285611162E-4</v>
      </c>
      <c r="Y25" s="84">
        <v>5250</v>
      </c>
      <c r="Z25" s="88" cm="1">
        <f t="array" aca="1" ref="Z25" ca="1">_xlfn.PERCENTILE.INC(EXP(-POWER(Y25/$E$16:$E$1015,$D$16:$D$1015)),0.1)</f>
        <v>0.30464009725793395</v>
      </c>
      <c r="AA25" s="88" cm="1">
        <f t="array" aca="1" ref="AA25" ca="1">_xlfn.PERCENTILE.INC(EXP(-POWER(Y25/$E$16:$E$1015,$D$16:$D$1015)),0.5)</f>
        <v>0.3468136857121813</v>
      </c>
      <c r="AB25" s="88" cm="1">
        <f t="array" aca="1" ref="AB25" ca="1">_xlfn.PERCENTILE.INC(EXP(-POWER(Y25/$E$16:$E$1015,$D$16:$D$1015)),0.9)</f>
        <v>0.39351445757486769</v>
      </c>
      <c r="AD25" s="84">
        <v>5250</v>
      </c>
      <c r="AE25" s="89" cm="1">
        <f t="array" aca="1" ref="AE25" ca="1">_xlfn.PERCENTILE.INC(($D$16:$D$1015/$E$16:$E$1015)*POWER(AD25/$E$16:$E$1015,$D$16:$D$1015-1)*EXP(-POWER(AD25/$E$16:$E$1015,$D$16:$D$1015)),0.1)</f>
        <v>1.2431118144634273E-4</v>
      </c>
      <c r="AF25" s="89" cm="1">
        <f t="array" aca="1" ref="AF25" ca="1">_xlfn.PERCENTILE.INC(($D$16:$D$1015/$E$16:$E$1015)*POWER(AD25/$E$16:$E$1015,$D$16:$D$1015-1)*EXP(-POWER(AD25/$E$16:$E$1015,$D$16:$D$1015)),0.5)</f>
        <v>1.3555525599624995E-4</v>
      </c>
      <c r="AG25" s="89" cm="1">
        <f t="array" aca="1" ref="AG25" ca="1">_xlfn.PERCENTILE.INC(($D$16:$D$1015/$E$16:$E$1015)*POWER(AD25/$E$16:$E$1015,$D$16:$D$1015-1)*EXP(-POWER(AD25/$E$16:$E$1015,$D$16:$D$1015)),0.9)</f>
        <v>1.4820905266251926E-4</v>
      </c>
    </row>
    <row r="26" spans="1:33" x14ac:dyDescent="0.35">
      <c r="A26" s="84">
        <v>11</v>
      </c>
      <c r="B26" s="84">
        <f t="shared" ca="1" si="0"/>
        <v>0.95972576780040719</v>
      </c>
      <c r="C26" s="84">
        <f t="shared" ca="1" si="0"/>
        <v>0.42274424346156436</v>
      </c>
      <c r="D26" s="93" cm="1">
        <f t="array" aca="1" ref="D26" ca="1">_xlfn.SWITCH($B$4,"Normal MLE",EXP(_xlfn.NORM.INV(B26,LN($C$9),$E$9/$C$9)),"Uniforme",$B$9+($D$9-$B$9)*B26,"Triangular",IF(B26&lt;=($C$9-$B$9)/($D$9-$B$9),$B$9+SQRT(B26*($D$9-$B$9)*($C$9-$B$9)),$D$9-SQRT((1-B26)*($D$9-$B$9)*($D$9-$C$9))),"PERT",_xlfn.BETA.INV(B26,1+$B$6*($C$9-$B$9)/($D$9-$B$9),1+$B$6*($D$9-$C$9)/($D$9-$B$9),$B$9,$D$9))</f>
        <v>2.2027260082715294</v>
      </c>
      <c r="E26" s="94" cm="1">
        <f t="array" aca="1" ref="E26" ca="1">_xlfn.SWITCH($B$4,"Normal MLE",EXP(_xlfn.NORM.INV(C26,LN($C$10),$E$10/$C$10)),"Uniforme",$B$10+($D$10-$B$10)*C26,"Triangular",IF(C26&lt;=($C$10-$B$10)/($D$10-$B$10),$B$10+SQRT(C26*($D$10-$B$10)*($C$10-$B$10)),$D$10-SQRT((1-C26)*($D$10-$B$10)*($D$10-$C$10))),"PERT",_xlfn.BETA.INV(C26,1+$B$6*($C$10-$B$10)/($D$10-$B$10),1+$B$6*($D$10-$C$10)/($D$10-$B$10),$B$10,$D$10))</f>
        <v>5053.7376816096021</v>
      </c>
      <c r="F26" s="88">
        <f t="shared" ca="1" si="1"/>
        <v>0.55020861405204879</v>
      </c>
      <c r="G26" s="89">
        <f t="shared" ca="1" si="2"/>
        <v>1.8102355543325486E-4</v>
      </c>
      <c r="Y26" s="84">
        <v>5500</v>
      </c>
      <c r="Z26" s="88" cm="1">
        <f t="array" aca="1" ref="Z26" ca="1">_xlfn.PERCENTILE.INC(EXP(-POWER(Y26/$E$16:$E$1015,$D$16:$D$1015)),0.1)</f>
        <v>0.27159604029876022</v>
      </c>
      <c r="AA26" s="88" cm="1">
        <f t="array" aca="1" ref="AA26" ca="1">_xlfn.PERCENTILE.INC(EXP(-POWER(Y26/$E$16:$E$1015,$D$16:$D$1015)),0.5)</f>
        <v>0.31428438649873119</v>
      </c>
      <c r="AB26" s="88" cm="1">
        <f t="array" aca="1" ref="AB26" ca="1">_xlfn.PERCENTILE.INC(EXP(-POWER(Y26/$E$16:$E$1015,$D$16:$D$1015)),0.9)</f>
        <v>0.36007928090579255</v>
      </c>
      <c r="AD26" s="84">
        <v>5500</v>
      </c>
      <c r="AE26" s="89" cm="1">
        <f t="array" aca="1" ref="AE26" ca="1">_xlfn.PERCENTILE.INC(($D$16:$D$1015/$E$16:$E$1015)*POWER(AD26/$E$16:$E$1015,$D$16:$D$1015-1)*EXP(-POWER(AD26/$E$16:$E$1015,$D$16:$D$1015)),0.1)</f>
        <v>1.1706757505857069E-4</v>
      </c>
      <c r="AF26" s="89" cm="1">
        <f t="array" aca="1" ref="AF26" ca="1">_xlfn.PERCENTILE.INC(($D$16:$D$1015/$E$16:$E$1015)*POWER(AD26/$E$16:$E$1015,$D$16:$D$1015-1)*EXP(-POWER(AD26/$E$16:$E$1015,$D$16:$D$1015)),0.5)</f>
        <v>1.2816999996120263E-4</v>
      </c>
      <c r="AG26" s="89" cm="1">
        <f t="array" aca="1" ref="AG26" ca="1">_xlfn.PERCENTILE.INC(($D$16:$D$1015/$E$16:$E$1015)*POWER(AD26/$E$16:$E$1015,$D$16:$D$1015-1)*EXP(-POWER(AD26/$E$16:$E$1015,$D$16:$D$1015)),0.9)</f>
        <v>1.3976315648122825E-4</v>
      </c>
    </row>
    <row r="27" spans="1:33" x14ac:dyDescent="0.35">
      <c r="A27" s="84">
        <v>12</v>
      </c>
      <c r="B27" s="84">
        <f t="shared" ca="1" si="0"/>
        <v>0.22041692721000705</v>
      </c>
      <c r="C27" s="84">
        <f t="shared" ca="1" si="0"/>
        <v>0.63517806867015691</v>
      </c>
      <c r="D27" s="93" cm="1">
        <f t="array" aca="1" ref="D27" ca="1">_xlfn.SWITCH($B$4,"Normal MLE",EXP(_xlfn.NORM.INV(B27,LN($C$9),$E$9/$C$9)),"Uniforme",$B$9+($D$9-$B$9)*B27,"Triangular",IF(B27&lt;=($C$9-$B$9)/($D$9-$B$9),$B$9+SQRT(B27*($D$9-$B$9)*($C$9-$B$9)),$D$9-SQRT((1-B27)*($D$9-$B$9)*($D$9-$C$9))),"PERT",_xlfn.BETA.INV(B27,1+$B$6*($C$9-$B$9)/($D$9-$B$9),1+$B$6*($D$9-$C$9)/($D$9-$B$9),$B$9,$D$9))</f>
        <v>1.8447770525059186</v>
      </c>
      <c r="E27" s="94" cm="1">
        <f t="array" aca="1" ref="E27" ca="1">_xlfn.SWITCH($B$4,"Normal MLE",EXP(_xlfn.NORM.INV(C27,LN($C$10),$E$10/$C$10)),"Uniforme",$B$10+($D$10-$B$10)*C27,"Triangular",IF(C27&lt;=($C$10-$B$10)/($D$10-$B$10),$B$10+SQRT(C27*($D$10-$B$10)*($C$10-$B$10)),$D$10-SQRT((1-C27)*($D$10-$B$10)*($D$10-$C$10))),"PERT",_xlfn.BETA.INV(C27,1+$B$6*($C$10-$B$10)/($D$10-$B$10),1+$B$6*($D$10-$C$10)/($D$10-$B$10),$B$10,$D$10))</f>
        <v>5182.4547564053919</v>
      </c>
      <c r="F27" s="88">
        <f t="shared" ca="1" si="1"/>
        <v>0.53785531965638234</v>
      </c>
      <c r="G27" s="89">
        <f t="shared" ca="1" si="2"/>
        <v>1.5383568572414682E-4</v>
      </c>
      <c r="Y27" s="84">
        <v>5750</v>
      </c>
      <c r="Z27" s="88" cm="1">
        <f t="array" aca="1" ref="Z27" ca="1">_xlfn.PERCENTILE.INC(EXP(-POWER(Y27/$E$16:$E$1015,$D$16:$D$1015)),0.1)</f>
        <v>0.24128713937079665</v>
      </c>
      <c r="AA27" s="88" cm="1">
        <f t="array" aca="1" ref="AA27" ca="1">_xlfn.PERCENTILE.INC(EXP(-POWER(Y27/$E$16:$E$1015,$D$16:$D$1015)),0.5)</f>
        <v>0.28365179338079927</v>
      </c>
      <c r="AB27" s="88" cm="1">
        <f t="array" aca="1" ref="AB27" ca="1">_xlfn.PERCENTILE.INC(EXP(-POWER(Y27/$E$16:$E$1015,$D$16:$D$1015)),0.9)</f>
        <v>0.32876623734868626</v>
      </c>
      <c r="AD27" s="84">
        <v>5750</v>
      </c>
      <c r="AE27" s="89" cm="1">
        <f t="array" aca="1" ref="AE27" ca="1">_xlfn.PERCENTILE.INC(($D$16:$D$1015/$E$16:$E$1015)*POWER(AD27/$E$16:$E$1015,$D$16:$D$1015-1)*EXP(-POWER(AD27/$E$16:$E$1015,$D$16:$D$1015)),0.1)</f>
        <v>1.0971629936292301E-4</v>
      </c>
      <c r="AF27" s="89" cm="1">
        <f t="array" aca="1" ref="AF27" ca="1">_xlfn.PERCENTILE.INC(($D$16:$D$1015/$E$16:$E$1015)*POWER(AD27/$E$16:$E$1015,$D$16:$D$1015-1)*EXP(-POWER(AD27/$E$16:$E$1015,$D$16:$D$1015)),0.5)</f>
        <v>1.2018079151663487E-4</v>
      </c>
      <c r="AG27" s="89" cm="1">
        <f t="array" aca="1" ref="AG27" ca="1">_xlfn.PERCENTILE.INC(($D$16:$D$1015/$E$16:$E$1015)*POWER(AD27/$E$16:$E$1015,$D$16:$D$1015-1)*EXP(-POWER(AD27/$E$16:$E$1015,$D$16:$D$1015)),0.9)</f>
        <v>1.3122060199500352E-4</v>
      </c>
    </row>
    <row r="28" spans="1:33" x14ac:dyDescent="0.35">
      <c r="A28" s="84">
        <v>13</v>
      </c>
      <c r="B28" s="84">
        <f t="shared" ca="1" si="0"/>
        <v>7.525334460648625E-2</v>
      </c>
      <c r="C28" s="84">
        <f t="shared" ca="1" si="0"/>
        <v>2.3379037085392573E-3</v>
      </c>
      <c r="D28" s="93" cm="1">
        <f t="array" aca="1" ref="D28" ca="1">_xlfn.SWITCH($B$4,"Normal MLE",EXP(_xlfn.NORM.INV(B28,LN($C$9),$E$9/$C$9)),"Uniforme",$B$9+($D$9-$B$9)*B28,"Triangular",IF(B28&lt;=($C$9-$B$9)/($D$9-$B$9),$B$9+SQRT(B28*($D$9-$B$9)*($C$9-$B$9)),$D$9-SQRT((1-B28)*($D$9-$B$9)*($D$9-$C$9))),"PERT",_xlfn.BETA.INV(B28,1+$B$6*($C$9-$B$9)/($D$9-$B$9),1+$B$6*($D$9-$C$9)/($D$9-$B$9),$B$9,$D$9))</f>
        <v>1.7601368953026295</v>
      </c>
      <c r="E28" s="94" cm="1">
        <f t="array" aca="1" ref="E28" ca="1">_xlfn.SWITCH($B$4,"Normal MLE",EXP(_xlfn.NORM.INV(C28,LN($C$10),$E$10/$C$10)),"Uniforme",$B$10+($D$10-$B$10)*C28,"Triangular",IF(C28&lt;=($C$10-$B$10)/($D$10-$B$10),$B$10+SQRT(C28*($D$10-$B$10)*($C$10-$B$10)),$D$10-SQRT((1-C28)*($D$10-$B$10)*($D$10-$C$10))),"PERT",_xlfn.BETA.INV(C28,1+$B$6*($C$10-$B$10)/($D$10-$B$10),1+$B$6*($D$10-$C$10)/($D$10-$B$10),$B$10,$D$10))</f>
        <v>4470.8189547360771</v>
      </c>
      <c r="F28" s="88">
        <f t="shared" ca="1" si="1"/>
        <v>0.43949685814155937</v>
      </c>
      <c r="G28" s="89">
        <f t="shared" ca="1" si="2"/>
        <v>1.5899370580947021E-4</v>
      </c>
      <c r="Y28" s="84">
        <v>6000</v>
      </c>
      <c r="Z28" s="88" cm="1">
        <f t="array" aca="1" ref="Z28" ca="1">_xlfn.PERCENTILE.INC(EXP(-POWER(Y28/$E$16:$E$1015,$D$16:$D$1015)),0.1)</f>
        <v>0.21203259863359999</v>
      </c>
      <c r="AA28" s="88" cm="1">
        <f t="array" aca="1" ref="AA28" ca="1">_xlfn.PERCENTILE.INC(EXP(-POWER(Y28/$E$16:$E$1015,$D$16:$D$1015)),0.5)</f>
        <v>0.25471283729069194</v>
      </c>
      <c r="AB28" s="88" cm="1">
        <f t="array" aca="1" ref="AB28" ca="1">_xlfn.PERCENTILE.INC(EXP(-POWER(Y28/$E$16:$E$1015,$D$16:$D$1015)),0.9)</f>
        <v>0.29980213596553801</v>
      </c>
      <c r="AD28" s="84">
        <v>6000</v>
      </c>
      <c r="AE28" s="89" cm="1">
        <f t="array" aca="1" ref="AE28" ca="1">_xlfn.PERCENTILE.INC(($D$16:$D$1015/$E$16:$E$1015)*POWER(AD28/$E$16:$E$1015,$D$16:$D$1015-1)*EXP(-POWER(AD28/$E$16:$E$1015,$D$16:$D$1015)),0.1)</f>
        <v>1.0220363918125345E-4</v>
      </c>
      <c r="AF28" s="89" cm="1">
        <f t="array" aca="1" ref="AF28" ca="1">_xlfn.PERCENTILE.INC(($D$16:$D$1015/$E$16:$E$1015)*POWER(AD28/$E$16:$E$1015,$D$16:$D$1015-1)*EXP(-POWER(AD28/$E$16:$E$1015,$D$16:$D$1015)),0.5)</f>
        <v>1.1211928750416776E-4</v>
      </c>
      <c r="AG28" s="89" cm="1">
        <f t="array" aca="1" ref="AG28" ca="1">_xlfn.PERCENTILE.INC(($D$16:$D$1015/$E$16:$E$1015)*POWER(AD28/$E$16:$E$1015,$D$16:$D$1015-1)*EXP(-POWER(AD28/$E$16:$E$1015,$D$16:$D$1015)),0.9)</f>
        <v>1.2254645128293053E-4</v>
      </c>
    </row>
    <row r="29" spans="1:33" x14ac:dyDescent="0.35">
      <c r="A29" s="84">
        <v>14</v>
      </c>
      <c r="B29" s="84">
        <f t="shared" ca="1" si="0"/>
        <v>0.35294155242509351</v>
      </c>
      <c r="C29" s="84">
        <f t="shared" ca="1" si="0"/>
        <v>0.8019351939180317</v>
      </c>
      <c r="D29" s="93" cm="1">
        <f t="array" aca="1" ref="D29" ca="1">_xlfn.SWITCH($B$4,"Normal MLE",EXP(_xlfn.NORM.INV(B29,LN($C$9),$E$9/$C$9)),"Uniforme",$B$9+($D$9-$B$9)*B29,"Triangular",IF(B29&lt;=($C$9-$B$9)/($D$9-$B$9),$B$9+SQRT(B29*($D$9-$B$9)*($C$9-$B$9)),$D$9-SQRT((1-B29)*($D$9-$B$9)*($D$9-$C$9))),"PERT",_xlfn.BETA.INV(B29,1+$B$6*($C$9-$B$9)/($D$9-$B$9),1+$B$6*($D$9-$C$9)/($D$9-$B$9),$B$9,$D$9))</f>
        <v>1.8965967533981165</v>
      </c>
      <c r="E29" s="94" cm="1">
        <f t="array" aca="1" ref="E29" ca="1">_xlfn.SWITCH($B$4,"Normal MLE",EXP(_xlfn.NORM.INV(C29,LN($C$10),$E$10/$C$10)),"Uniforme",$B$10+($D$10-$B$10)*C29,"Triangular",IF(C29&lt;=($C$10-$B$10)/($D$10-$B$10),$B$10+SQRT(C29*($D$10-$B$10)*($C$10-$B$10)),$D$10-SQRT((1-C29)*($D$10-$B$10)*($D$10-$C$10))),"PERT",_xlfn.BETA.INV(C29,1+$B$6*($C$10-$B$10)/($D$10-$B$10),1+$B$6*($D$10-$C$10)/($D$10-$B$10),$B$10,$D$10))</f>
        <v>5305.1787723206535</v>
      </c>
      <c r="F29" s="88">
        <f t="shared" ca="1" si="1"/>
        <v>0.5569216493452982</v>
      </c>
      <c r="G29" s="89">
        <f t="shared" ca="1" si="2"/>
        <v>1.5456473933610042E-4</v>
      </c>
      <c r="Y29" s="84">
        <v>6250</v>
      </c>
      <c r="Z29" s="88" cm="1">
        <f t="array" aca="1" ref="Z29" ca="1">_xlfn.PERCENTILE.INC(EXP(-POWER(Y29/$E$16:$E$1015,$D$16:$D$1015)),0.1)</f>
        <v>0.18620511233864825</v>
      </c>
      <c r="AA29" s="88" cm="1">
        <f t="array" aca="1" ref="AA29" ca="1">_xlfn.PERCENTILE.INC(EXP(-POWER(Y29/$E$16:$E$1015,$D$16:$D$1015)),0.5)</f>
        <v>0.22819915983961858</v>
      </c>
      <c r="AB29" s="88" cm="1">
        <f t="array" aca="1" ref="AB29" ca="1">_xlfn.PERCENTILE.INC(EXP(-POWER(Y29/$E$16:$E$1015,$D$16:$D$1015)),0.9)</f>
        <v>0.27104627439894657</v>
      </c>
      <c r="AD29" s="84">
        <v>6250</v>
      </c>
      <c r="AE29" s="89" cm="1">
        <f t="array" aca="1" ref="AE29" ca="1">_xlfn.PERCENTILE.INC(($D$16:$D$1015/$E$16:$E$1015)*POWER(AD29/$E$16:$E$1015,$D$16:$D$1015-1)*EXP(-POWER(AD29/$E$16:$E$1015,$D$16:$D$1015)),0.1)</f>
        <v>9.4691852790838819E-5</v>
      </c>
      <c r="AF29" s="89" cm="1">
        <f t="array" aca="1" ref="AF29" ca="1">_xlfn.PERCENTILE.INC(($D$16:$D$1015/$E$16:$E$1015)*POWER(AD29/$E$16:$E$1015,$D$16:$D$1015-1)*EXP(-POWER(AD29/$E$16:$E$1015,$D$16:$D$1015)),0.5)</f>
        <v>1.0391408588880966E-4</v>
      </c>
      <c r="AG29" s="89" cm="1">
        <f t="array" aca="1" ref="AG29" ca="1">_xlfn.PERCENTILE.INC(($D$16:$D$1015/$E$16:$E$1015)*POWER(AD29/$E$16:$E$1015,$D$16:$D$1015-1)*EXP(-POWER(AD29/$E$16:$E$1015,$D$16:$D$1015)),0.9)</f>
        <v>1.1403010603840908E-4</v>
      </c>
    </row>
    <row r="30" spans="1:33" x14ac:dyDescent="0.35">
      <c r="A30" s="84">
        <v>15</v>
      </c>
      <c r="B30" s="84">
        <f t="shared" ca="1" si="0"/>
        <v>0.551235369606492</v>
      </c>
      <c r="C30" s="84">
        <f t="shared" ca="1" si="0"/>
        <v>0.86643187494610474</v>
      </c>
      <c r="D30" s="93" cm="1">
        <f t="array" aca="1" ref="D30" ca="1">_xlfn.SWITCH($B$4,"Normal MLE",EXP(_xlfn.NORM.INV(B30,LN($C$9),$E$9/$C$9)),"Uniforme",$B$9+($D$9-$B$9)*B30,"Triangular",IF(B30&lt;=($C$9-$B$9)/($D$9-$B$9),$B$9+SQRT(B30*($D$9-$B$9)*($C$9-$B$9)),$D$9-SQRT((1-B30)*($D$9-$B$9)*($D$9-$C$9))),"PERT",_xlfn.BETA.INV(B30,1+$B$6*($C$9-$B$9)/($D$9-$B$9),1+$B$6*($D$9-$C$9)/($D$9-$B$9),$B$9,$D$9))</f>
        <v>1.9654193042239168</v>
      </c>
      <c r="E30" s="94" cm="1">
        <f t="array" aca="1" ref="E30" ca="1">_xlfn.SWITCH($B$4,"Normal MLE",EXP(_xlfn.NORM.INV(C30,LN($C$10),$E$10/$C$10)),"Uniforme",$B$10+($D$10-$B$10)*C30,"Triangular",IF(C30&lt;=($C$10-$B$10)/($D$10-$B$10),$B$10+SQRT(C30*($D$10-$B$10)*($C$10-$B$10)),$D$10-SQRT((1-C30)*($D$10-$B$10)*($D$10-$C$10))),"PERT",_xlfn.BETA.INV(C30,1+$B$6*($C$10-$B$10)/($D$10-$B$10),1+$B$6*($D$10-$C$10)/($D$10-$B$10),$B$10,$D$10))</f>
        <v>5370.0373766350194</v>
      </c>
      <c r="F30" s="88">
        <f t="shared" ca="1" si="1"/>
        <v>0.57091379076203097</v>
      </c>
      <c r="G30" s="89">
        <f t="shared" ca="1" si="2"/>
        <v>1.5723694430847858E-4</v>
      </c>
      <c r="H30" s="84">
        <v>2</v>
      </c>
      <c r="Y30" s="84">
        <v>6500</v>
      </c>
      <c r="Z30" s="88" cm="1">
        <f t="array" aca="1" ref="Z30" ca="1">_xlfn.PERCENTILE.INC(EXP(-POWER(Y30/$E$16:$E$1015,$D$16:$D$1015)),0.1)</f>
        <v>0.16178437697699188</v>
      </c>
      <c r="AA30" s="88" cm="1">
        <f t="array" aca="1" ref="AA30" ca="1">_xlfn.PERCENTILE.INC(EXP(-POWER(Y30/$E$16:$E$1015,$D$16:$D$1015)),0.5)</f>
        <v>0.20322801437868976</v>
      </c>
      <c r="AB30" s="88" cm="1">
        <f t="array" aca="1" ref="AB30" ca="1">_xlfn.PERCENTILE.INC(EXP(-POWER(Y30/$E$16:$E$1015,$D$16:$D$1015)),0.9)</f>
        <v>0.24545740835778135</v>
      </c>
      <c r="AD30" s="84">
        <v>6500</v>
      </c>
      <c r="AE30" s="89" cm="1">
        <f t="array" aca="1" ref="AE30" ca="1">_xlfn.PERCENTILE.INC(($D$16:$D$1015/$E$16:$E$1015)*POWER(AD30/$E$16:$E$1015,$D$16:$D$1015-1)*EXP(-POWER(AD30/$E$16:$E$1015,$D$16:$D$1015)),0.1)</f>
        <v>8.7065572617946949E-5</v>
      </c>
      <c r="AF30" s="89" cm="1">
        <f t="array" aca="1" ref="AF30" ca="1">_xlfn.PERCENTILE.INC(($D$16:$D$1015/$E$16:$E$1015)*POWER(AD30/$E$16:$E$1015,$D$16:$D$1015-1)*EXP(-POWER(AD30/$E$16:$E$1015,$D$16:$D$1015)),0.5)</f>
        <v>9.5880476317756244E-5</v>
      </c>
      <c r="AG30" s="89" cm="1">
        <f t="array" aca="1" ref="AG30" ca="1">_xlfn.PERCENTILE.INC(($D$16:$D$1015/$E$16:$E$1015)*POWER(AD30/$E$16:$E$1015,$D$16:$D$1015-1)*EXP(-POWER(AD30/$E$16:$E$1015,$D$16:$D$1015)),0.9)</f>
        <v>1.0567373284791562E-4</v>
      </c>
    </row>
    <row r="31" spans="1:33" x14ac:dyDescent="0.35">
      <c r="A31" s="84">
        <v>16</v>
      </c>
      <c r="B31" s="84">
        <f t="shared" ca="1" si="0"/>
        <v>0.9810364941408356</v>
      </c>
      <c r="C31" s="84">
        <f t="shared" ca="1" si="0"/>
        <v>0.89000748724484768</v>
      </c>
      <c r="D31" s="93" cm="1">
        <f t="array" aca="1" ref="D31" ca="1">_xlfn.SWITCH($B$4,"Normal MLE",EXP(_xlfn.NORM.INV(B31,LN($C$9),$E$9/$C$9)),"Uniforme",$B$9+($D$9-$B$9)*B31,"Triangular",IF(B31&lt;=($C$9-$B$9)/($D$9-$B$9),$B$9+SQRT(B31*($D$9-$B$9)*($C$9-$B$9)),$D$9-SQRT((1-B31)*($D$9-$B$9)*($D$9-$C$9))),"PERT",_xlfn.BETA.INV(B31,1+$B$6*($C$9-$B$9)/($D$9-$B$9),1+$B$6*($D$9-$C$9)/($D$9-$B$9),$B$9,$D$9))</f>
        <v>2.2542164420225324</v>
      </c>
      <c r="E31" s="94" cm="1">
        <f t="array" aca="1" ref="E31" ca="1">_xlfn.SWITCH($B$4,"Normal MLE",EXP(_xlfn.NORM.INV(C31,LN($C$10),$E$10/$C$10)),"Uniforme",$B$10+($D$10-$B$10)*C31,"Triangular",IF(C31&lt;=($C$10-$B$10)/($D$10-$B$10),$B$10+SQRT(C31*($D$10-$B$10)*($C$10-$B$10)),$D$10-SQRT((1-C31)*($D$10-$B$10)*($D$10-$C$10))),"PERT",_xlfn.BETA.INV(C31,1+$B$6*($C$10-$B$10)/($D$10-$B$10),1+$B$6*($D$10-$C$10)/($D$10-$B$10),$B$10,$D$10))</f>
        <v>5399.3257899694709</v>
      </c>
      <c r="F31" s="88">
        <f t="shared" ca="1" si="1"/>
        <v>0.60137533968192758</v>
      </c>
      <c r="G31" s="89">
        <f t="shared" ca="1" si="2"/>
        <v>1.7234669190380089E-4</v>
      </c>
      <c r="Y31" s="84">
        <v>6750</v>
      </c>
      <c r="Z31" s="88" cm="1">
        <f t="array" aca="1" ref="Z31" ca="1">_xlfn.PERCENTILE.INC(EXP(-POWER(Y31/$E$16:$E$1015,$D$16:$D$1015)),0.1)</f>
        <v>0.13976960654197843</v>
      </c>
      <c r="AA31" s="88" cm="1">
        <f t="array" aca="1" ref="AA31" ca="1">_xlfn.PERCENTILE.INC(EXP(-POWER(Y31/$E$16:$E$1015,$D$16:$D$1015)),0.5)</f>
        <v>0.17999852873388897</v>
      </c>
      <c r="AB31" s="88" cm="1">
        <f t="array" aca="1" ref="AB31" ca="1">_xlfn.PERCENTILE.INC(EXP(-POWER(Y31/$E$16:$E$1015,$D$16:$D$1015)),0.9)</f>
        <v>0.22138112245699473</v>
      </c>
      <c r="AD31" s="84">
        <v>6750</v>
      </c>
      <c r="AE31" s="89" cm="1">
        <f t="array" aca="1" ref="AE31" ca="1">_xlfn.PERCENTILE.INC(($D$16:$D$1015/$E$16:$E$1015)*POWER(AD31/$E$16:$E$1015,$D$16:$D$1015-1)*EXP(-POWER(AD31/$E$16:$E$1015,$D$16:$D$1015)),0.1)</f>
        <v>7.9221108068998174E-5</v>
      </c>
      <c r="AF31" s="89" cm="1">
        <f t="array" aca="1" ref="AF31" ca="1">_xlfn.PERCENTILE.INC(($D$16:$D$1015/$E$16:$E$1015)*POWER(AD31/$E$16:$E$1015,$D$16:$D$1015-1)*EXP(-POWER(AD31/$E$16:$E$1015,$D$16:$D$1015)),0.5)</f>
        <v>8.7875200134093076E-5</v>
      </c>
      <c r="AG31" s="89" cm="1">
        <f t="array" aca="1" ref="AG31" ca="1">_xlfn.PERCENTILE.INC(($D$16:$D$1015/$E$16:$E$1015)*POWER(AD31/$E$16:$E$1015,$D$16:$D$1015-1)*EXP(-POWER(AD31/$E$16:$E$1015,$D$16:$D$1015)),0.9)</f>
        <v>9.7386892641319428E-5</v>
      </c>
    </row>
    <row r="32" spans="1:33" x14ac:dyDescent="0.35">
      <c r="A32" s="84">
        <v>17</v>
      </c>
      <c r="B32" s="84">
        <f t="shared" ca="1" si="0"/>
        <v>0.73739702677434105</v>
      </c>
      <c r="C32" s="84">
        <f t="shared" ca="1" si="0"/>
        <v>0.15101504180742442</v>
      </c>
      <c r="D32" s="93" cm="1">
        <f t="array" aca="1" ref="D32" ca="1">_xlfn.SWITCH($B$4,"Normal MLE",EXP(_xlfn.NORM.INV(B32,LN($C$9),$E$9/$C$9)),"Uniforme",$B$9+($D$9-$B$9)*B32,"Triangular",IF(B32&lt;=($C$9-$B$9)/($D$9-$B$9),$B$9+SQRT(B32*($D$9-$B$9)*($C$9-$B$9)),$D$9-SQRT((1-B32)*($D$9-$B$9)*($D$9-$C$9))),"PERT",_xlfn.BETA.INV(B32,1+$B$6*($C$9-$B$9)/($D$9-$B$9),1+$B$6*($D$9-$C$9)/($D$9-$B$9),$B$9,$D$9))</f>
        <v>2.0367943173528085</v>
      </c>
      <c r="E32" s="94" cm="1">
        <f t="array" aca="1" ref="E32" ca="1">_xlfn.SWITCH($B$4,"Normal MLE",EXP(_xlfn.NORM.INV(C32,LN($C$10),$E$10/$C$10)),"Uniforme",$B$10+($D$10-$B$10)*C32,"Triangular",IF(C32&lt;=($C$10-$B$10)/($D$10-$B$10),$B$10+SQRT(C32*($D$10-$B$10)*($C$10-$B$10)),$D$10-SQRT((1-C32)*($D$10-$B$10)*($D$10-$C$10))),"PERT",_xlfn.BETA.INV(C32,1+$B$6*($C$10-$B$10)/($D$10-$B$10),1+$B$6*($D$10-$C$10)/($D$10-$B$10),$B$10,$D$10))</f>
        <v>4860.6347787267996</v>
      </c>
      <c r="F32" s="88">
        <f t="shared" ca="1" si="1"/>
        <v>0.51048804778574119</v>
      </c>
      <c r="G32" s="89">
        <f t="shared" ca="1" si="2"/>
        <v>1.7478040878936843E-4</v>
      </c>
      <c r="Y32" s="84">
        <v>7000</v>
      </c>
      <c r="Z32" s="88" cm="1">
        <f t="array" aca="1" ref="Z32" ca="1">_xlfn.PERCENTILE.INC(EXP(-POWER(Y32/$E$16:$E$1015,$D$16:$D$1015)),0.1)</f>
        <v>0.11996368631071168</v>
      </c>
      <c r="AA32" s="88" cm="1">
        <f t="array" aca="1" ref="AA32" ca="1">_xlfn.PERCENTILE.INC(EXP(-POWER(Y32/$E$16:$E$1015,$D$16:$D$1015)),0.5)</f>
        <v>0.15915748533698015</v>
      </c>
      <c r="AB32" s="88" cm="1">
        <f t="array" aca="1" ref="AB32" ca="1">_xlfn.PERCENTILE.INC(EXP(-POWER(Y32/$E$16:$E$1015,$D$16:$D$1015)),0.9)</f>
        <v>0.19920853582475295</v>
      </c>
      <c r="AD32" s="84">
        <v>7000</v>
      </c>
      <c r="AE32" s="89" cm="1">
        <f t="array" aca="1" ref="AE32" ca="1">_xlfn.PERCENTILE.INC(($D$16:$D$1015/$E$16:$E$1015)*POWER(AD32/$E$16:$E$1015,$D$16:$D$1015-1)*EXP(-POWER(AD32/$E$16:$E$1015,$D$16:$D$1015)),0.1)</f>
        <v>7.1723390849515992E-5</v>
      </c>
      <c r="AF32" s="89" cm="1">
        <f t="array" aca="1" ref="AF32" ca="1">_xlfn.PERCENTILE.INC(($D$16:$D$1015/$E$16:$E$1015)*POWER(AD32/$E$16:$E$1015,$D$16:$D$1015-1)*EXP(-POWER(AD32/$E$16:$E$1015,$D$16:$D$1015)),0.5)</f>
        <v>8.03071606395007E-5</v>
      </c>
      <c r="AG32" s="89" cm="1">
        <f t="array" aca="1" ref="AG32" ca="1">_xlfn.PERCENTILE.INC(($D$16:$D$1015/$E$16:$E$1015)*POWER(AD32/$E$16:$E$1015,$D$16:$D$1015-1)*EXP(-POWER(AD32/$E$16:$E$1015,$D$16:$D$1015)),0.9)</f>
        <v>8.9490772509843148E-5</v>
      </c>
    </row>
    <row r="33" spans="1:33" x14ac:dyDescent="0.35">
      <c r="A33" s="84">
        <v>18</v>
      </c>
      <c r="B33" s="84">
        <f t="shared" ca="1" si="0"/>
        <v>0.2733657583542014</v>
      </c>
      <c r="C33" s="84">
        <f t="shared" ca="1" si="0"/>
        <v>0.61502659066935517</v>
      </c>
      <c r="D33" s="93" cm="1">
        <f t="array" aca="1" ref="D33" ca="1">_xlfn.SWITCH($B$4,"Normal MLE",EXP(_xlfn.NORM.INV(B33,LN($C$9),$E$9/$C$9)),"Uniforme",$B$9+($D$9-$B$9)*B33,"Triangular",IF(B33&lt;=($C$9-$B$9)/($D$9-$B$9),$B$9+SQRT(B33*($D$9-$B$9)*($C$9-$B$9)),$D$9-SQRT((1-B33)*($D$9-$B$9)*($D$9-$C$9))),"PERT",_xlfn.BETA.INV(B33,1+$B$6*($C$9-$B$9)/($D$9-$B$9),1+$B$6*($D$9-$C$9)/($D$9-$B$9),$B$9,$D$9))</f>
        <v>1.8667471242110663</v>
      </c>
      <c r="E33" s="94" cm="1">
        <f t="array" aca="1" ref="E33" ca="1">_xlfn.SWITCH($B$4,"Normal MLE",EXP(_xlfn.NORM.INV(C33,LN($C$10),$E$10/$C$10)),"Uniforme",$B$10+($D$10-$B$10)*C33,"Triangular",IF(C33&lt;=($C$10-$B$10)/($D$10-$B$10),$B$10+SQRT(C33*($D$10-$B$10)*($C$10-$B$10)),$D$10-SQRT((1-C33)*($D$10-$B$10)*($D$10-$C$10))),"PERT",_xlfn.BETA.INV(C33,1+$B$6*($C$10-$B$10)/($D$10-$B$10),1+$B$6*($D$10-$C$10)/($D$10-$B$10),$B$10,$D$10))</f>
        <v>5169.6516724126795</v>
      </c>
      <c r="F33" s="88">
        <f t="shared" ca="1" si="1"/>
        <v>0.53821297726345463</v>
      </c>
      <c r="G33" s="89">
        <f t="shared" ca="1" si="2"/>
        <v>1.5560431157654516E-4</v>
      </c>
      <c r="Y33" s="84">
        <v>7250</v>
      </c>
      <c r="Z33" s="88" cm="1">
        <f t="array" aca="1" ref="Z33" ca="1">_xlfn.PERCENTILE.INC(EXP(-POWER(Y33/$E$16:$E$1015,$D$16:$D$1015)),0.1)</f>
        <v>0.10306105660056508</v>
      </c>
      <c r="AA33" s="88" cm="1">
        <f t="array" aca="1" ref="AA33" ca="1">_xlfn.PERCENTILE.INC(EXP(-POWER(Y33/$E$16:$E$1015,$D$16:$D$1015)),0.5)</f>
        <v>0.13955790059514048</v>
      </c>
      <c r="AB33" s="88" cm="1">
        <f t="array" aca="1" ref="AB33" ca="1">_xlfn.PERCENTILE.INC(EXP(-POWER(Y33/$E$16:$E$1015,$D$16:$D$1015)),0.9)</f>
        <v>0.17799125833212007</v>
      </c>
      <c r="AD33" s="84">
        <v>7250</v>
      </c>
      <c r="AE33" s="89" cm="1">
        <f t="array" aca="1" ref="AE33" ca="1">_xlfn.PERCENTILE.INC(($D$16:$D$1015/$E$16:$E$1015)*POWER(AD33/$E$16:$E$1015,$D$16:$D$1015-1)*EXP(-POWER(AD33/$E$16:$E$1015,$D$16:$D$1015)),0.1)</f>
        <v>6.4075734741425361E-5</v>
      </c>
      <c r="AF33" s="89" cm="1">
        <f t="array" aca="1" ref="AF33" ca="1">_xlfn.PERCENTILE.INC(($D$16:$D$1015/$E$16:$E$1015)*POWER(AD33/$E$16:$E$1015,$D$16:$D$1015-1)*EXP(-POWER(AD33/$E$16:$E$1015,$D$16:$D$1015)),0.5)</f>
        <v>7.2525549816477219E-5</v>
      </c>
      <c r="AG33" s="89" cm="1">
        <f t="array" aca="1" ref="AG33" ca="1">_xlfn.PERCENTILE.INC(($D$16:$D$1015/$E$16:$E$1015)*POWER(AD33/$E$16:$E$1015,$D$16:$D$1015-1)*EXP(-POWER(AD33/$E$16:$E$1015,$D$16:$D$1015)),0.9)</f>
        <v>8.1942395713330805E-5</v>
      </c>
    </row>
    <row r="34" spans="1:33" x14ac:dyDescent="0.35">
      <c r="A34" s="84">
        <v>19</v>
      </c>
      <c r="B34" s="84">
        <f t="shared" ca="1" si="0"/>
        <v>0.90797170073370204</v>
      </c>
      <c r="C34" s="84">
        <f t="shared" ca="1" si="0"/>
        <v>0.88287882050196687</v>
      </c>
      <c r="D34" s="93" cm="1">
        <f t="array" aca="1" ref="D34" ca="1">_xlfn.SWITCH($B$4,"Normal MLE",EXP(_xlfn.NORM.INV(B34,LN($C$9),$E$9/$C$9)),"Uniforme",$B$9+($D$9-$B$9)*B34,"Triangular",IF(B34&lt;=($C$9-$B$9)/($D$9-$B$9),$B$9+SQRT(B34*($D$9-$B$9)*($C$9-$B$9)),$D$9-SQRT((1-B34)*($D$9-$B$9)*($D$9-$C$9))),"PERT",_xlfn.BETA.INV(B34,1+$B$6*($C$9-$B$9)/($D$9-$B$9),1+$B$6*($D$9-$C$9)/($D$9-$B$9),$B$9,$D$9))</f>
        <v>2.1386605876489169</v>
      </c>
      <c r="E34" s="94" cm="1">
        <f t="array" aca="1" ref="E34" ca="1">_xlfn.SWITCH($B$4,"Normal MLE",EXP(_xlfn.NORM.INV(C34,LN($C$10),$E$10/$C$10)),"Uniforme",$B$10+($D$10-$B$10)*C34,"Triangular",IF(C34&lt;=($C$10-$B$10)/($D$10-$B$10),$B$10+SQRT(C34*($D$10-$B$10)*($C$10-$B$10)),$D$10-SQRT((1-C34)*($D$10-$B$10)*($D$10-$C$10))),"PERT",_xlfn.BETA.INV(C34,1+$B$6*($C$10-$B$10)/($D$10-$B$10),1+$B$6*($D$10-$C$10)/($D$10-$B$10),$B$10,$D$10))</f>
        <v>5390.0207462615963</v>
      </c>
      <c r="F34" s="88">
        <f t="shared" ca="1" si="1"/>
        <v>0.58953635002654037</v>
      </c>
      <c r="G34" s="89">
        <f t="shared" ca="1" si="2"/>
        <v>1.6656003538419794E-4</v>
      </c>
      <c r="Y34" s="84">
        <v>7500</v>
      </c>
      <c r="Z34" s="88" cm="1">
        <f t="array" aca="1" ref="Z34" ca="1">_xlfn.PERCENTILE.INC(EXP(-POWER(Y34/$E$16:$E$1015,$D$16:$D$1015)),0.1)</f>
        <v>8.7691465790899342E-2</v>
      </c>
      <c r="AA34" s="88" cm="1">
        <f t="array" aca="1" ref="AA34" ca="1">_xlfn.PERCENTILE.INC(EXP(-POWER(Y34/$E$16:$E$1015,$D$16:$D$1015)),0.5)</f>
        <v>0.12183696638721891</v>
      </c>
      <c r="AB34" s="88" cm="1">
        <f t="array" aca="1" ref="AB34" ca="1">_xlfn.PERCENTILE.INC(EXP(-POWER(Y34/$E$16:$E$1015,$D$16:$D$1015)),0.9)</f>
        <v>0.15888533923550971</v>
      </c>
      <c r="AD34" s="84">
        <v>7500</v>
      </c>
      <c r="AE34" s="89" cm="1">
        <f t="array" aca="1" ref="AE34" ca="1">_xlfn.PERCENTILE.INC(($D$16:$D$1015/$E$16:$E$1015)*POWER(AD34/$E$16:$E$1015,$D$16:$D$1015-1)*EXP(-POWER(AD34/$E$16:$E$1015,$D$16:$D$1015)),0.1)</f>
        <v>5.6853269027297211E-5</v>
      </c>
      <c r="AF34" s="89" cm="1">
        <f t="array" aca="1" ref="AF34" ca="1">_xlfn.PERCENTILE.INC(($D$16:$D$1015/$E$16:$E$1015)*POWER(AD34/$E$16:$E$1015,$D$16:$D$1015-1)*EXP(-POWER(AD34/$E$16:$E$1015,$D$16:$D$1015)),0.5)</f>
        <v>6.5510547598787903E-5</v>
      </c>
      <c r="AG34" s="89" cm="1">
        <f t="array" aca="1" ref="AG34" ca="1">_xlfn.PERCENTILE.INC(($D$16:$D$1015/$E$16:$E$1015)*POWER(AD34/$E$16:$E$1015,$D$16:$D$1015-1)*EXP(-POWER(AD34/$E$16:$E$1015,$D$16:$D$1015)),0.9)</f>
        <v>7.4637122748235103E-5</v>
      </c>
    </row>
    <row r="35" spans="1:33" x14ac:dyDescent="0.35">
      <c r="A35" s="84">
        <v>20</v>
      </c>
      <c r="B35" s="84">
        <f t="shared" ca="1" si="0"/>
        <v>0.25135560361973031</v>
      </c>
      <c r="C35" s="84">
        <f t="shared" ca="1" si="0"/>
        <v>0.30504801933241255</v>
      </c>
      <c r="D35" s="93" cm="1">
        <f t="array" aca="1" ref="D35" ca="1">_xlfn.SWITCH($B$4,"Normal MLE",EXP(_xlfn.NORM.INV(B35,LN($C$9),$E$9/$C$9)),"Uniforme",$B$9+($D$9-$B$9)*B35,"Triangular",IF(B35&lt;=($C$9-$B$9)/($D$9-$B$9),$B$9+SQRT(B35*($D$9-$B$9)*($C$9-$B$9)),$D$9-SQRT((1-B35)*($D$9-$B$9)*($D$9-$C$9))),"PERT",_xlfn.BETA.INV(B35,1+$B$6*($C$9-$B$9)/($D$9-$B$9),1+$B$6*($D$9-$C$9)/($D$9-$B$9),$B$9,$D$9))</f>
        <v>1.8578864546165761</v>
      </c>
      <c r="E35" s="94" cm="1">
        <f t="array" aca="1" ref="E35" ca="1">_xlfn.SWITCH($B$4,"Normal MLE",EXP(_xlfn.NORM.INV(C35,LN($C$10),$E$10/$C$10)),"Uniforme",$B$10+($D$10-$B$10)*C35,"Triangular",IF(C35&lt;=($C$10-$B$10)/($D$10-$B$10),$B$10+SQRT(C35*($D$10-$B$10)*($C$10-$B$10)),$D$10-SQRT((1-C35)*($D$10-$B$10)*($D$10-$C$10))),"PERT",_xlfn.BETA.INV(C35,1+$B$6*($C$10-$B$10)/($D$10-$B$10),1+$B$6*($D$10-$C$10)/($D$10-$B$10),$B$10,$D$10))</f>
        <v>4980.1852166577801</v>
      </c>
      <c r="F35" s="88">
        <f t="shared" ca="1" si="1"/>
        <v>0.51401008879198518</v>
      </c>
      <c r="G35" s="89">
        <f t="shared" ca="1" si="2"/>
        <v>1.5888648697758611E-4</v>
      </c>
      <c r="Y35" s="84">
        <v>7750</v>
      </c>
      <c r="Z35" s="88" cm="1">
        <f t="array" aca="1" ref="Z35" ca="1">_xlfn.PERCENTILE.INC(EXP(-POWER(Y35/$E$16:$E$1015,$D$16:$D$1015)),0.1)</f>
        <v>7.4388020731500706E-2</v>
      </c>
      <c r="AA35" s="88" cm="1">
        <f t="array" aca="1" ref="AA35" ca="1">_xlfn.PERCENTILE.INC(EXP(-POWER(Y35/$E$16:$E$1015,$D$16:$D$1015)),0.5)</f>
        <v>0.10588716255994469</v>
      </c>
      <c r="AB35" s="88" cm="1">
        <f t="array" aca="1" ref="AB35" ca="1">_xlfn.PERCENTILE.INC(EXP(-POWER(Y35/$E$16:$E$1015,$D$16:$D$1015)),0.9)</f>
        <v>0.141345082174584</v>
      </c>
      <c r="AD35" s="84">
        <v>7750</v>
      </c>
      <c r="AE35" s="89" cm="1">
        <f t="array" aca="1" ref="AE35" ca="1">_xlfn.PERCENTILE.INC(($D$16:$D$1015/$E$16:$E$1015)*POWER(AD35/$E$16:$E$1015,$D$16:$D$1015-1)*EXP(-POWER(AD35/$E$16:$E$1015,$D$16:$D$1015)),0.1)</f>
        <v>4.998955671539618E-5</v>
      </c>
      <c r="AF35" s="89" cm="1">
        <f t="array" aca="1" ref="AF35" ca="1">_xlfn.PERCENTILE.INC(($D$16:$D$1015/$E$16:$E$1015)*POWER(AD35/$E$16:$E$1015,$D$16:$D$1015-1)*EXP(-POWER(AD35/$E$16:$E$1015,$D$16:$D$1015)),0.5)</f>
        <v>5.8808106004546121E-5</v>
      </c>
      <c r="AG35" s="89" cm="1">
        <f t="array" aca="1" ref="AG35" ca="1">_xlfn.PERCENTILE.INC(($D$16:$D$1015/$E$16:$E$1015)*POWER(AD35/$E$16:$E$1015,$D$16:$D$1015-1)*EXP(-POWER(AD35/$E$16:$E$1015,$D$16:$D$1015)),0.9)</f>
        <v>6.8188525278684906E-5</v>
      </c>
    </row>
    <row r="36" spans="1:33" x14ac:dyDescent="0.35">
      <c r="A36" s="84">
        <v>21</v>
      </c>
      <c r="B36" s="84">
        <f t="shared" ca="1" si="0"/>
        <v>0.11846140074858713</v>
      </c>
      <c r="C36" s="84">
        <f t="shared" ca="1" si="0"/>
        <v>0.86200052187424947</v>
      </c>
      <c r="D36" s="93" cm="1">
        <f t="array" aca="1" ref="D36" ca="1">_xlfn.SWITCH($B$4,"Normal MLE",EXP(_xlfn.NORM.INV(B36,LN($C$9),$E$9/$C$9)),"Uniforme",$B$9+($D$9-$B$9)*B36,"Triangular",IF(B36&lt;=($C$9-$B$9)/($D$9-$B$9),$B$9+SQRT(B36*($D$9-$B$9)*($C$9-$B$9)),$D$9-SQRT((1-B36)*($D$9-$B$9)*($D$9-$C$9))),"PERT",_xlfn.BETA.INV(B36,1+$B$6*($C$9-$B$9)/($D$9-$B$9),1+$B$6*($D$9-$C$9)/($D$9-$B$9),$B$9,$D$9))</f>
        <v>1.7920329845155569</v>
      </c>
      <c r="E36" s="94" cm="1">
        <f t="array" aca="1" ref="E36" ca="1">_xlfn.SWITCH($B$4,"Normal MLE",EXP(_xlfn.NORM.INV(C36,LN($C$10),$E$10/$C$10)),"Uniforme",$B$10+($D$10-$B$10)*C36,"Triangular",IF(C36&lt;=($C$10-$B$10)/($D$10-$B$10),$B$10+SQRT(C36*($D$10-$B$10)*($C$10-$B$10)),$D$10-SQRT((1-C36)*($D$10-$B$10)*($D$10-$C$10))),"PERT",_xlfn.BETA.INV(C36,1+$B$6*($C$10-$B$10)/($D$10-$B$10),1+$B$6*($D$10-$C$10)/($D$10-$B$10),$B$10,$D$10))</f>
        <v>5364.9594429920971</v>
      </c>
      <c r="F36" s="88">
        <f t="shared" ca="1" si="1"/>
        <v>0.55383596722762607</v>
      </c>
      <c r="G36" s="89">
        <f t="shared" ca="1" si="2"/>
        <v>1.466126341078863E-4</v>
      </c>
      <c r="Y36" s="84">
        <v>8000</v>
      </c>
      <c r="Z36" s="88" cm="1">
        <f t="array" aca="1" ref="Z36" ca="1">_xlfn.PERCENTILE.INC(EXP(-POWER(Y36/$E$16:$E$1015,$D$16:$D$1015)),0.1)</f>
        <v>6.2636083304694321E-2</v>
      </c>
      <c r="AA36" s="88" cm="1">
        <f t="array" aca="1" ref="AA36" ca="1">_xlfn.PERCENTILE.INC(EXP(-POWER(Y36/$E$16:$E$1015,$D$16:$D$1015)),0.5)</f>
        <v>9.1677207655948362E-2</v>
      </c>
      <c r="AB36" s="88" cm="1">
        <f t="array" aca="1" ref="AB36" ca="1">_xlfn.PERCENTILE.INC(EXP(-POWER(Y36/$E$16:$E$1015,$D$16:$D$1015)),0.9)</f>
        <v>0.12504982100418263</v>
      </c>
      <c r="AD36" s="84">
        <v>8000</v>
      </c>
      <c r="AE36" s="89" cm="1">
        <f t="array" aca="1" ref="AE36" ca="1">_xlfn.PERCENTILE.INC(($D$16:$D$1015/$E$16:$E$1015)*POWER(AD36/$E$16:$E$1015,$D$16:$D$1015-1)*EXP(-POWER(AD36/$E$16:$E$1015,$D$16:$D$1015)),0.1)</f>
        <v>4.3644221676731514E-5</v>
      </c>
      <c r="AF36" s="89" cm="1">
        <f t="array" aca="1" ref="AF36" ca="1">_xlfn.PERCENTILE.INC(($D$16:$D$1015/$E$16:$E$1015)*POWER(AD36/$E$16:$E$1015,$D$16:$D$1015-1)*EXP(-POWER(AD36/$E$16:$E$1015,$D$16:$D$1015)),0.5)</f>
        <v>5.2634467821255934E-5</v>
      </c>
      <c r="AG36" s="89" cm="1">
        <f t="array" aca="1" ref="AG36" ca="1">_xlfn.PERCENTILE.INC(($D$16:$D$1015/$E$16:$E$1015)*POWER(AD36/$E$16:$E$1015,$D$16:$D$1015-1)*EXP(-POWER(AD36/$E$16:$E$1015,$D$16:$D$1015)),0.9)</f>
        <v>6.1751609758405767E-5</v>
      </c>
    </row>
    <row r="37" spans="1:33" x14ac:dyDescent="0.35">
      <c r="A37" s="84">
        <v>22</v>
      </c>
      <c r="B37" s="84">
        <f t="shared" ca="1" si="0"/>
        <v>0.53616474207646247</v>
      </c>
      <c r="C37" s="84">
        <f t="shared" ca="1" si="0"/>
        <v>0.31979648082875334</v>
      </c>
      <c r="D37" s="93" cm="1">
        <f t="array" aca="1" ref="D37" ca="1">_xlfn.SWITCH($B$4,"Normal MLE",EXP(_xlfn.NORM.INV(B37,LN($C$9),$E$9/$C$9)),"Uniforme",$B$9+($D$9-$B$9)*B37,"Triangular",IF(B37&lt;=($C$9-$B$9)/($D$9-$B$9),$B$9+SQRT(B37*($D$9-$B$9)*($C$9-$B$9)),$D$9-SQRT((1-B37)*($D$9-$B$9)*($D$9-$C$9))),"PERT",_xlfn.BETA.INV(B37,1+$B$6*($C$9-$B$9)/($D$9-$B$9),1+$B$6*($D$9-$C$9)/($D$9-$B$9),$B$9,$D$9))</f>
        <v>1.9601660186695011</v>
      </c>
      <c r="E37" s="94" cm="1">
        <f t="array" aca="1" ref="E37" ca="1">_xlfn.SWITCH($B$4,"Normal MLE",EXP(_xlfn.NORM.INV(C37,LN($C$10),$E$10/$C$10)),"Uniforme",$B$10+($D$10-$B$10)*C37,"Triangular",IF(C37&lt;=($C$10-$B$10)/($D$10-$B$10),$B$10+SQRT(C37*($D$10-$B$10)*($C$10-$B$10)),$D$10-SQRT((1-C37)*($D$10-$B$10)*($D$10-$C$10))),"PERT",_xlfn.BETA.INV(C37,1+$B$6*($C$10-$B$10)/($D$10-$B$10),1+$B$6*($D$10-$C$10)/($D$10-$B$10),$B$10,$D$10))</f>
        <v>4989.8512102929808</v>
      </c>
      <c r="F37" s="88">
        <f t="shared" ca="1" si="1"/>
        <v>0.52293874675694829</v>
      </c>
      <c r="G37" s="89">
        <f t="shared" ca="1" si="2"/>
        <v>1.6613213229870028E-4</v>
      </c>
      <c r="Y37" s="84">
        <v>8250</v>
      </c>
      <c r="Z37" s="88" cm="1">
        <f t="array" aca="1" ref="Z37" ca="1">_xlfn.PERCENTILE.INC(EXP(-POWER(Y37/$E$16:$E$1015,$D$16:$D$1015)),0.1)</f>
        <v>5.2096803689620538E-2</v>
      </c>
      <c r="AA37" s="88" cm="1">
        <f t="array" aca="1" ref="AA37" ca="1">_xlfn.PERCENTILE.INC(EXP(-POWER(Y37/$E$16:$E$1015,$D$16:$D$1015)),0.5)</f>
        <v>7.8918649273053976E-2</v>
      </c>
      <c r="AB37" s="88" cm="1">
        <f t="array" aca="1" ref="AB37" ca="1">_xlfn.PERCENTILE.INC(EXP(-POWER(Y37/$E$16:$E$1015,$D$16:$D$1015)),0.9)</f>
        <v>0.11038130320052061</v>
      </c>
      <c r="AD37" s="84">
        <v>8250</v>
      </c>
      <c r="AE37" s="89" cm="1">
        <f t="array" aca="1" ref="AE37" ca="1">_xlfn.PERCENTILE.INC(($D$16:$D$1015/$E$16:$E$1015)*POWER(AD37/$E$16:$E$1015,$D$16:$D$1015-1)*EXP(-POWER(AD37/$E$16:$E$1015,$D$16:$D$1015)),0.1)</f>
        <v>3.7747327198247354E-5</v>
      </c>
      <c r="AF37" s="89" cm="1">
        <f t="array" aca="1" ref="AF37" ca="1">_xlfn.PERCENTILE.INC(($D$16:$D$1015/$E$16:$E$1015)*POWER(AD37/$E$16:$E$1015,$D$16:$D$1015-1)*EXP(-POWER(AD37/$E$16:$E$1015,$D$16:$D$1015)),0.5)</f>
        <v>4.6919439036478467E-5</v>
      </c>
      <c r="AG37" s="89" cm="1">
        <f t="array" aca="1" ref="AG37" ca="1">_xlfn.PERCENTILE.INC(($D$16:$D$1015/$E$16:$E$1015)*POWER(AD37/$E$16:$E$1015,$D$16:$D$1015-1)*EXP(-POWER(AD37/$E$16:$E$1015,$D$16:$D$1015)),0.9)</f>
        <v>5.5571534516469308E-5</v>
      </c>
    </row>
    <row r="38" spans="1:33" x14ac:dyDescent="0.35">
      <c r="A38" s="84">
        <v>23</v>
      </c>
      <c r="B38" s="84">
        <f t="shared" ca="1" si="0"/>
        <v>0.63937809994603545</v>
      </c>
      <c r="C38" s="84">
        <f t="shared" ca="1" si="0"/>
        <v>6.3717124599615205E-2</v>
      </c>
      <c r="D38" s="93" cm="1">
        <f t="array" aca="1" ref="D38" ca="1">_xlfn.SWITCH($B$4,"Normal MLE",EXP(_xlfn.NORM.INV(B38,LN($C$9),$E$9/$C$9)),"Uniforme",$B$9+($D$9-$B$9)*B38,"Triangular",IF(B38&lt;=($C$9-$B$9)/($D$9-$B$9),$B$9+SQRT(B38*($D$9-$B$9)*($C$9-$B$9)),$D$9-SQRT((1-B38)*($D$9-$B$9)*($D$9-$C$9))),"PERT",_xlfn.BETA.INV(B38,1+$B$6*($C$9-$B$9)/($D$9-$B$9),1+$B$6*($D$9-$C$9)/($D$9-$B$9),$B$9,$D$9))</f>
        <v>1.9972320058371549</v>
      </c>
      <c r="E38" s="94" cm="1">
        <f t="array" aca="1" ref="E38" ca="1">_xlfn.SWITCH($B$4,"Normal MLE",EXP(_xlfn.NORM.INV(C38,LN($C$10),$E$10/$C$10)),"Uniforme",$B$10+($D$10-$B$10)*C38,"Triangular",IF(C38&lt;=($C$10-$B$10)/($D$10-$B$10),$B$10+SQRT(C38*($D$10-$B$10)*($C$10-$B$10)),$D$10-SQRT((1-C38)*($D$10-$B$10)*($D$10-$C$10))),"PERT",_xlfn.BETA.INV(C38,1+$B$6*($C$10-$B$10)/($D$10-$B$10),1+$B$6*($D$10-$C$10)/($D$10-$B$10),$B$10,$D$10))</f>
        <v>4750.5693259712689</v>
      </c>
      <c r="F38" s="88">
        <f t="shared" ca="1" si="1"/>
        <v>0.49198410421736027</v>
      </c>
      <c r="G38" s="89">
        <f t="shared" ca="1" si="2"/>
        <v>1.7424285905831864E-4</v>
      </c>
      <c r="Y38" s="84">
        <v>8500</v>
      </c>
      <c r="Z38" s="88" cm="1">
        <f t="array" aca="1" ref="Z38" ca="1">_xlfn.PERCENTILE.INC(EXP(-POWER(Y38/$E$16:$E$1015,$D$16:$D$1015)),0.1)</f>
        <v>4.3301580842111415E-2</v>
      </c>
      <c r="AA38" s="88" cm="1">
        <f t="array" aca="1" ref="AA38" ca="1">_xlfn.PERCENTILE.INC(EXP(-POWER(Y38/$E$16:$E$1015,$D$16:$D$1015)),0.5)</f>
        <v>6.7492703909025731E-2</v>
      </c>
      <c r="AB38" s="88" cm="1">
        <f t="array" aca="1" ref="AB38" ca="1">_xlfn.PERCENTILE.INC(EXP(-POWER(Y38/$E$16:$E$1015,$D$16:$D$1015)),0.9)</f>
        <v>9.7176580790271069E-2</v>
      </c>
      <c r="AD38" s="84">
        <v>8500</v>
      </c>
      <c r="AE38" s="89" cm="1">
        <f t="array" aca="1" ref="AE38" ca="1">_xlfn.PERCENTILE.INC(($D$16:$D$1015/$E$16:$E$1015)*POWER(AD38/$E$16:$E$1015,$D$16:$D$1015-1)*EXP(-POWER(AD38/$E$16:$E$1015,$D$16:$D$1015)),0.1)</f>
        <v>3.2292215949255536E-5</v>
      </c>
      <c r="AF38" s="89" cm="1">
        <f t="array" aca="1" ref="AF38" ca="1">_xlfn.PERCENTILE.INC(($D$16:$D$1015/$E$16:$E$1015)*POWER(AD38/$E$16:$E$1015,$D$16:$D$1015-1)*EXP(-POWER(AD38/$E$16:$E$1015,$D$16:$D$1015)),0.5)</f>
        <v>4.1651490542653343E-5</v>
      </c>
      <c r="AG38" s="89" cm="1">
        <f t="array" aca="1" ref="AG38" ca="1">_xlfn.PERCENTILE.INC(($D$16:$D$1015/$E$16:$E$1015)*POWER(AD38/$E$16:$E$1015,$D$16:$D$1015-1)*EXP(-POWER(AD38/$E$16:$E$1015,$D$16:$D$1015)),0.9)</f>
        <v>5.0183747141311449E-5</v>
      </c>
    </row>
    <row r="39" spans="1:33" x14ac:dyDescent="0.35">
      <c r="A39" s="84">
        <v>24</v>
      </c>
      <c r="B39" s="84">
        <f t="shared" ca="1" si="0"/>
        <v>0.21523691994481808</v>
      </c>
      <c r="C39" s="84">
        <f t="shared" ca="1" si="0"/>
        <v>0.16752481383862916</v>
      </c>
      <c r="D39" s="93" cm="1">
        <f t="array" aca="1" ref="D39" ca="1">_xlfn.SWITCH($B$4,"Normal MLE",EXP(_xlfn.NORM.INV(B39,LN($C$9),$E$9/$C$9)),"Uniforme",$B$9+($D$9-$B$9)*B39,"Triangular",IF(B39&lt;=($C$9-$B$9)/($D$9-$B$9),$B$9+SQRT(B39*($D$9-$B$9)*($C$9-$B$9)),$D$9-SQRT((1-B39)*($D$9-$B$9)*($D$9-$C$9))),"PERT",_xlfn.BETA.INV(B39,1+$B$6*($C$9-$B$9)/($D$9-$B$9),1+$B$6*($D$9-$C$9)/($D$9-$B$9),$B$9,$D$9))</f>
        <v>1.8424927087013212</v>
      </c>
      <c r="E39" s="94" cm="1">
        <f t="array" aca="1" ref="E39" ca="1">_xlfn.SWITCH($B$4,"Normal MLE",EXP(_xlfn.NORM.INV(C39,LN($C$10),$E$10/$C$10)),"Uniforme",$B$10+($D$10-$B$10)*C39,"Triangular",IF(C39&lt;=($C$10-$B$10)/($D$10-$B$10),$B$10+SQRT(C39*($D$10-$B$10)*($C$10-$B$10)),$D$10-SQRT((1-C39)*($D$10-$B$10)*($D$10-$C$10))),"PERT",_xlfn.BETA.INV(C39,1+$B$6*($C$10-$B$10)/($D$10-$B$10),1+$B$6*($D$10-$C$10)/($D$10-$B$10),$B$10,$D$10))</f>
        <v>4876.0618385637472</v>
      </c>
      <c r="F39" s="88">
        <f t="shared" ca="1" si="1"/>
        <v>0.49943870415102065</v>
      </c>
      <c r="G39" s="89">
        <f t="shared" ca="1" si="2"/>
        <v>1.597190186361619E-4</v>
      </c>
      <c r="Y39" s="84">
        <v>8750</v>
      </c>
      <c r="Z39" s="88" cm="1">
        <f t="array" aca="1" ref="Z39" ca="1">_xlfn.PERCENTILE.INC(EXP(-POWER(Y39/$E$16:$E$1015,$D$16:$D$1015)),0.1)</f>
        <v>3.5697217678560454E-2</v>
      </c>
      <c r="AA39" s="88" cm="1">
        <f t="array" aca="1" ref="AA39" ca="1">_xlfn.PERCENTILE.INC(EXP(-POWER(Y39/$E$16:$E$1015,$D$16:$D$1015)),0.5)</f>
        <v>5.7753066801753725E-2</v>
      </c>
      <c r="AB39" s="88" cm="1">
        <f t="array" aca="1" ref="AB39" ca="1">_xlfn.PERCENTILE.INC(EXP(-POWER(Y39/$E$16:$E$1015,$D$16:$D$1015)),0.9)</f>
        <v>8.4945945949024229E-2</v>
      </c>
      <c r="AD39" s="84">
        <v>8750</v>
      </c>
      <c r="AE39" s="89" cm="1">
        <f t="array" aca="1" ref="AE39" ca="1">_xlfn.PERCENTILE.INC(($D$16:$D$1015/$E$16:$E$1015)*POWER(AD39/$E$16:$E$1015,$D$16:$D$1015-1)*EXP(-POWER(AD39/$E$16:$E$1015,$D$16:$D$1015)),0.1)</f>
        <v>2.7563763079230514E-5</v>
      </c>
      <c r="AF39" s="89" cm="1">
        <f t="array" aca="1" ref="AF39" ca="1">_xlfn.PERCENTILE.INC(($D$16:$D$1015/$E$16:$E$1015)*POWER(AD39/$E$16:$E$1015,$D$16:$D$1015-1)*EXP(-POWER(AD39/$E$16:$E$1015,$D$16:$D$1015)),0.5)</f>
        <v>3.6766144067064952E-5</v>
      </c>
      <c r="AG39" s="89" cm="1">
        <f t="array" aca="1" ref="AG39" ca="1">_xlfn.PERCENTILE.INC(($D$16:$D$1015/$E$16:$E$1015)*POWER(AD39/$E$16:$E$1015,$D$16:$D$1015-1)*EXP(-POWER(AD39/$E$16:$E$1015,$D$16:$D$1015)),0.9)</f>
        <v>4.5175418258319608E-5</v>
      </c>
    </row>
    <row r="40" spans="1:33" x14ac:dyDescent="0.35">
      <c r="A40" s="84">
        <v>25</v>
      </c>
      <c r="B40" s="84">
        <f t="shared" ca="1" si="0"/>
        <v>0.40836284737618866</v>
      </c>
      <c r="C40" s="84">
        <f t="shared" ca="1" si="0"/>
        <v>4.7838961111032585E-2</v>
      </c>
      <c r="D40" s="93" cm="1">
        <f t="array" aca="1" ref="D40" ca="1">_xlfn.SWITCH($B$4,"Normal MLE",EXP(_xlfn.NORM.INV(B40,LN($C$9),$E$9/$C$9)),"Uniforme",$B$9+($D$9-$B$9)*B40,"Triangular",IF(B40&lt;=($C$9-$B$9)/($D$9-$B$9),$B$9+SQRT(B40*($D$9-$B$9)*($C$9-$B$9)),$D$9-SQRT((1-B40)*($D$9-$B$9)*($D$9-$C$9))),"PERT",_xlfn.BETA.INV(B40,1+$B$6*($C$9-$B$9)/($D$9-$B$9),1+$B$6*($D$9-$C$9)/($D$9-$B$9),$B$9,$D$9))</f>
        <v>1.9161471293302517</v>
      </c>
      <c r="E40" s="94" cm="1">
        <f t="array" aca="1" ref="E40" ca="1">_xlfn.SWITCH($B$4,"Normal MLE",EXP(_xlfn.NORM.INV(C40,LN($C$10),$E$10/$C$10)),"Uniforme",$B$10+($D$10-$B$10)*C40,"Triangular",IF(C40&lt;=($C$10-$B$10)/($D$10-$B$10),$B$10+SQRT(C40*($D$10-$B$10)*($C$10-$B$10)),$D$10-SQRT((1-C40)*($D$10-$B$10)*($D$10-$C$10))),"PERT",_xlfn.BETA.INV(C40,1+$B$6*($C$10-$B$10)/($D$10-$B$10),1+$B$6*($D$10-$C$10)/($D$10-$B$10),$B$10,$D$10))</f>
        <v>4719.3080031394556</v>
      </c>
      <c r="F40" s="88">
        <f t="shared" ca="1" si="1"/>
        <v>0.48266805342688335</v>
      </c>
      <c r="G40" s="89">
        <f t="shared" ca="1" si="2"/>
        <v>1.6842359293158427E-4</v>
      </c>
      <c r="Y40" s="84">
        <v>9000</v>
      </c>
      <c r="Z40" s="88" cm="1">
        <f t="array" aca="1" ref="Z40" ca="1">_xlfn.PERCENTILE.INC(EXP(-POWER(Y40/$E$16:$E$1015,$D$16:$D$1015)),0.1)</f>
        <v>2.941898107034353E-2</v>
      </c>
      <c r="AA40" s="88" cm="1">
        <f t="array" aca="1" ref="AA40" ca="1">_xlfn.PERCENTILE.INC(EXP(-POWER(Y40/$E$16:$E$1015,$D$16:$D$1015)),0.5)</f>
        <v>4.9196375916351204E-2</v>
      </c>
      <c r="AB40" s="88" cm="1">
        <f t="array" aca="1" ref="AB40" ca="1">_xlfn.PERCENTILE.INC(EXP(-POWER(Y40/$E$16:$E$1015,$D$16:$D$1015)),0.9)</f>
        <v>7.4788056113601481E-2</v>
      </c>
      <c r="AD40" s="84">
        <v>9000</v>
      </c>
      <c r="AE40" s="89" cm="1">
        <f t="array" aca="1" ref="AE40" ca="1">_xlfn.PERCENTILE.INC(($D$16:$D$1015/$E$16:$E$1015)*POWER(AD40/$E$16:$E$1015,$D$16:$D$1015-1)*EXP(-POWER(AD40/$E$16:$E$1015,$D$16:$D$1015)),0.1)</f>
        <v>2.3392886393500258E-5</v>
      </c>
      <c r="AF40" s="89" cm="1">
        <f t="array" aca="1" ref="AF40" ca="1">_xlfn.PERCENTILE.INC(($D$16:$D$1015/$E$16:$E$1015)*POWER(AD40/$E$16:$E$1015,$D$16:$D$1015-1)*EXP(-POWER(AD40/$E$16:$E$1015,$D$16:$D$1015)),0.5)</f>
        <v>3.2239461407979377E-5</v>
      </c>
      <c r="AG40" s="89" cm="1">
        <f t="array" aca="1" ref="AG40" ca="1">_xlfn.PERCENTILE.INC(($D$16:$D$1015/$E$16:$E$1015)*POWER(AD40/$E$16:$E$1015,$D$16:$D$1015-1)*EXP(-POWER(AD40/$E$16:$E$1015,$D$16:$D$1015)),0.9)</f>
        <v>4.0490862370334973E-5</v>
      </c>
    </row>
    <row r="41" spans="1:33" x14ac:dyDescent="0.35">
      <c r="A41" s="84">
        <v>26</v>
      </c>
      <c r="B41" s="84">
        <f t="shared" ca="1" si="0"/>
        <v>0.33416404502246555</v>
      </c>
      <c r="C41" s="84">
        <f t="shared" ca="1" si="0"/>
        <v>0.3212328192130357</v>
      </c>
      <c r="D41" s="93" cm="1">
        <f t="array" aca="1" ref="D41" ca="1">_xlfn.SWITCH($B$4,"Normal MLE",EXP(_xlfn.NORM.INV(B41,LN($C$9),$E$9/$C$9)),"Uniforme",$B$9+($D$9-$B$9)*B41,"Triangular",IF(B41&lt;=($C$9-$B$9)/($D$9-$B$9),$B$9+SQRT(B41*($D$9-$B$9)*($C$9-$B$9)),$D$9-SQRT((1-B41)*($D$9-$B$9)*($D$9-$C$9))),"PERT",_xlfn.BETA.INV(B41,1+$B$6*($C$9-$B$9)/($D$9-$B$9),1+$B$6*($D$9-$C$9)/($D$9-$B$9),$B$9,$D$9))</f>
        <v>1.8897905184942818</v>
      </c>
      <c r="E41" s="94" cm="1">
        <f t="array" aca="1" ref="E41" ca="1">_xlfn.SWITCH($B$4,"Normal MLE",EXP(_xlfn.NORM.INV(C41,LN($C$10),$E$10/$C$10)),"Uniforme",$B$10+($D$10-$B$10)*C41,"Triangular",IF(C41&lt;=($C$10-$B$10)/($D$10-$B$10),$B$10+SQRT(C41*($D$10-$B$10)*($C$10-$B$10)),$D$10-SQRT((1-C41)*($D$10-$B$10)*($D$10-$C$10))),"PERT",_xlfn.BETA.INV(C41,1+$B$6*($C$10-$B$10)/($D$10-$B$10),1+$B$6*($D$10-$C$10)/($D$10-$B$10),$B$10,$D$10))</f>
        <v>4990.7832961827089</v>
      </c>
      <c r="F41" s="88">
        <f t="shared" ca="1" si="1"/>
        <v>0.51776934361049998</v>
      </c>
      <c r="G41" s="89">
        <f t="shared" ca="1" si="2"/>
        <v>1.6101437721921784E-4</v>
      </c>
      <c r="Y41" s="84">
        <v>9250</v>
      </c>
      <c r="Z41" s="88" cm="1">
        <f t="array" aca="1" ref="Z41" ca="1">_xlfn.PERCENTILE.INC(EXP(-POWER(Y41/$E$16:$E$1015,$D$16:$D$1015)),0.1)</f>
        <v>2.3996170309322849E-2</v>
      </c>
      <c r="AA41" s="88" cm="1">
        <f t="array" aca="1" ref="AA41" ca="1">_xlfn.PERCENTILE.INC(EXP(-POWER(Y41/$E$16:$E$1015,$D$16:$D$1015)),0.5)</f>
        <v>4.1868561534824322E-2</v>
      </c>
      <c r="AB41" s="88" cm="1">
        <f t="array" aca="1" ref="AB41" ca="1">_xlfn.PERCENTILE.INC(EXP(-POWER(Y41/$E$16:$E$1015,$D$16:$D$1015)),0.9)</f>
        <v>6.5716922189288735E-2</v>
      </c>
      <c r="AD41" s="84">
        <v>9250</v>
      </c>
      <c r="AE41" s="89" cm="1">
        <f t="array" aca="1" ref="AE41" ca="1">_xlfn.PERCENTILE.INC(($D$16:$D$1015/$E$16:$E$1015)*POWER(AD41/$E$16:$E$1015,$D$16:$D$1015-1)*EXP(-POWER(AD41/$E$16:$E$1015,$D$16:$D$1015)),0.1)</f>
        <v>1.9744062597595557E-5</v>
      </c>
      <c r="AF41" s="89" cm="1">
        <f t="array" aca="1" ref="AF41" ca="1">_xlfn.PERCENTILE.INC(($D$16:$D$1015/$E$16:$E$1015)*POWER(AD41/$E$16:$E$1015,$D$16:$D$1015-1)*EXP(-POWER(AD41/$E$16:$E$1015,$D$16:$D$1015)),0.5)</f>
        <v>2.8013157448663368E-5</v>
      </c>
      <c r="AG41" s="89" cm="1">
        <f t="array" aca="1" ref="AG41" ca="1">_xlfn.PERCENTILE.INC(($D$16:$D$1015/$E$16:$E$1015)*POWER(AD41/$E$16:$E$1015,$D$16:$D$1015-1)*EXP(-POWER(AD41/$E$16:$E$1015,$D$16:$D$1015)),0.9)</f>
        <v>3.6157953488674693E-5</v>
      </c>
    </row>
    <row r="42" spans="1:33" x14ac:dyDescent="0.35">
      <c r="A42" s="84">
        <v>27</v>
      </c>
      <c r="B42" s="84">
        <f t="shared" ca="1" si="0"/>
        <v>0.55417416767993743</v>
      </c>
      <c r="C42" s="84">
        <f t="shared" ca="1" si="0"/>
        <v>0.68871495779646741</v>
      </c>
      <c r="D42" s="93" cm="1">
        <f t="array" aca="1" ref="D42" ca="1">_xlfn.SWITCH($B$4,"Normal MLE",EXP(_xlfn.NORM.INV(B42,LN($C$9),$E$9/$C$9)),"Uniforme",$B$9+($D$9-$B$9)*B42,"Triangular",IF(B42&lt;=($C$9-$B$9)/($D$9-$B$9),$B$9+SQRT(B42*($D$9-$B$9)*($C$9-$B$9)),$D$9-SQRT((1-B42)*($D$9-$B$9)*($D$9-$C$9))),"PERT",_xlfn.BETA.INV(B42,1+$B$6*($C$9-$B$9)/($D$9-$B$9),1+$B$6*($D$9-$C$9)/($D$9-$B$9),$B$9,$D$9))</f>
        <v>1.9664481126931082</v>
      </c>
      <c r="E42" s="94" cm="1">
        <f t="array" aca="1" ref="E42" ca="1">_xlfn.SWITCH($B$4,"Normal MLE",EXP(_xlfn.NORM.INV(C42,LN($C$10),$E$10/$C$10)),"Uniforme",$B$10+($D$10-$B$10)*C42,"Triangular",IF(C42&lt;=($C$10-$B$10)/($D$10-$B$10),$B$10+SQRT(C42*($D$10-$B$10)*($C$10-$B$10)),$D$10-SQRT((1-C42)*($D$10-$B$10)*($D$10-$C$10))),"PERT",_xlfn.BETA.INV(C42,1+$B$6*($C$10-$B$10)/($D$10-$B$10),1+$B$6*($D$10-$C$10)/($D$10-$B$10),$B$10,$D$10))</f>
        <v>5217.9328311231193</v>
      </c>
      <c r="F42" s="88">
        <f t="shared" ca="1" si="1"/>
        <v>0.55271093941250837</v>
      </c>
      <c r="G42" s="89">
        <f t="shared" ca="1" si="2"/>
        <v>1.6110786926999668E-4</v>
      </c>
      <c r="Y42" s="84">
        <v>9500</v>
      </c>
      <c r="Z42" s="88" cm="1">
        <f t="array" aca="1" ref="Z42" ca="1">_xlfn.PERCENTILE.INC(EXP(-POWER(Y42/$E$16:$E$1015,$D$16:$D$1015)),0.1)</f>
        <v>1.9555442595720157E-2</v>
      </c>
      <c r="AA42" s="88" cm="1">
        <f t="array" aca="1" ref="AA42" ca="1">_xlfn.PERCENTILE.INC(EXP(-POWER(Y42/$E$16:$E$1015,$D$16:$D$1015)),0.5)</f>
        <v>3.5447625650697479E-2</v>
      </c>
      <c r="AB42" s="88" cm="1">
        <f t="array" aca="1" ref="AB42" ca="1">_xlfn.PERCENTILE.INC(EXP(-POWER(Y42/$E$16:$E$1015,$D$16:$D$1015)),0.9)</f>
        <v>5.7861581498953277E-2</v>
      </c>
      <c r="AD42" s="84">
        <v>9500</v>
      </c>
      <c r="AE42" s="89" cm="1">
        <f t="array" aca="1" ref="AE42" ca="1">_xlfn.PERCENTILE.INC(($D$16:$D$1015/$E$16:$E$1015)*POWER(AD42/$E$16:$E$1015,$D$16:$D$1015-1)*EXP(-POWER(AD42/$E$16:$E$1015,$D$16:$D$1015)),0.1)</f>
        <v>1.6405082234103272E-5</v>
      </c>
      <c r="AF42" s="89" cm="1">
        <f t="array" aca="1" ref="AF42" ca="1">_xlfn.PERCENTILE.INC(($D$16:$D$1015/$E$16:$E$1015)*POWER(AD42/$E$16:$E$1015,$D$16:$D$1015-1)*EXP(-POWER(AD42/$E$16:$E$1015,$D$16:$D$1015)),0.5)</f>
        <v>2.4249993448626109E-5</v>
      </c>
      <c r="AG42" s="89" cm="1">
        <f t="array" aca="1" ref="AG42" ca="1">_xlfn.PERCENTILE.INC(($D$16:$D$1015/$E$16:$E$1015)*POWER(AD42/$E$16:$E$1015,$D$16:$D$1015-1)*EXP(-POWER(AD42/$E$16:$E$1015,$D$16:$D$1015)),0.9)</f>
        <v>3.2164308378259098E-5</v>
      </c>
    </row>
    <row r="43" spans="1:33" x14ac:dyDescent="0.35">
      <c r="A43" s="84">
        <v>28</v>
      </c>
      <c r="B43" s="84">
        <f t="shared" ca="1" si="0"/>
        <v>0.43633350739421783</v>
      </c>
      <c r="C43" s="84">
        <f t="shared" ca="1" si="0"/>
        <v>0.72891241551296826</v>
      </c>
      <c r="D43" s="93" cm="1">
        <f t="array" aca="1" ref="D43" ca="1">_xlfn.SWITCH($B$4,"Normal MLE",EXP(_xlfn.NORM.INV(B43,LN($C$9),$E$9/$C$9)),"Uniforme",$B$9+($D$9-$B$9)*B43,"Triangular",IF(B43&lt;=($C$9-$B$9)/($D$9-$B$9),$B$9+SQRT(B43*($D$9-$B$9)*($C$9-$B$9)),$D$9-SQRT((1-B43)*($D$9-$B$9)*($D$9-$C$9))),"PERT",_xlfn.BETA.INV(B43,1+$B$6*($C$9-$B$9)/($D$9-$B$9),1+$B$6*($D$9-$C$9)/($D$9-$B$9),$B$9,$D$9))</f>
        <v>1.9258174304796005</v>
      </c>
      <c r="E43" s="94" cm="1">
        <f t="array" aca="1" ref="E43" ca="1">_xlfn.SWITCH($B$4,"Normal MLE",EXP(_xlfn.NORM.INV(C43,LN($C$10),$E$10/$C$10)),"Uniforme",$B$10+($D$10-$B$10)*C43,"Triangular",IF(C43&lt;=($C$10-$B$10)/($D$10-$B$10),$B$10+SQRT(C43*($D$10-$B$10)*($C$10-$B$10)),$D$10-SQRT((1-C43)*($D$10-$B$10)*($D$10-$C$10))),"PERT",_xlfn.BETA.INV(C43,1+$B$6*($C$10-$B$10)/($D$10-$B$10),1+$B$6*($D$10-$C$10)/($D$10-$B$10),$B$10,$D$10))</f>
        <v>5246.4965280635315</v>
      </c>
      <c r="F43" s="88">
        <f t="shared" ca="1" si="1"/>
        <v>0.55261705299028963</v>
      </c>
      <c r="G43" s="89">
        <f t="shared" ca="1" si="2"/>
        <v>1.5779746109895236E-4</v>
      </c>
      <c r="Y43" s="84">
        <v>9750</v>
      </c>
      <c r="Z43" s="88" cm="1">
        <f t="array" aca="1" ref="Z43" ca="1">_xlfn.PERCENTILE.INC(EXP(-POWER(Y43/$E$16:$E$1015,$D$16:$D$1015)),0.1)</f>
        <v>1.5738991469470606E-2</v>
      </c>
      <c r="AA43" s="88" cm="1">
        <f t="array" aca="1" ref="AA43" ca="1">_xlfn.PERCENTILE.INC(EXP(-POWER(Y43/$E$16:$E$1015,$D$16:$D$1015)),0.5)</f>
        <v>2.9791102233657336E-2</v>
      </c>
      <c r="AB43" s="88" cm="1">
        <f t="array" aca="1" ref="AB43" ca="1">_xlfn.PERCENTILE.INC(EXP(-POWER(Y43/$E$16:$E$1015,$D$16:$D$1015)),0.9)</f>
        <v>5.0515982378640016E-2</v>
      </c>
      <c r="AD43" s="84">
        <v>9750</v>
      </c>
      <c r="AE43" s="89" cm="1">
        <f t="array" aca="1" ref="AE43" ca="1">_xlfn.PERCENTILE.INC(($D$16:$D$1015/$E$16:$E$1015)*POWER(AD43/$E$16:$E$1015,$D$16:$D$1015-1)*EXP(-POWER(AD43/$E$16:$E$1015,$D$16:$D$1015)),0.1)</f>
        <v>1.3620023512803905E-5</v>
      </c>
      <c r="AF43" s="89" cm="1">
        <f t="array" aca="1" ref="AF43" ca="1">_xlfn.PERCENTILE.INC(($D$16:$D$1015/$E$16:$E$1015)*POWER(AD43/$E$16:$E$1015,$D$16:$D$1015-1)*EXP(-POWER(AD43/$E$16:$E$1015,$D$16:$D$1015)),0.5)</f>
        <v>2.0862443382710085E-5</v>
      </c>
      <c r="AG43" s="89" cm="1">
        <f t="array" aca="1" ref="AG43" ca="1">_xlfn.PERCENTILE.INC(($D$16:$D$1015/$E$16:$E$1015)*POWER(AD43/$E$16:$E$1015,$D$16:$D$1015-1)*EXP(-POWER(AD43/$E$16:$E$1015,$D$16:$D$1015)),0.9)</f>
        <v>2.853762333197709E-5</v>
      </c>
    </row>
    <row r="44" spans="1:33" x14ac:dyDescent="0.35">
      <c r="A44" s="84">
        <v>29</v>
      </c>
      <c r="B44" s="84">
        <f t="shared" ca="1" si="0"/>
        <v>0.55758896914860301</v>
      </c>
      <c r="C44" s="84">
        <f t="shared" ca="1" si="0"/>
        <v>0.3463021884110391</v>
      </c>
      <c r="D44" s="93" cm="1">
        <f t="array" aca="1" ref="D44" ca="1">_xlfn.SWITCH($B$4,"Normal MLE",EXP(_xlfn.NORM.INV(B44,LN($C$9),$E$9/$C$9)),"Uniforme",$B$9+($D$9-$B$9)*B44,"Triangular",IF(B44&lt;=($C$9-$B$9)/($D$9-$B$9),$B$9+SQRT(B44*($D$9-$B$9)*($C$9-$B$9)),$D$9-SQRT((1-B44)*($D$9-$B$9)*($D$9-$C$9))),"PERT",_xlfn.BETA.INV(B44,1+$B$6*($C$9-$B$9)/($D$9-$B$9),1+$B$6*($D$9-$C$9)/($D$9-$B$9),$B$9,$D$9))</f>
        <v>1.9676455505400987</v>
      </c>
      <c r="E44" s="94" cm="1">
        <f t="array" aca="1" ref="E44" ca="1">_xlfn.SWITCH($B$4,"Normal MLE",EXP(_xlfn.NORM.INV(C44,LN($C$10),$E$10/$C$10)),"Uniforme",$B$10+($D$10-$B$10)*C44,"Triangular",IF(C44&lt;=($C$10-$B$10)/($D$10-$B$10),$B$10+SQRT(C44*($D$10-$B$10)*($C$10-$B$10)),$D$10-SQRT((1-C44)*($D$10-$B$10)*($D$10-$C$10))),"PERT",_xlfn.BETA.INV(C44,1+$B$6*($C$10-$B$10)/($D$10-$B$10),1+$B$6*($D$10-$C$10)/($D$10-$B$10),$B$10,$D$10))</f>
        <v>5006.8177108766104</v>
      </c>
      <c r="F44" s="88">
        <f t="shared" ca="1" si="1"/>
        <v>0.5257595651214837</v>
      </c>
      <c r="G44" s="89">
        <f t="shared" ca="1" si="2"/>
        <v>1.6627428873210553E-4</v>
      </c>
      <c r="Y44" s="84">
        <v>10000</v>
      </c>
      <c r="Z44" s="88" cm="1">
        <f t="array" aca="1" ref="Z44" ca="1">_xlfn.PERCENTILE.INC(EXP(-POWER(Y44/$E$16:$E$1015,$D$16:$D$1015)),0.1)</f>
        <v>1.2652120449122431E-2</v>
      </c>
      <c r="AA44" s="88" cm="1">
        <f t="array" aca="1" ref="AA44" ca="1">_xlfn.PERCENTILE.INC(EXP(-POWER(Y44/$E$16:$E$1015,$D$16:$D$1015)),0.5)</f>
        <v>2.4946920345870132E-2</v>
      </c>
      <c r="AB44" s="88" cm="1">
        <f t="array" aca="1" ref="AB44" ca="1">_xlfn.PERCENTILE.INC(EXP(-POWER(Y44/$E$16:$E$1015,$D$16:$D$1015)),0.9)</f>
        <v>4.38792907677375E-2</v>
      </c>
      <c r="AD44" s="84">
        <v>10000</v>
      </c>
      <c r="AE44" s="89" cm="1">
        <f t="array" aca="1" ref="AE44" ca="1">_xlfn.PERCENTILE.INC(($D$16:$D$1015/$E$16:$E$1015)*POWER(AD44/$E$16:$E$1015,$D$16:$D$1015-1)*EXP(-POWER(AD44/$E$16:$E$1015,$D$16:$D$1015)),0.1)</f>
        <v>1.1218953249408315E-5</v>
      </c>
      <c r="AF44" s="89" cm="1">
        <f t="array" aca="1" ref="AF44" ca="1">_xlfn.PERCENTILE.INC(($D$16:$D$1015/$E$16:$E$1015)*POWER(AD44/$E$16:$E$1015,$D$16:$D$1015-1)*EXP(-POWER(AD44/$E$16:$E$1015,$D$16:$D$1015)),0.5)</f>
        <v>1.7861434898235873E-5</v>
      </c>
      <c r="AG44" s="89" cm="1">
        <f t="array" aca="1" ref="AG44" ca="1">_xlfn.PERCENTILE.INC(($D$16:$D$1015/$E$16:$E$1015)*POWER(AD44/$E$16:$E$1015,$D$16:$D$1015-1)*EXP(-POWER(AD44/$E$16:$E$1015,$D$16:$D$1015)),0.9)</f>
        <v>2.5138771441972686E-5</v>
      </c>
    </row>
    <row r="45" spans="1:33" x14ac:dyDescent="0.35">
      <c r="A45" s="84">
        <v>30</v>
      </c>
      <c r="B45" s="84">
        <f t="shared" ca="1" si="0"/>
        <v>0.65971206078649769</v>
      </c>
      <c r="C45" s="84">
        <f t="shared" ca="1" si="0"/>
        <v>0.12460412875985849</v>
      </c>
      <c r="D45" s="93" cm="1">
        <f t="array" aca="1" ref="D45" ca="1">_xlfn.SWITCH($B$4,"Normal MLE",EXP(_xlfn.NORM.INV(B45,LN($C$9),$E$9/$C$9)),"Uniforme",$B$9+($D$9-$B$9)*B45,"Triangular",IF(B45&lt;=($C$9-$B$9)/($D$9-$B$9),$B$9+SQRT(B45*($D$9-$B$9)*($C$9-$B$9)),$D$9-SQRT((1-B45)*($D$9-$B$9)*($D$9-$C$9))),"PERT",_xlfn.BETA.INV(B45,1+$B$6*($C$9-$B$9)/($D$9-$B$9),1+$B$6*($D$9-$C$9)/($D$9-$B$9),$B$9,$D$9))</f>
        <v>2.0049655464970724</v>
      </c>
      <c r="E45" s="94" cm="1">
        <f t="array" aca="1" ref="E45" ca="1">_xlfn.SWITCH($B$4,"Normal MLE",EXP(_xlfn.NORM.INV(C45,LN($C$10),$E$10/$C$10)),"Uniforme",$B$10+($D$10-$B$10)*C45,"Triangular",IF(C45&lt;=($C$10-$B$10)/($D$10-$B$10),$B$10+SQRT(C45*($D$10-$B$10)*($C$10-$B$10)),$D$10-SQRT((1-C45)*($D$10-$B$10)*($D$10-$C$10))),"PERT",_xlfn.BETA.INV(C45,1+$B$6*($C$10-$B$10)/($D$10-$B$10),1+$B$6*($D$10-$C$10)/($D$10-$B$10),$B$10,$D$10))</f>
        <v>4833.5264953824535</v>
      </c>
      <c r="F45" s="88">
        <f t="shared" ca="1" si="1"/>
        <v>0.50449325192297112</v>
      </c>
      <c r="G45" s="89">
        <f t="shared" ca="1" si="2"/>
        <v>1.7301584232482791E-4</v>
      </c>
    </row>
    <row r="46" spans="1:33" x14ac:dyDescent="0.35">
      <c r="A46" s="84">
        <v>31</v>
      </c>
      <c r="B46" s="84">
        <f t="shared" ca="1" si="0"/>
        <v>0.92264217099992918</v>
      </c>
      <c r="C46" s="84">
        <f t="shared" ca="1" si="0"/>
        <v>0.67663177817038023</v>
      </c>
      <c r="D46" s="93" cm="1">
        <f t="array" aca="1" ref="D46" ca="1">_xlfn.SWITCH($B$4,"Normal MLE",EXP(_xlfn.NORM.INV(B46,LN($C$9),$E$9/$C$9)),"Uniforme",$B$9+($D$9-$B$9)*B46,"Triangular",IF(B46&lt;=($C$9-$B$9)/($D$9-$B$9),$B$9+SQRT(B46*($D$9-$B$9)*($C$9-$B$9)),$D$9-SQRT((1-B46)*($D$9-$B$9)*($D$9-$C$9))),"PERT",_xlfn.BETA.INV(B46,1+$B$6*($C$9-$B$9)/($D$9-$B$9),1+$B$6*($D$9-$C$9)/($D$9-$B$9),$B$9,$D$9))</f>
        <v>2.152970812654277</v>
      </c>
      <c r="E46" s="94" cm="1">
        <f t="array" aca="1" ref="E46" ca="1">_xlfn.SWITCH($B$4,"Normal MLE",EXP(_xlfn.NORM.INV(C46,LN($C$10),$E$10/$C$10)),"Uniforme",$B$10+($D$10-$B$10)*C46,"Triangular",IF(C46&lt;=($C$10-$B$10)/($D$10-$B$10),$B$10+SQRT(C46*($D$10-$B$10)*($C$10-$B$10)),$D$10-SQRT((1-C46)*($D$10-$B$10)*($D$10-$C$10))),"PERT",_xlfn.BETA.INV(C46,1+$B$6*($C$10-$B$10)/($D$10-$B$10),1+$B$6*($D$10-$C$10)/($D$10-$B$10),$B$10,$D$10))</f>
        <v>5209.7054244213787</v>
      </c>
      <c r="F46" s="88">
        <f t="shared" ca="1" si="1"/>
        <v>0.56770080300287995</v>
      </c>
      <c r="G46" s="89">
        <f t="shared" ca="1" si="2"/>
        <v>1.7299654139634526E-4</v>
      </c>
    </row>
    <row r="47" spans="1:33" x14ac:dyDescent="0.35">
      <c r="A47" s="84">
        <v>32</v>
      </c>
      <c r="B47" s="84">
        <f t="shared" ca="1" si="0"/>
        <v>2.9626818887367068E-2</v>
      </c>
      <c r="C47" s="84">
        <f t="shared" ca="1" si="0"/>
        <v>0.5702756803894341</v>
      </c>
      <c r="D47" s="93" cm="1">
        <f t="array" aca="1" ref="D47" ca="1">_xlfn.SWITCH($B$4,"Normal MLE",EXP(_xlfn.NORM.INV(B47,LN($C$9),$E$9/$C$9)),"Uniforme",$B$9+($D$9-$B$9)*B47,"Triangular",IF(B47&lt;=($C$9-$B$9)/($D$9-$B$9),$B$9+SQRT(B47*($D$9-$B$9)*($C$9-$B$9)),$D$9-SQRT((1-B47)*($D$9-$B$9)*($D$9-$C$9))),"PERT",_xlfn.BETA.INV(B47,1+$B$6*($C$9-$B$9)/($D$9-$B$9),1+$B$6*($D$9-$C$9)/($D$9-$B$9),$B$9,$D$9))</f>
        <v>1.7054074257203136</v>
      </c>
      <c r="E47" s="94" cm="1">
        <f t="array" aca="1" ref="E47" ca="1">_xlfn.SWITCH($B$4,"Normal MLE",EXP(_xlfn.NORM.INV(C47,LN($C$10),$E$10/$C$10)),"Uniforme",$B$10+($D$10-$B$10)*C47,"Triangular",IF(C47&lt;=($C$10-$B$10)/($D$10-$B$10),$B$10+SQRT(C47*($D$10-$B$10)*($C$10-$B$10)),$D$10-SQRT((1-C47)*($D$10-$B$10)*($D$10-$C$10))),"PERT",_xlfn.BETA.INV(C47,1+$B$6*($C$10-$B$10)/($D$10-$B$10),1+$B$6*($D$10-$C$10)/($D$10-$B$10),$B$10,$D$10))</f>
        <v>5141.972312875364</v>
      </c>
      <c r="F47" s="88">
        <f t="shared" ca="1" si="1"/>
        <v>0.52120290118459878</v>
      </c>
      <c r="G47" s="89">
        <f t="shared" ca="1" si="2"/>
        <v>1.4479935722753597E-4</v>
      </c>
    </row>
    <row r="48" spans="1:33" x14ac:dyDescent="0.35">
      <c r="A48" s="84">
        <v>33</v>
      </c>
      <c r="B48" s="84">
        <f t="shared" ca="1" si="0"/>
        <v>1.529755038387981E-2</v>
      </c>
      <c r="C48" s="84">
        <f t="shared" ca="1" si="0"/>
        <v>0.89889599047183366</v>
      </c>
      <c r="D48" s="93" cm="1">
        <f t="array" aca="1" ref="D48" ca="1">_xlfn.SWITCH($B$4,"Normal MLE",EXP(_xlfn.NORM.INV(B48,LN($C$9),$E$9/$C$9)),"Uniforme",$B$9+($D$9-$B$9)*B48,"Triangular",IF(B48&lt;=($C$9-$B$9)/($D$9-$B$9),$B$9+SQRT(B48*($D$9-$B$9)*($C$9-$B$9)),$D$9-SQRT((1-B48)*($D$9-$B$9)*($D$9-$C$9))),"PERT",_xlfn.BETA.INV(B48,1+$B$6*($C$9-$B$9)/($D$9-$B$9),1+$B$6*($D$9-$C$9)/($D$9-$B$9),$B$9,$D$9))</f>
        <v>1.6725823931566441</v>
      </c>
      <c r="E48" s="94" cm="1">
        <f t="array" aca="1" ref="E48" ca="1">_xlfn.SWITCH($B$4,"Normal MLE",EXP(_xlfn.NORM.INV(C48,LN($C$10),$E$10/$C$10)),"Uniforme",$B$10+($D$10-$B$10)*C48,"Triangular",IF(C48&lt;=($C$10-$B$10)/($D$10-$B$10),$B$10+SQRT(C48*($D$10-$B$10)*($C$10-$B$10)),$D$10-SQRT((1-C48)*($D$10-$B$10)*($D$10-$C$10))),"PERT",_xlfn.BETA.INV(C48,1+$B$6*($C$10-$B$10)/($D$10-$B$10),1+$B$6*($D$10-$C$10)/($D$10-$B$10),$B$10,$D$10))</f>
        <v>5411.5802838643749</v>
      </c>
      <c r="F48" s="88">
        <f t="shared" ca="1" si="1"/>
        <v>0.54706689221032223</v>
      </c>
      <c r="G48" s="89">
        <f t="shared" ca="1" si="2"/>
        <v>1.3798056383425503E-4</v>
      </c>
    </row>
    <row r="49" spans="1:7" x14ac:dyDescent="0.35">
      <c r="A49" s="84">
        <v>34</v>
      </c>
      <c r="B49" s="84">
        <f t="shared" ca="1" si="0"/>
        <v>0.95829106192662494</v>
      </c>
      <c r="C49" s="84">
        <f t="shared" ca="1" si="0"/>
        <v>0.99424636097153374</v>
      </c>
      <c r="D49" s="93" cm="1">
        <f t="array" aca="1" ref="D49" ca="1">_xlfn.SWITCH($B$4,"Normal MLE",EXP(_xlfn.NORM.INV(B49,LN($C$9),$E$9/$C$9)),"Uniforme",$B$9+($D$9-$B$9)*B49,"Triangular",IF(B49&lt;=($C$9-$B$9)/($D$9-$B$9),$B$9+SQRT(B49*($D$9-$B$9)*($C$9-$B$9)),$D$9-SQRT((1-B49)*($D$9-$B$9)*($D$9-$C$9))),"PERT",_xlfn.BETA.INV(B49,1+$B$6*($C$9-$B$9)/($D$9-$B$9),1+$B$6*($D$9-$C$9)/($D$9-$B$9),$B$9,$D$9))</f>
        <v>2.200195594052933</v>
      </c>
      <c r="E49" s="94" cm="1">
        <f t="array" aca="1" ref="E49" ca="1">_xlfn.SWITCH($B$4,"Normal MLE",EXP(_xlfn.NORM.INV(C49,LN($C$10),$E$10/$C$10)),"Uniforme",$B$10+($D$10-$B$10)*C49,"Triangular",IF(C49&lt;=($C$10-$B$10)/($D$10-$B$10),$B$10+SQRT(C49*($D$10-$B$10)*($C$10-$B$10)),$D$10-SQRT((1-C49)*($D$10-$B$10)*($D$10-$C$10))),"PERT",_xlfn.BETA.INV(C49,1+$B$6*($C$10-$B$10)/($D$10-$B$10),1+$B$6*($D$10-$C$10)/($D$10-$B$10),$B$10,$D$10))</f>
        <v>5736.1275662338358</v>
      </c>
      <c r="F49" s="88">
        <f t="shared" ca="1" si="1"/>
        <v>0.63608814906006594</v>
      </c>
      <c r="G49" s="89">
        <f t="shared" ca="1" si="2"/>
        <v>1.582918665428993E-4</v>
      </c>
    </row>
    <row r="50" spans="1:7" x14ac:dyDescent="0.35">
      <c r="A50" s="84">
        <v>35</v>
      </c>
      <c r="B50" s="84">
        <f t="shared" ca="1" si="0"/>
        <v>0.12205492290198638</v>
      </c>
      <c r="C50" s="84">
        <f t="shared" ca="1" si="0"/>
        <v>0.5350450811697085</v>
      </c>
      <c r="D50" s="93" cm="1">
        <f t="array" aca="1" ref="D50" ca="1">_xlfn.SWITCH($B$4,"Normal MLE",EXP(_xlfn.NORM.INV(B50,LN($C$9),$E$9/$C$9)),"Uniforme",$B$9+($D$9-$B$9)*B50,"Triangular",IF(B50&lt;=($C$9-$B$9)/($D$9-$B$9),$B$9+SQRT(B50*($D$9-$B$9)*($C$9-$B$9)),$D$9-SQRT((1-B50)*($D$9-$B$9)*($D$9-$C$9))),"PERT",_xlfn.BETA.INV(B50,1+$B$6*($C$9-$B$9)/($D$9-$B$9),1+$B$6*($D$9-$C$9)/($D$9-$B$9),$B$9,$D$9))</f>
        <v>1.7942980444845353</v>
      </c>
      <c r="E50" s="94" cm="1">
        <f t="array" aca="1" ref="E50" ca="1">_xlfn.SWITCH($B$4,"Normal MLE",EXP(_xlfn.NORM.INV(C50,LN($C$10),$E$10/$C$10)),"Uniforme",$B$10+($D$10-$B$10)*C50,"Triangular",IF(C50&lt;=($C$10-$B$10)/($D$10-$B$10),$B$10+SQRT(C50*($D$10-$B$10)*($C$10-$B$10)),$D$10-SQRT((1-C50)*($D$10-$B$10)*($D$10-$C$10))),"PERT",_xlfn.BETA.INV(C50,1+$B$6*($C$10-$B$10)/($D$10-$B$10),1+$B$6*($D$10-$C$10)/($D$10-$B$10),$B$10,$D$10))</f>
        <v>5120.6925338497349</v>
      </c>
      <c r="F50" s="88">
        <f t="shared" ca="1" si="1"/>
        <v>0.52624438678883079</v>
      </c>
      <c r="G50" s="89">
        <f t="shared" ca="1" si="2"/>
        <v>1.5154793914693937E-4</v>
      </c>
    </row>
    <row r="51" spans="1:7" x14ac:dyDescent="0.35">
      <c r="A51" s="84">
        <v>36</v>
      </c>
      <c r="B51" s="84">
        <f t="shared" ca="1" si="0"/>
        <v>0.53324347441403042</v>
      </c>
      <c r="C51" s="84">
        <f t="shared" ca="1" si="0"/>
        <v>0.34766423186707618</v>
      </c>
      <c r="D51" s="93" cm="1">
        <f t="array" aca="1" ref="D51" ca="1">_xlfn.SWITCH($B$4,"Normal MLE",EXP(_xlfn.NORM.INV(B51,LN($C$9),$E$9/$C$9)),"Uniforme",$B$9+($D$9-$B$9)*B51,"Triangular",IF(B51&lt;=($C$9-$B$9)/($D$9-$B$9),$B$9+SQRT(B51*($D$9-$B$9)*($C$9-$B$9)),$D$9-SQRT((1-B51)*($D$9-$B$9)*($D$9-$C$9))),"PERT",_xlfn.BETA.INV(B51,1+$B$6*($C$9-$B$9)/($D$9-$B$9),1+$B$6*($D$9-$C$9)/($D$9-$B$9),$B$9,$D$9))</f>
        <v>1.9591516801804951</v>
      </c>
      <c r="E51" s="94" cm="1">
        <f t="array" aca="1" ref="E51" ca="1">_xlfn.SWITCH($B$4,"Normal MLE",EXP(_xlfn.NORM.INV(C51,LN($C$10),$E$10/$C$10)),"Uniforme",$B$10+($D$10-$B$10)*C51,"Triangular",IF(C51&lt;=($C$10-$B$10)/($D$10-$B$10),$B$10+SQRT(C51*($D$10-$B$10)*($C$10-$B$10)),$D$10-SQRT((1-C51)*($D$10-$B$10)*($D$10-$C$10))),"PERT",_xlfn.BETA.INV(C51,1+$B$6*($C$10-$B$10)/($D$10-$B$10),1+$B$6*($D$10-$C$10)/($D$10-$B$10),$B$10,$D$10))</f>
        <v>5007.6772650741032</v>
      </c>
      <c r="F51" s="88">
        <f t="shared" ca="1" si="1"/>
        <v>0.52522852240640294</v>
      </c>
      <c r="G51" s="89">
        <f t="shared" ca="1" si="2"/>
        <v>1.6564926789132346E-4</v>
      </c>
    </row>
    <row r="52" spans="1:7" x14ac:dyDescent="0.35">
      <c r="A52" s="84">
        <v>37</v>
      </c>
      <c r="B52" s="84">
        <f t="shared" ca="1" si="0"/>
        <v>0.97279426697985605</v>
      </c>
      <c r="C52" s="84">
        <f t="shared" ca="1" si="0"/>
        <v>0.65234029053832732</v>
      </c>
      <c r="D52" s="93" cm="1">
        <f t="array" aca="1" ref="D52" ca="1">_xlfn.SWITCH($B$4,"Normal MLE",EXP(_xlfn.NORM.INV(B52,LN($C$9),$E$9/$C$9)),"Uniforme",$B$9+($D$9-$B$9)*B52,"Triangular",IF(B52&lt;=($C$9-$B$9)/($D$9-$B$9),$B$9+SQRT(B52*($D$9-$B$9)*($C$9-$B$9)),$D$9-SQRT((1-B52)*($D$9-$B$9)*($D$9-$C$9))),"PERT",_xlfn.BETA.INV(B52,1+$B$6*($C$9-$B$9)/($D$9-$B$9),1+$B$6*($D$9-$C$9)/($D$9-$B$9),$B$9,$D$9))</f>
        <v>2.230201402867642</v>
      </c>
      <c r="E52" s="94" cm="1">
        <f t="array" aca="1" ref="E52" ca="1">_xlfn.SWITCH($B$4,"Normal MLE",EXP(_xlfn.NORM.INV(C52,LN($C$10),$E$10/$C$10)),"Uniforme",$B$10+($D$10-$B$10)*C52,"Triangular",IF(C52&lt;=($C$10-$B$10)/($D$10-$B$10),$B$10+SQRT(C52*($D$10-$B$10)*($C$10-$B$10)),$D$10-SQRT((1-C52)*($D$10-$B$10)*($D$10-$C$10))),"PERT",_xlfn.BETA.INV(C52,1+$B$6*($C$10-$B$10)/($D$10-$B$10),1+$B$6*($D$10-$C$10)/($D$10-$B$10),$B$10,$D$10))</f>
        <v>5193.5714914712789</v>
      </c>
      <c r="F52" s="88">
        <f t="shared" ca="1" si="1"/>
        <v>0.57202360858781198</v>
      </c>
      <c r="G52" s="89">
        <f t="shared" ca="1" si="2"/>
        <v>1.7814742624835443E-4</v>
      </c>
    </row>
    <row r="53" spans="1:7" x14ac:dyDescent="0.35">
      <c r="A53" s="84">
        <v>38</v>
      </c>
      <c r="B53" s="84">
        <f t="shared" ca="1" si="0"/>
        <v>0.90738261244727847</v>
      </c>
      <c r="C53" s="84">
        <f t="shared" ca="1" si="0"/>
        <v>0.89334409472113974</v>
      </c>
      <c r="D53" s="93" cm="1">
        <f t="array" aca="1" ref="D53" ca="1">_xlfn.SWITCH($B$4,"Normal MLE",EXP(_xlfn.NORM.INV(B53,LN($C$9),$E$9/$C$9)),"Uniforme",$B$9+($D$9-$B$9)*B53,"Triangular",IF(B53&lt;=($C$9-$B$9)/($D$9-$B$9),$B$9+SQRT(B53*($D$9-$B$9)*($C$9-$B$9)),$D$9-SQRT((1-B53)*($D$9-$B$9)*($D$9-$C$9))),"PERT",_xlfn.BETA.INV(B53,1+$B$6*($C$9-$B$9)/($D$9-$B$9),1+$B$6*($D$9-$C$9)/($D$9-$B$9),$B$9,$D$9))</f>
        <v>2.1381245517626817</v>
      </c>
      <c r="E53" s="94" cm="1">
        <f t="array" aca="1" ref="E53" ca="1">_xlfn.SWITCH($B$4,"Normal MLE",EXP(_xlfn.NORM.INV(C53,LN($C$10),$E$10/$C$10)),"Uniforme",$B$10+($D$10-$B$10)*C53,"Triangular",IF(C53&lt;=($C$10-$B$10)/($D$10-$B$10),$B$10+SQRT(C53*($D$10-$B$10)*($C$10-$B$10)),$D$10-SQRT((1-C53)*($D$10-$B$10)*($D$10-$C$10))),"PERT",_xlfn.BETA.INV(C53,1+$B$6*($C$10-$B$10)/($D$10-$B$10),1+$B$6*($D$10-$C$10)/($D$10-$B$10),$B$10,$D$10))</f>
        <v>5403.8357597005943</v>
      </c>
      <c r="F53" s="88">
        <f t="shared" ca="1" si="1"/>
        <v>0.59118947889996243</v>
      </c>
      <c r="G53" s="89">
        <f t="shared" ca="1" si="2"/>
        <v>1.6610033874868486E-4</v>
      </c>
    </row>
    <row r="54" spans="1:7" x14ac:dyDescent="0.35">
      <c r="A54" s="84">
        <v>39</v>
      </c>
      <c r="B54" s="84">
        <f t="shared" ca="1" si="0"/>
        <v>0.47658266901891622</v>
      </c>
      <c r="C54" s="84">
        <f t="shared" ca="1" si="0"/>
        <v>0.81308855074823894</v>
      </c>
      <c r="D54" s="93" cm="1">
        <f t="array" aca="1" ref="D54" ca="1">_xlfn.SWITCH($B$4,"Normal MLE",EXP(_xlfn.NORM.INV(B54,LN($C$9),$E$9/$C$9)),"Uniforme",$B$9+($D$9-$B$9)*B54,"Triangular",IF(B54&lt;=($C$9-$B$9)/($D$9-$B$9),$B$9+SQRT(B54*($D$9-$B$9)*($C$9-$B$9)),$D$9-SQRT((1-B54)*($D$9-$B$9)*($D$9-$C$9))),"PERT",_xlfn.BETA.INV(B54,1+$B$6*($C$9-$B$9)/($D$9-$B$9),1+$B$6*($D$9-$C$9)/($D$9-$B$9),$B$9,$D$9))</f>
        <v>1.9396370575338262</v>
      </c>
      <c r="E54" s="94" cm="1">
        <f t="array" aca="1" ref="E54" ca="1">_xlfn.SWITCH($B$4,"Normal MLE",EXP(_xlfn.NORM.INV(C54,LN($C$10),$E$10/$C$10)),"Uniforme",$B$10+($D$10-$B$10)*C54,"Triangular",IF(C54&lt;=($C$10-$B$10)/($D$10-$B$10),$B$10+SQRT(C54*($D$10-$B$10)*($C$10-$B$10)),$D$10-SQRT((1-C54)*($D$10-$B$10)*($D$10-$C$10))),"PERT",_xlfn.BETA.INV(C54,1+$B$6*($C$10-$B$10)/($D$10-$B$10),1+$B$6*($D$10-$C$10)/($D$10-$B$10),$B$10,$D$10))</f>
        <v>5315.2561713894338</v>
      </c>
      <c r="F54" s="88">
        <f t="shared" ca="1" si="1"/>
        <v>0.56206657187215991</v>
      </c>
      <c r="G54" s="89">
        <f t="shared" ca="1" si="2"/>
        <v>1.5702633102602966E-4</v>
      </c>
    </row>
    <row r="55" spans="1:7" x14ac:dyDescent="0.35">
      <c r="A55" s="84">
        <v>40</v>
      </c>
      <c r="B55" s="84">
        <f t="shared" ca="1" si="0"/>
        <v>0.66324945381810863</v>
      </c>
      <c r="C55" s="84">
        <f t="shared" ca="1" si="0"/>
        <v>0.66934732656466323</v>
      </c>
      <c r="D55" s="93" cm="1">
        <f t="array" aca="1" ref="D55" ca="1">_xlfn.SWITCH($B$4,"Normal MLE",EXP(_xlfn.NORM.INV(B55,LN($C$9),$E$9/$C$9)),"Uniforme",$B$9+($D$9-$B$9)*B55,"Triangular",IF(B55&lt;=($C$9-$B$9)/($D$9-$B$9),$B$9+SQRT(B55*($D$9-$B$9)*($C$9-$B$9)),$D$9-SQRT((1-B55)*($D$9-$B$9)*($D$9-$C$9))),"PERT",_xlfn.BETA.INV(B55,1+$B$6*($C$9-$B$9)/($D$9-$B$9),1+$B$6*($D$9-$C$9)/($D$9-$B$9),$B$9,$D$9))</f>
        <v>2.0063313667114238</v>
      </c>
      <c r="E55" s="94" cm="1">
        <f t="array" aca="1" ref="E55" ca="1">_xlfn.SWITCH($B$4,"Normal MLE",EXP(_xlfn.NORM.INV(C55,LN($C$10),$E$10/$C$10)),"Uniforme",$B$10+($D$10-$B$10)*C55,"Triangular",IF(C55&lt;=($C$10-$B$10)/($D$10-$B$10),$B$10+SQRT(C55*($D$10-$B$10)*($C$10-$B$10)),$D$10-SQRT((1-C55)*($D$10-$B$10)*($D$10-$C$10))),"PERT",_xlfn.BETA.INV(C55,1+$B$6*($C$10-$B$10)/($D$10-$B$10),1+$B$6*($D$10-$C$10)/($D$10-$B$10),$B$10,$D$10))</f>
        <v>5204.8133001789502</v>
      </c>
      <c r="F55" s="88">
        <f t="shared" ca="1" si="1"/>
        <v>0.55452780261711487</v>
      </c>
      <c r="G55" s="89">
        <f t="shared" ca="1" si="2"/>
        <v>1.6400296778737322E-4</v>
      </c>
    </row>
    <row r="56" spans="1:7" x14ac:dyDescent="0.35">
      <c r="A56" s="84">
        <v>41</v>
      </c>
      <c r="B56" s="84">
        <f t="shared" ca="1" si="0"/>
        <v>0.94261645240768444</v>
      </c>
      <c r="C56" s="84">
        <f t="shared" ca="1" si="0"/>
        <v>0.25751755184224923</v>
      </c>
      <c r="D56" s="93" cm="1">
        <f t="array" aca="1" ref="D56" ca="1">_xlfn.SWITCH($B$4,"Normal MLE",EXP(_xlfn.NORM.INV(B56,LN($C$9),$E$9/$C$9)),"Uniforme",$B$9+($D$9-$B$9)*B56,"Triangular",IF(B56&lt;=($C$9-$B$9)/($D$9-$B$9),$B$9+SQRT(B56*($D$9-$B$9)*($C$9-$B$9)),$D$9-SQRT((1-B56)*($D$9-$B$9)*($D$9-$C$9))),"PERT",_xlfn.BETA.INV(B56,1+$B$6*($C$9-$B$9)/($D$9-$B$9),1+$B$6*($D$9-$C$9)/($D$9-$B$9),$B$9,$D$9))</f>
        <v>2.1764540786831015</v>
      </c>
      <c r="E56" s="94" cm="1">
        <f t="array" aca="1" ref="E56" ca="1">_xlfn.SWITCH($B$4,"Normal MLE",EXP(_xlfn.NORM.INV(C56,LN($C$10),$E$10/$C$10)),"Uniforme",$B$10+($D$10-$B$10)*C56,"Triangular",IF(C56&lt;=($C$10-$B$10)/($D$10-$B$10),$B$10+SQRT(C56*($D$10-$B$10)*($C$10-$B$10)),$D$10-SQRT((1-C56)*($D$10-$B$10)*($D$10-$C$10))),"PERT",_xlfn.BETA.INV(C56,1+$B$6*($C$10-$B$10)/($D$10-$B$10),1+$B$6*($D$10-$C$10)/($D$10-$B$10),$B$10,$D$10))</f>
        <v>4947.5968059900697</v>
      </c>
      <c r="F56" s="88">
        <f t="shared" ca="1" si="1"/>
        <v>0.53282504245436324</v>
      </c>
      <c r="G56" s="89">
        <f t="shared" ca="1" si="2"/>
        <v>1.8252096719761424E-4</v>
      </c>
    </row>
    <row r="57" spans="1:7" x14ac:dyDescent="0.35">
      <c r="A57" s="84">
        <v>42</v>
      </c>
      <c r="B57" s="84">
        <f t="shared" ca="1" si="0"/>
        <v>0.1586036411203654</v>
      </c>
      <c r="C57" s="84">
        <f t="shared" ca="1" si="0"/>
        <v>0.14802576100140863</v>
      </c>
      <c r="D57" s="93" cm="1">
        <f t="array" aca="1" ref="D57" ca="1">_xlfn.SWITCH($B$4,"Normal MLE",EXP(_xlfn.NORM.INV(B57,LN($C$9),$E$9/$C$9)),"Uniforme",$B$9+($D$9-$B$9)*B57,"Triangular",IF(B57&lt;=($C$9-$B$9)/($D$9-$B$9),$B$9+SQRT(B57*($D$9-$B$9)*($C$9-$B$9)),$D$9-SQRT((1-B57)*($D$9-$B$9)*($D$9-$C$9))),"PERT",_xlfn.BETA.INV(B57,1+$B$6*($C$9-$B$9)/($D$9-$B$9),1+$B$6*($D$9-$C$9)/($D$9-$B$9),$B$9,$D$9))</f>
        <v>1.8152120114485593</v>
      </c>
      <c r="E57" s="94" cm="1">
        <f t="array" aca="1" ref="E57" ca="1">_xlfn.SWITCH($B$4,"Normal MLE",EXP(_xlfn.NORM.INV(C57,LN($C$10),$E$10/$C$10)),"Uniforme",$B$10+($D$10-$B$10)*C57,"Triangular",IF(C57&lt;=($C$10-$B$10)/($D$10-$B$10),$B$10+SQRT(C57*($D$10-$B$10)*($C$10-$B$10)),$D$10-SQRT((1-C57)*($D$10-$B$10)*($D$10-$C$10))),"PERT",_xlfn.BETA.INV(C57,1+$B$6*($C$10-$B$10)/($D$10-$B$10),1+$B$6*($D$10-$C$10)/($D$10-$B$10),$B$10,$D$10))</f>
        <v>4857.7294953652936</v>
      </c>
      <c r="F57" s="88">
        <f t="shared" ca="1" si="1"/>
        <v>0.49518658895419482</v>
      </c>
      <c r="G57" s="89">
        <f t="shared" ca="1" si="2"/>
        <v>1.5793585895730516E-4</v>
      </c>
    </row>
    <row r="58" spans="1:7" x14ac:dyDescent="0.35">
      <c r="A58" s="84">
        <v>43</v>
      </c>
      <c r="B58" s="84">
        <f t="shared" ca="1" si="0"/>
        <v>3.772270078419504E-2</v>
      </c>
      <c r="C58" s="84">
        <f t="shared" ca="1" si="0"/>
        <v>0.90483116226664906</v>
      </c>
      <c r="D58" s="93" cm="1">
        <f t="array" aca="1" ref="D58" ca="1">_xlfn.SWITCH($B$4,"Normal MLE",EXP(_xlfn.NORM.INV(B58,LN($C$9),$E$9/$C$9)),"Uniforme",$B$9+($D$9-$B$9)*B58,"Triangular",IF(B58&lt;=($C$9-$B$9)/($D$9-$B$9),$B$9+SQRT(B58*($D$9-$B$9)*($C$9-$B$9)),$D$9-SQRT((1-B58)*($D$9-$B$9)*($D$9-$C$9))),"PERT",_xlfn.BETA.INV(B58,1+$B$6*($C$9-$B$9)/($D$9-$B$9),1+$B$6*($D$9-$C$9)/($D$9-$B$9),$B$9,$D$9))</f>
        <v>1.7184947318475352</v>
      </c>
      <c r="E58" s="94" cm="1">
        <f t="array" aca="1" ref="E58" ca="1">_xlfn.SWITCH($B$4,"Normal MLE",EXP(_xlfn.NORM.INV(C58,LN($C$10),$E$10/$C$10)),"Uniforme",$B$10+($D$10-$B$10)*C58,"Triangular",IF(C58&lt;=($C$10-$B$10)/($D$10-$B$10),$B$10+SQRT(C58*($D$10-$B$10)*($C$10-$B$10)),$D$10-SQRT((1-C58)*($D$10-$B$10)*($D$10-$C$10))),"PERT",_xlfn.BETA.INV(C58,1+$B$6*($C$10-$B$10)/($D$10-$B$10),1+$B$6*($D$10-$C$10)/($D$10-$B$10),$B$10,$D$10))</f>
        <v>5420.2234356909457</v>
      </c>
      <c r="F58" s="88">
        <f t="shared" ca="1" si="1"/>
        <v>0.55253279436202263</v>
      </c>
      <c r="G58" s="89">
        <f t="shared" ca="1" si="2"/>
        <v>1.4082459903199277E-4</v>
      </c>
    </row>
    <row r="59" spans="1:7" x14ac:dyDescent="0.35">
      <c r="A59" s="84">
        <v>44</v>
      </c>
      <c r="B59" s="84">
        <f t="shared" ca="1" si="0"/>
        <v>0.13252381286409376</v>
      </c>
      <c r="C59" s="84">
        <f t="shared" ca="1" si="0"/>
        <v>0.89376708717531494</v>
      </c>
      <c r="D59" s="93" cm="1">
        <f t="array" aca="1" ref="D59" ca="1">_xlfn.SWITCH($B$4,"Normal MLE",EXP(_xlfn.NORM.INV(B59,LN($C$9),$E$9/$C$9)),"Uniforme",$B$9+($D$9-$B$9)*B59,"Triangular",IF(B59&lt;=($C$9-$B$9)/($D$9-$B$9),$B$9+SQRT(B59*($D$9-$B$9)*($C$9-$B$9)),$D$9-SQRT((1-B59)*($D$9-$B$9)*($D$9-$C$9))),"PERT",_xlfn.BETA.INV(B59,1+$B$6*($C$9-$B$9)/($D$9-$B$9),1+$B$6*($D$9-$C$9)/($D$9-$B$9),$B$9,$D$9))</f>
        <v>1.8006567370911573</v>
      </c>
      <c r="E59" s="94" cm="1">
        <f t="array" aca="1" ref="E59" ca="1">_xlfn.SWITCH($B$4,"Normal MLE",EXP(_xlfn.NORM.INV(C59,LN($C$10),$E$10/$C$10)),"Uniforme",$B$10+($D$10-$B$10)*C59,"Triangular",IF(C59&lt;=($C$10-$B$10)/($D$10-$B$10),$B$10+SQRT(C59*($D$10-$B$10)*($C$10-$B$10)),$D$10-SQRT((1-C59)*($D$10-$B$10)*($D$10-$C$10))),"PERT",_xlfn.BETA.INV(C59,1+$B$6*($C$10-$B$10)/($D$10-$B$10),1+$B$6*($D$10-$C$10)/($D$10-$B$10),$B$10,$D$10))</f>
        <v>5404.4150053336398</v>
      </c>
      <c r="F59" s="88">
        <f t="shared" ca="1" si="1"/>
        <v>0.55896572853064108</v>
      </c>
      <c r="G59" s="89">
        <f t="shared" ca="1" si="2"/>
        <v>1.4636277408399271E-4</v>
      </c>
    </row>
    <row r="60" spans="1:7" x14ac:dyDescent="0.35">
      <c r="A60" s="84">
        <v>45</v>
      </c>
      <c r="B60" s="84">
        <f t="shared" ca="1" si="0"/>
        <v>0.60801785132792863</v>
      </c>
      <c r="C60" s="84">
        <f t="shared" ca="1" si="0"/>
        <v>0.94035306105442384</v>
      </c>
      <c r="D60" s="93" cm="1">
        <f t="array" aca="1" ref="D60" ca="1">_xlfn.SWITCH($B$4,"Normal MLE",EXP(_xlfn.NORM.INV(B60,LN($C$9),$E$9/$C$9)),"Uniforme",$B$9+($D$9-$B$9)*B60,"Triangular",IF(B60&lt;=($C$9-$B$9)/($D$9-$B$9),$B$9+SQRT(B60*($D$9-$B$9)*($C$9-$B$9)),$D$9-SQRT((1-B60)*($D$9-$B$9)*($D$9-$C$9))),"PERT",_xlfn.BETA.INV(B60,1+$B$6*($C$9-$B$9)/($D$9-$B$9),1+$B$6*($D$9-$C$9)/($D$9-$B$9),$B$9,$D$9))</f>
        <v>1.9856428810558924</v>
      </c>
      <c r="E60" s="94" cm="1">
        <f t="array" aca="1" ref="E60" ca="1">_xlfn.SWITCH($B$4,"Normal MLE",EXP(_xlfn.NORM.INV(C60,LN($C$10),$E$10/$C$10)),"Uniforme",$B$10+($D$10-$B$10)*C60,"Triangular",IF(C60&lt;=($C$10-$B$10)/($D$10-$B$10),$B$10+SQRT(C60*($D$10-$B$10)*($C$10-$B$10)),$D$10-SQRT((1-C60)*($D$10-$B$10)*($D$10-$C$10))),"PERT",_xlfn.BETA.INV(C60,1+$B$6*($C$10-$B$10)/($D$10-$B$10),1+$B$6*($D$10-$C$10)/($D$10-$B$10),$B$10,$D$10))</f>
        <v>5483.1795960868985</v>
      </c>
      <c r="F60" s="88">
        <f t="shared" ca="1" si="1"/>
        <v>0.58590892992345522</v>
      </c>
      <c r="G60" s="89">
        <f t="shared" ca="1" si="2"/>
        <v>1.5548655445379018E-4</v>
      </c>
    </row>
    <row r="61" spans="1:7" x14ac:dyDescent="0.35">
      <c r="A61" s="84">
        <v>46</v>
      </c>
      <c r="B61" s="84">
        <f t="shared" ca="1" si="0"/>
        <v>0.14246796261886085</v>
      </c>
      <c r="C61" s="84">
        <f t="shared" ca="1" si="0"/>
        <v>0.33648598512587247</v>
      </c>
      <c r="D61" s="93" cm="1">
        <f t="array" aca="1" ref="D61" ca="1">_xlfn.SWITCH($B$4,"Normal MLE",EXP(_xlfn.NORM.INV(B61,LN($C$9),$E$9/$C$9)),"Uniforme",$B$9+($D$9-$B$9)*B61,"Triangular",IF(B61&lt;=($C$9-$B$9)/($D$9-$B$9),$B$9+SQRT(B61*($D$9-$B$9)*($C$9-$B$9)),$D$9-SQRT((1-B61)*($D$9-$B$9)*($D$9-$C$9))),"PERT",_xlfn.BETA.INV(B61,1+$B$6*($C$9-$B$9)/($D$9-$B$9),1+$B$6*($D$9-$C$9)/($D$9-$B$9),$B$9,$D$9))</f>
        <v>1.806402765452086</v>
      </c>
      <c r="E61" s="94" cm="1">
        <f t="array" aca="1" ref="E61" ca="1">_xlfn.SWITCH($B$4,"Normal MLE",EXP(_xlfn.NORM.INV(C61,LN($C$10),$E$10/$C$10)),"Uniforme",$B$10+($D$10-$B$10)*C61,"Triangular",IF(C61&lt;=($C$10-$B$10)/($D$10-$B$10),$B$10+SQRT(C61*($D$10-$B$10)*($C$10-$B$10)),$D$10-SQRT((1-C61)*($D$10-$B$10)*($D$10-$C$10))),"PERT",_xlfn.BETA.INV(C61,1+$B$6*($C$10-$B$10)/($D$10-$B$10),1+$B$6*($D$10-$C$10)/($D$10-$B$10),$B$10,$D$10))</f>
        <v>5000.5892618300768</v>
      </c>
      <c r="F61" s="88">
        <f t="shared" ca="1" si="1"/>
        <v>0.51267578442954598</v>
      </c>
      <c r="G61" s="89">
        <f t="shared" ca="1" si="2"/>
        <v>1.5468437119506762E-4</v>
      </c>
    </row>
    <row r="62" spans="1:7" x14ac:dyDescent="0.35">
      <c r="A62" s="84">
        <v>47</v>
      </c>
      <c r="B62" s="84">
        <f t="shared" ca="1" si="0"/>
        <v>0.19154009835066566</v>
      </c>
      <c r="C62" s="84">
        <f t="shared" ca="1" si="0"/>
        <v>0.90627052017095389</v>
      </c>
      <c r="D62" s="93" cm="1">
        <f t="array" aca="1" ref="D62" ca="1">_xlfn.SWITCH($B$4,"Normal MLE",EXP(_xlfn.NORM.INV(B62,LN($C$9),$E$9/$C$9)),"Uniforme",$B$9+($D$9-$B$9)*B62,"Triangular",IF(B62&lt;=($C$9-$B$9)/($D$9-$B$9),$B$9+SQRT(B62*($D$9-$B$9)*($C$9-$B$9)),$D$9-SQRT((1-B62)*($D$9-$B$9)*($D$9-$C$9))),"PERT",_xlfn.BETA.INV(B62,1+$B$6*($C$9-$B$9)/($D$9-$B$9),1+$B$6*($D$9-$C$9)/($D$9-$B$9),$B$9,$D$9))</f>
        <v>1.8316449429286963</v>
      </c>
      <c r="E62" s="94" cm="1">
        <f t="array" aca="1" ref="E62" ca="1">_xlfn.SWITCH($B$4,"Normal MLE",EXP(_xlfn.NORM.INV(C62,LN($C$10),$E$10/$C$10)),"Uniforme",$B$10+($D$10-$B$10)*C62,"Triangular",IF(C62&lt;=($C$10-$B$10)/($D$10-$B$10),$B$10+SQRT(C62*($D$10-$B$10)*($C$10-$B$10)),$D$10-SQRT((1-C62)*($D$10-$B$10)*($D$10-$C$10))),"PERT",_xlfn.BETA.INV(C62,1+$B$6*($C$10-$B$10)/($D$10-$B$10),1+$B$6*($D$10-$C$10)/($D$10-$B$10),$B$10,$D$10))</f>
        <v>5422.3810738261973</v>
      </c>
      <c r="F62" s="88">
        <f t="shared" ca="1" si="1"/>
        <v>0.56395782099334324</v>
      </c>
      <c r="G62" s="89">
        <f t="shared" ca="1" si="2"/>
        <v>1.4791512888611013E-4</v>
      </c>
    </row>
    <row r="63" spans="1:7" x14ac:dyDescent="0.35">
      <c r="A63" s="84">
        <v>48</v>
      </c>
      <c r="B63" s="84">
        <f t="shared" ca="1" si="0"/>
        <v>0.84863400900333363</v>
      </c>
      <c r="C63" s="84">
        <f t="shared" ca="1" si="0"/>
        <v>0.37994839222036558</v>
      </c>
      <c r="D63" s="93" cm="1">
        <f t="array" aca="1" ref="D63" ca="1">_xlfn.SWITCH($B$4,"Normal MLE",EXP(_xlfn.NORM.INV(B63,LN($C$9),$E$9/$C$9)),"Uniforme",$B$9+($D$9-$B$9)*B63,"Triangular",IF(B63&lt;=($C$9-$B$9)/($D$9-$B$9),$B$9+SQRT(B63*($D$9-$B$9)*($C$9-$B$9)),$D$9-SQRT((1-B63)*($D$9-$B$9)*($D$9-$C$9))),"PERT",_xlfn.BETA.INV(B63,1+$B$6*($C$9-$B$9)/($D$9-$B$9),1+$B$6*($D$9-$C$9)/($D$9-$B$9),$B$9,$D$9))</f>
        <v>2.0942815268767405</v>
      </c>
      <c r="E63" s="94" cm="1">
        <f t="array" aca="1" ref="E63" ca="1">_xlfn.SWITCH($B$4,"Normal MLE",EXP(_xlfn.NORM.INV(C63,LN($C$10),$E$10/$C$10)),"Uniforme",$B$10+($D$10-$B$10)*C63,"Triangular",IF(C63&lt;=($C$10-$B$10)/($D$10-$B$10),$B$10+SQRT(C63*($D$10-$B$10)*($C$10-$B$10)),$D$10-SQRT((1-C63)*($D$10-$B$10)*($D$10-$C$10))),"PERT",_xlfn.BETA.INV(C63,1+$B$6*($C$10-$B$10)/($D$10-$B$10),1+$B$6*($D$10-$C$10)/($D$10-$B$10),$B$10,$D$10))</f>
        <v>5027.7620880677205</v>
      </c>
      <c r="F63" s="88">
        <f t="shared" ca="1" si="1"/>
        <v>0.53823981758396566</v>
      </c>
      <c r="G63" s="89">
        <f t="shared" ca="1" si="2"/>
        <v>1.7456528991933941E-4</v>
      </c>
    </row>
    <row r="64" spans="1:7" x14ac:dyDescent="0.35">
      <c r="A64" s="84">
        <v>49</v>
      </c>
      <c r="B64" s="84">
        <f t="shared" ca="1" si="0"/>
        <v>0.58089397745402183</v>
      </c>
      <c r="C64" s="84">
        <f t="shared" ca="1" si="0"/>
        <v>0.71747484818549223</v>
      </c>
      <c r="D64" s="93" cm="1">
        <f t="array" aca="1" ref="D64" ca="1">_xlfn.SWITCH($B$4,"Normal MLE",EXP(_xlfn.NORM.INV(B64,LN($C$9),$E$9/$C$9)),"Uniforme",$B$9+($D$9-$B$9)*B64,"Triangular",IF(B64&lt;=($C$9-$B$9)/($D$9-$B$9),$B$9+SQRT(B64*($D$9-$B$9)*($C$9-$B$9)),$D$9-SQRT((1-B64)*($D$9-$B$9)*($D$9-$C$9))),"PERT",_xlfn.BETA.INV(B64,1+$B$6*($C$9-$B$9)/($D$9-$B$9),1+$B$6*($D$9-$C$9)/($D$9-$B$9),$B$9,$D$9))</f>
        <v>1.9758824113188171</v>
      </c>
      <c r="E64" s="94" cm="1">
        <f t="array" aca="1" ref="E64" ca="1">_xlfn.SWITCH($B$4,"Normal MLE",EXP(_xlfn.NORM.INV(C64,LN($C$10),$E$10/$C$10)),"Uniforme",$B$10+($D$10-$B$10)*C64,"Triangular",IF(C64&lt;=($C$10-$B$10)/($D$10-$B$10),$B$10+SQRT(C64*($D$10-$B$10)*($C$10-$B$10)),$D$10-SQRT((1-C64)*($D$10-$B$10)*($D$10-$C$10))),"PERT",_xlfn.BETA.INV(C64,1+$B$6*($C$10-$B$10)/($D$10-$B$10),1+$B$6*($D$10-$C$10)/($D$10-$B$10),$B$10,$D$10))</f>
        <v>5238.1606659504914</v>
      </c>
      <c r="F64" s="88">
        <f t="shared" ca="1" si="1"/>
        <v>0.55603118260217033</v>
      </c>
      <c r="G64" s="89">
        <f t="shared" ca="1" si="2"/>
        <v>1.6120823678309775E-4</v>
      </c>
    </row>
    <row r="65" spans="1:7" x14ac:dyDescent="0.35">
      <c r="A65" s="84">
        <v>50</v>
      </c>
      <c r="B65" s="84">
        <f t="shared" ca="1" si="0"/>
        <v>1.6073912103449106E-2</v>
      </c>
      <c r="C65" s="84">
        <f t="shared" ca="1" si="0"/>
        <v>0.47949132451499743</v>
      </c>
      <c r="D65" s="93" cm="1">
        <f t="array" aca="1" ref="D65" ca="1">_xlfn.SWITCH($B$4,"Normal MLE",EXP(_xlfn.NORM.INV(B65,LN($C$9),$E$9/$C$9)),"Uniforme",$B$9+($D$9-$B$9)*B65,"Triangular",IF(B65&lt;=($C$9-$B$9)/($D$9-$B$9),$B$9+SQRT(B65*($D$9-$B$9)*($C$9-$B$9)),$D$9-SQRT((1-B65)*($D$9-$B$9)*($D$9-$C$9))),"PERT",_xlfn.BETA.INV(B65,1+$B$6*($C$9-$B$9)/($D$9-$B$9),1+$B$6*($D$9-$C$9)/($D$9-$B$9),$B$9,$D$9))</f>
        <v>1.6749080587094305</v>
      </c>
      <c r="E65" s="94" cm="1">
        <f t="array" aca="1" ref="E65" ca="1">_xlfn.SWITCH($B$4,"Normal MLE",EXP(_xlfn.NORM.INV(C65,LN($C$10),$E$10/$C$10)),"Uniforme",$B$10+($D$10-$B$10)*C65,"Triangular",IF(C65&lt;=($C$10-$B$10)/($D$10-$B$10),$B$10+SQRT(C65*($D$10-$B$10)*($C$10-$B$10)),$D$10-SQRT((1-C65)*($D$10-$B$10)*($D$10-$C$10))),"PERT",_xlfn.BETA.INV(C65,1+$B$6*($C$10-$B$10)/($D$10-$B$10),1+$B$6*($D$10-$C$10)/($D$10-$B$10),$B$10,$D$10))</f>
        <v>5087.5854224522782</v>
      </c>
      <c r="F65" s="88">
        <f t="shared" ca="1" si="1"/>
        <v>0.51251493074138654</v>
      </c>
      <c r="G65" s="89">
        <f t="shared" ca="1" si="2"/>
        <v>1.4344666978630285E-4</v>
      </c>
    </row>
    <row r="66" spans="1:7" x14ac:dyDescent="0.35">
      <c r="A66" s="84">
        <v>51</v>
      </c>
      <c r="B66" s="84">
        <f t="shared" ca="1" si="0"/>
        <v>0.2014396495248777</v>
      </c>
      <c r="C66" s="84">
        <f t="shared" ca="1" si="0"/>
        <v>0.4099439066921412</v>
      </c>
      <c r="D66" s="93" cm="1">
        <f t="array" aca="1" ref="D66" ca="1">_xlfn.SWITCH($B$4,"Normal MLE",EXP(_xlfn.NORM.INV(B66,LN($C$9),$E$9/$C$9)),"Uniforme",$B$9+($D$9-$B$9)*B66,"Triangular",IF(B66&lt;=($C$9-$B$9)/($D$9-$B$9),$B$9+SQRT(B66*($D$9-$B$9)*($C$9-$B$9)),$D$9-SQRT((1-B66)*($D$9-$B$9)*($D$9-$C$9))),"PERT",_xlfn.BETA.INV(B66,1+$B$6*($C$9-$B$9)/($D$9-$B$9),1+$B$6*($D$9-$C$9)/($D$9-$B$9),$B$9,$D$9))</f>
        <v>1.8362612628079531</v>
      </c>
      <c r="E66" s="94" cm="1">
        <f t="array" aca="1" ref="E66" ca="1">_xlfn.SWITCH($B$4,"Normal MLE",EXP(_xlfn.NORM.INV(C66,LN($C$10),$E$10/$C$10)),"Uniforme",$B$10+($D$10-$B$10)*C66,"Triangular",IF(C66&lt;=($C$10-$B$10)/($D$10-$B$10),$B$10+SQRT(C66*($D$10-$B$10)*($C$10-$B$10)),$D$10-SQRT((1-C66)*($D$10-$B$10)*($D$10-$C$10))),"PERT",_xlfn.BETA.INV(C66,1+$B$6*($C$10-$B$10)/($D$10-$B$10),1+$B$6*($D$10-$C$10)/($D$10-$B$10),$B$10,$D$10))</f>
        <v>5046.0272637223616</v>
      </c>
      <c r="F66" s="88">
        <f t="shared" ca="1" si="1"/>
        <v>0.52061724620130889</v>
      </c>
      <c r="G66" s="89">
        <f t="shared" ca="1" si="2"/>
        <v>1.5600314907648614E-4</v>
      </c>
    </row>
    <row r="67" spans="1:7" x14ac:dyDescent="0.35">
      <c r="A67" s="84">
        <v>52</v>
      </c>
      <c r="B67" s="84">
        <f t="shared" ca="1" si="0"/>
        <v>0.59965302673559007</v>
      </c>
      <c r="C67" s="84">
        <f t="shared" ca="1" si="0"/>
        <v>0.26639952423536939</v>
      </c>
      <c r="D67" s="93" cm="1">
        <f t="array" aca="1" ref="D67" ca="1">_xlfn.SWITCH($B$4,"Normal MLE",EXP(_xlfn.NORM.INV(B67,LN($C$9),$E$9/$C$9)),"Uniforme",$B$9+($D$9-$B$9)*B67,"Triangular",IF(B67&lt;=($C$9-$B$9)/($D$9-$B$9),$B$9+SQRT(B67*($D$9-$B$9)*($C$9-$B$9)),$D$9-SQRT((1-B67)*($D$9-$B$9)*($D$9-$C$9))),"PERT",_xlfn.BETA.INV(B67,1+$B$6*($C$9-$B$9)/($D$9-$B$9),1+$B$6*($D$9-$C$9)/($D$9-$B$9),$B$9,$D$9))</f>
        <v>1.982609889450244</v>
      </c>
      <c r="E67" s="94" cm="1">
        <f t="array" aca="1" ref="E67" ca="1">_xlfn.SWITCH($B$4,"Normal MLE",EXP(_xlfn.NORM.INV(C67,LN($C$10),$E$10/$C$10)),"Uniforme",$B$10+($D$10-$B$10)*C67,"Triangular",IF(C67&lt;=($C$10-$B$10)/($D$10-$B$10),$B$10+SQRT(C67*($D$10-$B$10)*($C$10-$B$10)),$D$10-SQRT((1-C67)*($D$10-$B$10)*($D$10-$C$10))),"PERT",_xlfn.BETA.INV(C67,1+$B$6*($C$10-$B$10)/($D$10-$B$10),1+$B$6*($D$10-$C$10)/($D$10-$B$10),$B$10,$D$10))</f>
        <v>4953.8812490184318</v>
      </c>
      <c r="F67" s="88">
        <f t="shared" ca="1" si="1"/>
        <v>0.5197531953448461</v>
      </c>
      <c r="G67" s="89">
        <f t="shared" ca="1" si="2"/>
        <v>1.6858484647412319E-4</v>
      </c>
    </row>
    <row r="68" spans="1:7" x14ac:dyDescent="0.35">
      <c r="A68" s="84">
        <v>53</v>
      </c>
      <c r="B68" s="84">
        <f t="shared" ca="1" si="0"/>
        <v>0.29339262933873145</v>
      </c>
      <c r="C68" s="84">
        <f t="shared" ca="1" si="0"/>
        <v>0.31220610799112791</v>
      </c>
      <c r="D68" s="93" cm="1">
        <f t="array" aca="1" ref="D68" ca="1">_xlfn.SWITCH($B$4,"Normal MLE",EXP(_xlfn.NORM.INV(B68,LN($C$9),$E$9/$C$9)),"Uniforme",$B$9+($D$9-$B$9)*B68,"Triangular",IF(B68&lt;=($C$9-$B$9)/($D$9-$B$9),$B$9+SQRT(B68*($D$9-$B$9)*($C$9-$B$9)),$D$9-SQRT((1-B68)*($D$9-$B$9)*($D$9-$C$9))),"PERT",_xlfn.BETA.INV(B68,1+$B$6*($C$9-$B$9)/($D$9-$B$9),1+$B$6*($D$9-$C$9)/($D$9-$B$9),$B$9,$D$9))</f>
        <v>1.8745408515728021</v>
      </c>
      <c r="E68" s="94" cm="1">
        <f t="array" aca="1" ref="E68" ca="1">_xlfn.SWITCH($B$4,"Normal MLE",EXP(_xlfn.NORM.INV(C68,LN($C$10),$E$10/$C$10)),"Uniforme",$B$10+($D$10-$B$10)*C68,"Triangular",IF(C68&lt;=($C$10-$B$10)/($D$10-$B$10),$B$10+SQRT(C68*($D$10-$B$10)*($C$10-$B$10)),$D$10-SQRT((1-C68)*($D$10-$B$10)*($D$10-$C$10))),"PERT",_xlfn.BETA.INV(C68,1+$B$6*($C$10-$B$10)/($D$10-$B$10),1+$B$6*($D$10-$C$10)/($D$10-$B$10),$B$10,$D$10))</f>
        <v>4984.8988298373988</v>
      </c>
      <c r="F68" s="88">
        <f t="shared" ca="1" si="1"/>
        <v>0.51586369057226833</v>
      </c>
      <c r="G68" s="89">
        <f t="shared" ca="1" si="2"/>
        <v>1.6001864991521442E-4</v>
      </c>
    </row>
    <row r="69" spans="1:7" x14ac:dyDescent="0.35">
      <c r="A69" s="84">
        <v>54</v>
      </c>
      <c r="B69" s="84">
        <f t="shared" ca="1" si="0"/>
        <v>0.41278845147042353</v>
      </c>
      <c r="C69" s="84">
        <f t="shared" ca="1" si="0"/>
        <v>0.84127751535508111</v>
      </c>
      <c r="D69" s="93" cm="1">
        <f t="array" aca="1" ref="D69" ca="1">_xlfn.SWITCH($B$4,"Normal MLE",EXP(_xlfn.NORM.INV(B69,LN($C$9),$E$9/$C$9)),"Uniforme",$B$9+($D$9-$B$9)*B69,"Triangular",IF(B69&lt;=($C$9-$B$9)/($D$9-$B$9),$B$9+SQRT(B69*($D$9-$B$9)*($C$9-$B$9)),$D$9-SQRT((1-B69)*($D$9-$B$9)*($D$9-$C$9))),"PERT",_xlfn.BETA.INV(B69,1+$B$6*($C$9-$B$9)/($D$9-$B$9),1+$B$6*($D$9-$C$9)/($D$9-$B$9),$B$9,$D$9))</f>
        <v>1.9176833658643366</v>
      </c>
      <c r="E69" s="94" cm="1">
        <f t="array" aca="1" ref="E69" ca="1">_xlfn.SWITCH($B$4,"Normal MLE",EXP(_xlfn.NORM.INV(C69,LN($C$10),$E$10/$C$10)),"Uniforme",$B$10+($D$10-$B$10)*C69,"Triangular",IF(C69&lt;=($C$10-$B$10)/($D$10-$B$10),$B$10+SQRT(C69*($D$10-$B$10)*($C$10-$B$10)),$D$10-SQRT((1-C69)*($D$10-$B$10)*($D$10-$C$10))),"PERT",_xlfn.BETA.INV(C69,1+$B$6*($C$10-$B$10)/($D$10-$B$10),1+$B$6*($D$10-$C$10)/($D$10-$B$10),$B$10,$D$10))</f>
        <v>5342.629697143012</v>
      </c>
      <c r="F69" s="88">
        <f t="shared" ca="1" si="1"/>
        <v>0.56323454814887586</v>
      </c>
      <c r="G69" s="89">
        <f t="shared" ca="1" si="2"/>
        <v>1.5501111028832411E-4</v>
      </c>
    </row>
    <row r="70" spans="1:7" x14ac:dyDescent="0.35">
      <c r="A70" s="84">
        <v>55</v>
      </c>
      <c r="B70" s="84">
        <f t="shared" ca="1" si="0"/>
        <v>0.89422130076680828</v>
      </c>
      <c r="C70" s="84">
        <f t="shared" ca="1" si="0"/>
        <v>0.32378628144149768</v>
      </c>
      <c r="D70" s="93" cm="1">
        <f t="array" aca="1" ref="D70" ca="1">_xlfn.SWITCH($B$4,"Normal MLE",EXP(_xlfn.NORM.INV(B70,LN($C$9),$E$9/$C$9)),"Uniforme",$B$9+($D$9-$B$9)*B70,"Triangular",IF(B70&lt;=($C$9-$B$9)/($D$9-$B$9),$B$9+SQRT(B70*($D$9-$B$9)*($C$9-$B$9)),$D$9-SQRT((1-B70)*($D$9-$B$9)*($D$9-$C$9))),"PERT",_xlfn.BETA.INV(B70,1+$B$6*($C$9-$B$9)/($D$9-$B$9),1+$B$6*($D$9-$C$9)/($D$9-$B$9),$B$9,$D$9))</f>
        <v>2.1267849544438353</v>
      </c>
      <c r="E70" s="94" cm="1">
        <f t="array" aca="1" ref="E70" ca="1">_xlfn.SWITCH($B$4,"Normal MLE",EXP(_xlfn.NORM.INV(C70,LN($C$10),$E$10/$C$10)),"Uniforme",$B$10+($D$10-$B$10)*C70,"Triangular",IF(C70&lt;=($C$10-$B$10)/($D$10-$B$10),$B$10+SQRT(C70*($D$10-$B$10)*($C$10-$B$10)),$D$10-SQRT((1-C70)*($D$10-$B$10)*($D$10-$C$10))),"PERT",_xlfn.BETA.INV(C70,1+$B$6*($C$10-$B$10)/($D$10-$B$10),1+$B$6*($D$10-$C$10)/($D$10-$B$10),$B$10,$D$10))</f>
        <v>4992.4364806735939</v>
      </c>
      <c r="F70" s="88">
        <f t="shared" ca="1" si="1"/>
        <v>0.53571464181761108</v>
      </c>
      <c r="G70" s="89">
        <f t="shared" ca="1" si="2"/>
        <v>1.7778233872005081E-4</v>
      </c>
    </row>
    <row r="71" spans="1:7" x14ac:dyDescent="0.35">
      <c r="A71" s="84">
        <v>56</v>
      </c>
      <c r="B71" s="84">
        <f t="shared" ca="1" si="0"/>
        <v>0.33912458352832098</v>
      </c>
      <c r="C71" s="84">
        <f t="shared" ca="1" si="0"/>
        <v>1.7483201828188855E-2</v>
      </c>
      <c r="D71" s="93" cm="1">
        <f t="array" aca="1" ref="D71" ca="1">_xlfn.SWITCH($B$4,"Normal MLE",EXP(_xlfn.NORM.INV(B71,LN($C$9),$E$9/$C$9)),"Uniforme",$B$9+($D$9-$B$9)*B71,"Triangular",IF(B71&lt;=($C$9-$B$9)/($D$9-$B$9),$B$9+SQRT(B71*($D$9-$B$9)*($C$9-$B$9)),$D$9-SQRT((1-B71)*($D$9-$B$9)*($D$9-$C$9))),"PERT",_xlfn.BETA.INV(B71,1+$B$6*($C$9-$B$9)/($D$9-$B$9),1+$B$6*($D$9-$C$9)/($D$9-$B$9),$B$9,$D$9))</f>
        <v>1.8915999488137965</v>
      </c>
      <c r="E71" s="94" cm="1">
        <f t="array" aca="1" ref="E71" ca="1">_xlfn.SWITCH($B$4,"Normal MLE",EXP(_xlfn.NORM.INV(C71,LN($C$10),$E$10/$C$10)),"Uniforme",$B$10+($D$10-$B$10)*C71,"Triangular",IF(C71&lt;=($C$10-$B$10)/($D$10-$B$10),$B$10+SQRT(C71*($D$10-$B$10)*($C$10-$B$10)),$D$10-SQRT((1-C71)*($D$10-$B$10)*($D$10-$C$10))),"PERT",_xlfn.BETA.INV(C71,1+$B$6*($C$10-$B$10)/($D$10-$B$10),1+$B$6*($D$10-$C$10)/($D$10-$B$10),$B$10,$D$10))</f>
        <v>4623.1095433043383</v>
      </c>
      <c r="F71" s="88">
        <f t="shared" ca="1" si="1"/>
        <v>0.46745887613626291</v>
      </c>
      <c r="G71" s="89">
        <f t="shared" ca="1" si="2"/>
        <v>1.6810471439521399E-4</v>
      </c>
    </row>
    <row r="72" spans="1:7" x14ac:dyDescent="0.35">
      <c r="A72" s="84">
        <v>57</v>
      </c>
      <c r="B72" s="84">
        <f t="shared" ca="1" si="0"/>
        <v>0.98574751843552211</v>
      </c>
      <c r="C72" s="84">
        <f t="shared" ca="1" si="0"/>
        <v>0.520927780428591</v>
      </c>
      <c r="D72" s="93" cm="1">
        <f t="array" aca="1" ref="D72" ca="1">_xlfn.SWITCH($B$4,"Normal MLE",EXP(_xlfn.NORM.INV(B72,LN($C$9),$E$9/$C$9)),"Uniforme",$B$9+($D$9-$B$9)*B72,"Triangular",IF(B72&lt;=($C$9-$B$9)/($D$9-$B$9),$B$9+SQRT(B72*($D$9-$B$9)*($C$9-$B$9)),$D$9-SQRT((1-B72)*($D$9-$B$9)*($D$9-$C$9))),"PERT",_xlfn.BETA.INV(B72,1+$B$6*($C$9-$B$9)/($D$9-$B$9),1+$B$6*($D$9-$C$9)/($D$9-$B$9),$B$9,$D$9))</f>
        <v>2.2724854393028915</v>
      </c>
      <c r="E72" s="94" cm="1">
        <f t="array" aca="1" ref="E72" ca="1">_xlfn.SWITCH($B$4,"Normal MLE",EXP(_xlfn.NORM.INV(C72,LN($C$10),$E$10/$C$10)),"Uniforme",$B$10+($D$10-$B$10)*C72,"Triangular",IF(C72&lt;=($C$10-$B$10)/($D$10-$B$10),$B$10+SQRT(C72*($D$10-$B$10)*($C$10-$B$10)),$D$10-SQRT((1-C72)*($D$10-$B$10)*($D$10-$C$10))),"PERT",_xlfn.BETA.INV(C72,1+$B$6*($C$10-$B$10)/($D$10-$B$10),1+$B$6*($D$10-$C$10)/($D$10-$B$10),$B$10,$D$10))</f>
        <v>5112.2460018666088</v>
      </c>
      <c r="F72" s="88">
        <f t="shared" ca="1" si="1"/>
        <v>0.5640485415326485</v>
      </c>
      <c r="G72" s="89">
        <f t="shared" ca="1" si="2"/>
        <v>1.8349333417418321E-4</v>
      </c>
    </row>
    <row r="73" spans="1:7" x14ac:dyDescent="0.35">
      <c r="A73" s="84">
        <v>58</v>
      </c>
      <c r="B73" s="84">
        <f t="shared" ca="1" si="0"/>
        <v>0.39151180816343845</v>
      </c>
      <c r="C73" s="84">
        <f t="shared" ca="1" si="0"/>
        <v>0.29416010370583401</v>
      </c>
      <c r="D73" s="93" cm="1">
        <f t="array" aca="1" ref="D73" ca="1">_xlfn.SWITCH($B$4,"Normal MLE",EXP(_xlfn.NORM.INV(B73,LN($C$9),$E$9/$C$9)),"Uniforme",$B$9+($D$9-$B$9)*B73,"Triangular",IF(B73&lt;=($C$9-$B$9)/($D$9-$B$9),$B$9+SQRT(B73*($D$9-$B$9)*($C$9-$B$9)),$D$9-SQRT((1-B73)*($D$9-$B$9)*($D$9-$C$9))),"PERT",_xlfn.BETA.INV(B73,1+$B$6*($C$9-$B$9)/($D$9-$B$9),1+$B$6*($D$9-$C$9)/($D$9-$B$9),$B$9,$D$9))</f>
        <v>1.9102699947040436</v>
      </c>
      <c r="E73" s="94" cm="1">
        <f t="array" aca="1" ref="E73" ca="1">_xlfn.SWITCH($B$4,"Normal MLE",EXP(_xlfn.NORM.INV(C73,LN($C$10),$E$10/$C$10)),"Uniforme",$B$10+($D$10-$B$10)*C73,"Triangular",IF(C73&lt;=($C$10-$B$10)/($D$10-$B$10),$B$10+SQRT(C73*($D$10-$B$10)*($C$10-$B$10)),$D$10-SQRT((1-C73)*($D$10-$B$10)*($D$10-$C$10))),"PERT",_xlfn.BETA.INV(C73,1+$B$6*($C$10-$B$10)/($D$10-$B$10),1+$B$6*($D$10-$C$10)/($D$10-$B$10),$B$10,$D$10))</f>
        <v>4972.9285255996174</v>
      </c>
      <c r="F73" s="88">
        <f t="shared" ca="1" si="1"/>
        <v>0.51698031144549206</v>
      </c>
      <c r="G73" s="89">
        <f t="shared" ca="1" si="2"/>
        <v>1.6288777328725209E-4</v>
      </c>
    </row>
    <row r="74" spans="1:7" x14ac:dyDescent="0.35">
      <c r="A74" s="84">
        <v>59</v>
      </c>
      <c r="B74" s="84">
        <f t="shared" ca="1" si="0"/>
        <v>0.53412067237294913</v>
      </c>
      <c r="C74" s="84">
        <f t="shared" ca="1" si="0"/>
        <v>0.48492828015188627</v>
      </c>
      <c r="D74" s="93" cm="1">
        <f t="array" aca="1" ref="D74" ca="1">_xlfn.SWITCH($B$4,"Normal MLE",EXP(_xlfn.NORM.INV(B74,LN($C$9),$E$9/$C$9)),"Uniforme",$B$9+($D$9-$B$9)*B74,"Triangular",IF(B74&lt;=($C$9-$B$9)/($D$9-$B$9),$B$9+SQRT(B74*($D$9-$B$9)*($C$9-$B$9)),$D$9-SQRT((1-B74)*($D$9-$B$9)*($D$9-$C$9))),"PERT",_xlfn.BETA.INV(B74,1+$B$6*($C$9-$B$9)/($D$9-$B$9),1+$B$6*($D$9-$C$9)/($D$9-$B$9),$B$9,$D$9))</f>
        <v>1.9594561426563315</v>
      </c>
      <c r="E74" s="94" cm="1">
        <f t="array" aca="1" ref="E74" ca="1">_xlfn.SWITCH($B$4,"Normal MLE",EXP(_xlfn.NORM.INV(C74,LN($C$10),$E$10/$C$10)),"Uniforme",$B$10+($D$10-$B$10)*C74,"Triangular",IF(C74&lt;=($C$10-$B$10)/($D$10-$B$10),$B$10+SQRT(C74*($D$10-$B$10)*($C$10-$B$10)),$D$10-SQRT((1-C74)*($D$10-$B$10)*($D$10-$C$10))),"PERT",_xlfn.BETA.INV(C74,1+$B$6*($C$10-$B$10)/($D$10-$B$10),1+$B$6*($D$10-$C$10)/($D$10-$B$10),$B$10,$D$10))</f>
        <v>5090.8161768606869</v>
      </c>
      <c r="F74" s="88">
        <f t="shared" ca="1" si="1"/>
        <v>0.53609974903256197</v>
      </c>
      <c r="G74" s="89">
        <f t="shared" ca="1" si="2"/>
        <v>1.63724007122072E-4</v>
      </c>
    </row>
    <row r="75" spans="1:7" x14ac:dyDescent="0.35">
      <c r="A75" s="84">
        <v>60</v>
      </c>
      <c r="B75" s="84">
        <f t="shared" ca="1" si="0"/>
        <v>0.91207228409843266</v>
      </c>
      <c r="C75" s="84">
        <f t="shared" ca="1" si="0"/>
        <v>0.11473652377993726</v>
      </c>
      <c r="D75" s="93" cm="1">
        <f t="array" aca="1" ref="D75" ca="1">_xlfn.SWITCH($B$4,"Normal MLE",EXP(_xlfn.NORM.INV(B75,LN($C$9),$E$9/$C$9)),"Uniforme",$B$9+($D$9-$B$9)*B75,"Triangular",IF(B75&lt;=($C$9-$B$9)/($D$9-$B$9),$B$9+SQRT(B75*($D$9-$B$9)*($C$9-$B$9)),$D$9-SQRT((1-B75)*($D$9-$B$9)*($D$9-$C$9))),"PERT",_xlfn.BETA.INV(B75,1+$B$6*($C$9-$B$9)/($D$9-$B$9),1+$B$6*($D$9-$C$9)/($D$9-$B$9),$B$9,$D$9))</f>
        <v>2.1424680671029308</v>
      </c>
      <c r="E75" s="94" cm="1">
        <f t="array" aca="1" ref="E75" ca="1">_xlfn.SWITCH($B$4,"Normal MLE",EXP(_xlfn.NORM.INV(C75,LN($C$10),$E$10/$C$10)),"Uniforme",$B$10+($D$10-$B$10)*C75,"Triangular",IF(C75&lt;=($C$10-$B$10)/($D$10-$B$10),$B$10+SQRT(C75*($D$10-$B$10)*($C$10-$B$10)),$D$10-SQRT((1-C75)*($D$10-$B$10)*($D$10-$C$10))),"PERT",_xlfn.BETA.INV(C75,1+$B$6*($C$10-$B$10)/($D$10-$B$10),1+$B$6*($D$10-$C$10)/($D$10-$B$10),$B$10,$D$10))</f>
        <v>4822.4183712683398</v>
      </c>
      <c r="F75" s="88">
        <f t="shared" ca="1" si="1"/>
        <v>0.51175096493896133</v>
      </c>
      <c r="G75" s="89">
        <f t="shared" ca="1" si="2"/>
        <v>1.8362598764530476E-4</v>
      </c>
    </row>
    <row r="76" spans="1:7" x14ac:dyDescent="0.35">
      <c r="A76" s="84">
        <v>61</v>
      </c>
      <c r="B76" s="84">
        <f t="shared" ca="1" si="0"/>
        <v>0.94922556856770735</v>
      </c>
      <c r="C76" s="84">
        <f t="shared" ca="1" si="0"/>
        <v>0.37278624859822884</v>
      </c>
      <c r="D76" s="93" cm="1">
        <f t="array" aca="1" ref="D76" ca="1">_xlfn.SWITCH($B$4,"Normal MLE",EXP(_xlfn.NORM.INV(B76,LN($C$9),$E$9/$C$9)),"Uniforme",$B$9+($D$9-$B$9)*B76,"Triangular",IF(B76&lt;=($C$9-$B$9)/($D$9-$B$9),$B$9+SQRT(B76*($D$9-$B$9)*($C$9-$B$9)),$D$9-SQRT((1-B76)*($D$9-$B$9)*($D$9-$C$9))),"PERT",_xlfn.BETA.INV(B76,1+$B$6*($C$9-$B$9)/($D$9-$B$9),1+$B$6*($D$9-$C$9)/($D$9-$B$9),$B$9,$D$9))</f>
        <v>2.1857105320226795</v>
      </c>
      <c r="E76" s="94" cm="1">
        <f t="array" aca="1" ref="E76" ca="1">_xlfn.SWITCH($B$4,"Normal MLE",EXP(_xlfn.NORM.INV(C76,LN($C$10),$E$10/$C$10)),"Uniforme",$B$10+($D$10-$B$10)*C76,"Triangular",IF(C76&lt;=($C$10-$B$10)/($D$10-$B$10),$B$10+SQRT(C76*($D$10-$B$10)*($C$10-$B$10)),$D$10-SQRT((1-C76)*($D$10-$B$10)*($D$10-$C$10))),"PERT",_xlfn.BETA.INV(C76,1+$B$6*($C$10-$B$10)/($D$10-$B$10),1+$B$6*($D$10-$C$10)/($D$10-$B$10),$B$10,$D$10))</f>
        <v>5023.3499485036627</v>
      </c>
      <c r="F76" s="88">
        <f t="shared" ca="1" si="1"/>
        <v>0.54454798630555712</v>
      </c>
      <c r="G76" s="89">
        <f t="shared" ca="1" si="2"/>
        <v>1.8085434299243346E-4</v>
      </c>
    </row>
    <row r="77" spans="1:7" x14ac:dyDescent="0.35">
      <c r="A77" s="84">
        <v>62</v>
      </c>
      <c r="B77" s="84">
        <f t="shared" ca="1" si="0"/>
        <v>0.51440132307112241</v>
      </c>
      <c r="C77" s="84">
        <f t="shared" ca="1" si="0"/>
        <v>0.16996627746196569</v>
      </c>
      <c r="D77" s="93" cm="1">
        <f t="array" aca="1" ref="D77" ca="1">_xlfn.SWITCH($B$4,"Normal MLE",EXP(_xlfn.NORM.INV(B77,LN($C$9),$E$9/$C$9)),"Uniforme",$B$9+($D$9-$B$9)*B77,"Triangular",IF(B77&lt;=($C$9-$B$9)/($D$9-$B$9),$B$9+SQRT(B77*($D$9-$B$9)*($C$9-$B$9)),$D$9-SQRT((1-B77)*($D$9-$B$9)*($D$9-$C$9))),"PERT",_xlfn.BETA.INV(B77,1+$B$6*($C$9-$B$9)/($D$9-$B$9),1+$B$6*($D$9-$C$9)/($D$9-$B$9),$B$9,$D$9))</f>
        <v>1.9526342871287106</v>
      </c>
      <c r="E77" s="94" cm="1">
        <f t="array" aca="1" ref="E77" ca="1">_xlfn.SWITCH($B$4,"Normal MLE",EXP(_xlfn.NORM.INV(C77,LN($C$10),$E$10/$C$10)),"Uniforme",$B$10+($D$10-$B$10)*C77,"Triangular",IF(C77&lt;=($C$10-$B$10)/($D$10-$B$10),$B$10+SQRT(C77*($D$10-$B$10)*($C$10-$B$10)),$D$10-SQRT((1-C77)*($D$10-$B$10)*($D$10-$C$10))),"PERT",_xlfn.BETA.INV(C77,1+$B$6*($C$10-$B$10)/($D$10-$B$10),1+$B$6*($D$10-$C$10)/($D$10-$B$10),$B$10,$D$10))</f>
        <v>4878.2619642293157</v>
      </c>
      <c r="F77" s="88">
        <f t="shared" ca="1" si="1"/>
        <v>0.50727993571757068</v>
      </c>
      <c r="G77" s="89">
        <f t="shared" ca="1" si="2"/>
        <v>1.6806664013316352E-4</v>
      </c>
    </row>
    <row r="78" spans="1:7" x14ac:dyDescent="0.35">
      <c r="A78" s="84">
        <v>63</v>
      </c>
      <c r="B78" s="84">
        <f t="shared" ca="1" si="0"/>
        <v>0.78687469085424711</v>
      </c>
      <c r="C78" s="84">
        <f t="shared" ca="1" si="0"/>
        <v>0.5387661967537235</v>
      </c>
      <c r="D78" s="93" cm="1">
        <f t="array" aca="1" ref="D78" ca="1">_xlfn.SWITCH($B$4,"Normal MLE",EXP(_xlfn.NORM.INV(B78,LN($C$9),$E$9/$C$9)),"Uniforme",$B$9+($D$9-$B$9)*B78,"Triangular",IF(B78&lt;=($C$9-$B$9)/($D$9-$B$9),$B$9+SQRT(B78*($D$9-$B$9)*($C$9-$B$9)),$D$9-SQRT((1-B78)*($D$9-$B$9)*($D$9-$C$9))),"PERT",_xlfn.BETA.INV(B78,1+$B$6*($C$9-$B$9)/($D$9-$B$9),1+$B$6*($D$9-$C$9)/($D$9-$B$9),$B$9,$D$9))</f>
        <v>2.0599139146300751</v>
      </c>
      <c r="E78" s="94" cm="1">
        <f t="array" aca="1" ref="E78" ca="1">_xlfn.SWITCH($B$4,"Normal MLE",EXP(_xlfn.NORM.INV(C78,LN($C$10),$E$10/$C$10)),"Uniforme",$B$10+($D$10-$B$10)*C78,"Triangular",IF(C78&lt;=($C$10-$B$10)/($D$10-$B$10),$B$10+SQRT(C78*($D$10-$B$10)*($C$10-$B$10)),$D$10-SQRT((1-C78)*($D$10-$B$10)*($D$10-$C$10))),"PERT",_xlfn.BETA.INV(C78,1+$B$6*($C$10-$B$10)/($D$10-$B$10),1+$B$6*($D$10-$C$10)/($D$10-$B$10),$B$10,$D$10))</f>
        <v>5122.9252055979005</v>
      </c>
      <c r="F78" s="88">
        <f t="shared" ca="1" si="1"/>
        <v>0.54843663733384596</v>
      </c>
      <c r="G78" s="89">
        <f t="shared" ca="1" si="2"/>
        <v>1.6965288937908487E-4</v>
      </c>
    </row>
    <row r="79" spans="1:7" x14ac:dyDescent="0.35">
      <c r="A79" s="84">
        <v>64</v>
      </c>
      <c r="B79" s="84">
        <f t="shared" ca="1" si="0"/>
        <v>0.70643152229689565</v>
      </c>
      <c r="C79" s="84">
        <f t="shared" ca="1" si="0"/>
        <v>8.9613961185194491E-2</v>
      </c>
      <c r="D79" s="93" cm="1">
        <f t="array" aca="1" ref="D79" ca="1">_xlfn.SWITCH($B$4,"Normal MLE",EXP(_xlfn.NORM.INV(B79,LN($C$9),$E$9/$C$9)),"Uniforme",$B$9+($D$9-$B$9)*B79,"Triangular",IF(B79&lt;=($C$9-$B$9)/($D$9-$B$9),$B$9+SQRT(B79*($D$9-$B$9)*($C$9-$B$9)),$D$9-SQRT((1-B79)*($D$9-$B$9)*($D$9-$C$9))),"PERT",_xlfn.BETA.INV(B79,1+$B$6*($C$9-$B$9)/($D$9-$B$9),1+$B$6*($D$9-$C$9)/($D$9-$B$9),$B$9,$D$9))</f>
        <v>2.0235913168944637</v>
      </c>
      <c r="E79" s="94" cm="1">
        <f t="array" aca="1" ref="E79" ca="1">_xlfn.SWITCH($B$4,"Normal MLE",EXP(_xlfn.NORM.INV(C79,LN($C$10),$E$10/$C$10)),"Uniforme",$B$10+($D$10-$B$10)*C79,"Triangular",IF(C79&lt;=($C$10-$B$10)/($D$10-$B$10),$B$10+SQRT(C79*($D$10-$B$10)*($C$10-$B$10)),$D$10-SQRT((1-C79)*($D$10-$B$10)*($D$10-$C$10))),"PERT",_xlfn.BETA.INV(C79,1+$B$6*($C$10-$B$10)/($D$10-$B$10),1+$B$6*($D$10-$C$10)/($D$10-$B$10),$B$10,$D$10))</f>
        <v>4790.7871021092351</v>
      </c>
      <c r="F79" s="88">
        <f t="shared" ca="1" si="1"/>
        <v>0.49949516491556756</v>
      </c>
      <c r="G79" s="89">
        <f t="shared" ca="1" si="2"/>
        <v>1.7540906668075238E-4</v>
      </c>
    </row>
    <row r="80" spans="1:7" x14ac:dyDescent="0.35">
      <c r="A80" s="84">
        <v>65</v>
      </c>
      <c r="B80" s="84">
        <f t="shared" ca="1" si="0"/>
        <v>9.5888329253893456E-2</v>
      </c>
      <c r="C80" s="84">
        <f t="shared" ca="1" si="0"/>
        <v>9.3012887343325135E-2</v>
      </c>
      <c r="D80" s="93" cm="1">
        <f t="array" aca="1" ref="D80" ca="1">_xlfn.SWITCH($B$4,"Normal MLE",EXP(_xlfn.NORM.INV(B80,LN($C$9),$E$9/$C$9)),"Uniforme",$B$9+($D$9-$B$9)*B80,"Triangular",IF(B80&lt;=($C$9-$B$9)/($D$9-$B$9),$B$9+SQRT(B80*($D$9-$B$9)*($C$9-$B$9)),$D$9-SQRT((1-B80)*($D$9-$B$9)*($D$9-$C$9))),"PERT",_xlfn.BETA.INV(B80,1+$B$6*($C$9-$B$9)/($D$9-$B$9),1+$B$6*($D$9-$C$9)/($D$9-$B$9),$B$9,$D$9))</f>
        <v>1.7766246855120398</v>
      </c>
      <c r="E80" s="94" cm="1">
        <f t="array" aca="1" ref="E80" ca="1">_xlfn.SWITCH($B$4,"Normal MLE",EXP(_xlfn.NORM.INV(C80,LN($C$10),$E$10/$C$10)),"Uniforme",$B$10+($D$10-$B$10)*C80,"Triangular",IF(C80&lt;=($C$10-$B$10)/($D$10-$B$10),$B$10+SQRT(C80*($D$10-$B$10)*($C$10-$B$10)),$D$10-SQRT((1-C80)*($D$10-$B$10)*($D$10-$C$10))),"PERT",_xlfn.BETA.INV(C80,1+$B$6*($C$10-$B$10)/($D$10-$B$10),1+$B$6*($D$10-$C$10)/($D$10-$B$10),$B$10,$D$10))</f>
        <v>4795.4059666687772</v>
      </c>
      <c r="F80" s="88">
        <f t="shared" ca="1" si="1"/>
        <v>0.48454651981436603</v>
      </c>
      <c r="G80" s="89">
        <f t="shared" ca="1" si="2"/>
        <v>1.5593178371549977E-4</v>
      </c>
    </row>
    <row r="81" spans="1:7" x14ac:dyDescent="0.35">
      <c r="A81" s="84">
        <v>66</v>
      </c>
      <c r="B81" s="84">
        <f t="shared" ref="B81:C144" ca="1" si="3">RAND()</f>
        <v>0.15834612385431768</v>
      </c>
      <c r="C81" s="84">
        <f t="shared" ca="1" si="3"/>
        <v>0.6838974817457627</v>
      </c>
      <c r="D81" s="93" cm="1">
        <f t="array" aca="1" ref="D81" ca="1">_xlfn.SWITCH($B$4,"Normal MLE",EXP(_xlfn.NORM.INV(B81,LN($C$9),$E$9/$C$9)),"Uniforme",$B$9+($D$9-$B$9)*B81,"Triangular",IF(B81&lt;=($C$9-$B$9)/($D$9-$B$9),$B$9+SQRT(B81*($D$9-$B$9)*($C$9-$B$9)),$D$9-SQRT((1-B81)*($D$9-$B$9)*($D$9-$C$9))),"PERT",_xlfn.BETA.INV(B81,1+$B$6*($C$9-$B$9)/($D$9-$B$9),1+$B$6*($D$9-$C$9)/($D$9-$B$9),$B$9,$D$9))</f>
        <v>1.8150758759390722</v>
      </c>
      <c r="E81" s="94" cm="1">
        <f t="array" aca="1" ref="E81" ca="1">_xlfn.SWITCH($B$4,"Normal MLE",EXP(_xlfn.NORM.INV(C81,LN($C$10),$E$10/$C$10)),"Uniforme",$B$10+($D$10-$B$10)*C81,"Triangular",IF(C81&lt;=($C$10-$B$10)/($D$10-$B$10),$B$10+SQRT(C81*($D$10-$B$10)*($C$10-$B$10)),$D$10-SQRT((1-C81)*($D$10-$B$10)*($D$10-$C$10))),"PERT",_xlfn.BETA.INV(C81,1+$B$6*($C$10-$B$10)/($D$10-$B$10),1+$B$6*($D$10-$C$10)/($D$10-$B$10),$B$10,$D$10))</f>
        <v>5214.6351166629402</v>
      </c>
      <c r="F81" s="88">
        <f t="shared" ref="F81:F144" ca="1" si="4">EXP(-POWER($B$12/E81,D81))</f>
        <v>0.53903655386801919</v>
      </c>
      <c r="G81" s="89">
        <f t="shared" ref="G81:G144" ca="1" si="5">(D81/E81)*POWER($B$12/E81,D81-1)*EXP(-POWER($B$12/E81,D81))</f>
        <v>1.5115472682383289E-4</v>
      </c>
    </row>
    <row r="82" spans="1:7" x14ac:dyDescent="0.35">
      <c r="A82" s="84">
        <v>67</v>
      </c>
      <c r="B82" s="84">
        <f t="shared" ca="1" si="3"/>
        <v>0.61055224705545463</v>
      </c>
      <c r="C82" s="84">
        <f t="shared" ca="1" si="3"/>
        <v>0.84648905146364462</v>
      </c>
      <c r="D82" s="93" cm="1">
        <f t="array" aca="1" ref="D82" ca="1">_xlfn.SWITCH($B$4,"Normal MLE",EXP(_xlfn.NORM.INV(B82,LN($C$9),$E$9/$C$9)),"Uniforme",$B$9+($D$9-$B$9)*B82,"Triangular",IF(B82&lt;=($C$9-$B$9)/($D$9-$B$9),$B$9+SQRT(B82*($D$9-$B$9)*($C$9-$B$9)),$D$9-SQRT((1-B82)*($D$9-$B$9)*($D$9-$C$9))),"PERT",_xlfn.BETA.INV(B82,1+$B$6*($C$9-$B$9)/($D$9-$B$9),1+$B$6*($D$9-$C$9)/($D$9-$B$9),$B$9,$D$9))</f>
        <v>1.9865662527655599</v>
      </c>
      <c r="E82" s="94" cm="1">
        <f t="array" aca="1" ref="E82" ca="1">_xlfn.SWITCH($B$4,"Normal MLE",EXP(_xlfn.NORM.INV(C82,LN($C$10),$E$10/$C$10)),"Uniforme",$B$10+($D$10-$B$10)*C82,"Triangular",IF(C82&lt;=($C$10-$B$10)/($D$10-$B$10),$B$10+SQRT(C82*($D$10-$B$10)*($C$10-$B$10)),$D$10-SQRT((1-C82)*($D$10-$B$10)*($D$10-$C$10))),"PERT",_xlfn.BETA.INV(C82,1+$B$6*($C$10-$B$10)/($D$10-$B$10),1+$B$6*($D$10-$C$10)/($D$10-$B$10),$B$10,$D$10))</f>
        <v>5348.0444891240722</v>
      </c>
      <c r="F82" s="88">
        <f t="shared" ca="1" si="4"/>
        <v>0.57029783156390235</v>
      </c>
      <c r="G82" s="89">
        <f t="shared" ca="1" si="5"/>
        <v>1.5906301432952867E-4</v>
      </c>
    </row>
    <row r="83" spans="1:7" x14ac:dyDescent="0.35">
      <c r="A83" s="84">
        <v>68</v>
      </c>
      <c r="B83" s="84">
        <f t="shared" ca="1" si="3"/>
        <v>0.7142968812298871</v>
      </c>
      <c r="C83" s="84">
        <f t="shared" ca="1" si="3"/>
        <v>0.30010959742906573</v>
      </c>
      <c r="D83" s="93" cm="1">
        <f t="array" aca="1" ref="D83" ca="1">_xlfn.SWITCH($B$4,"Normal MLE",EXP(_xlfn.NORM.INV(B83,LN($C$9),$E$9/$C$9)),"Uniforme",$B$9+($D$9-$B$9)*B83,"Triangular",IF(B83&lt;=($C$9-$B$9)/($D$9-$B$9),$B$9+SQRT(B83*($D$9-$B$9)*($C$9-$B$9)),$D$9-SQRT((1-B83)*($D$9-$B$9)*($D$9-$C$9))),"PERT",_xlfn.BETA.INV(B83,1+$B$6*($C$9-$B$9)/($D$9-$B$9),1+$B$6*($D$9-$C$9)/($D$9-$B$9),$B$9,$D$9))</f>
        <v>2.0268703453398547</v>
      </c>
      <c r="E83" s="94" cm="1">
        <f t="array" aca="1" ref="E83" ca="1">_xlfn.SWITCH($B$4,"Normal MLE",EXP(_xlfn.NORM.INV(C83,LN($C$10),$E$10/$C$10)),"Uniforme",$B$10+($D$10-$B$10)*C83,"Triangular",IF(C83&lt;=($C$10-$B$10)/($D$10-$B$10),$B$10+SQRT(C83*($D$10-$B$10)*($C$10-$B$10)),$D$10-SQRT((1-C83)*($D$10-$B$10)*($D$10-$C$10))),"PERT",_xlfn.BETA.INV(C83,1+$B$6*($C$10-$B$10)/($D$10-$B$10),1+$B$6*($D$10-$C$10)/($D$10-$B$10),$B$10,$D$10))</f>
        <v>4976.9072843319755</v>
      </c>
      <c r="F83" s="88">
        <f t="shared" ca="1" si="4"/>
        <v>0.52614875135348016</v>
      </c>
      <c r="G83" s="89">
        <f t="shared" ca="1" si="5"/>
        <v>1.7120853835197864E-4</v>
      </c>
    </row>
    <row r="84" spans="1:7" x14ac:dyDescent="0.35">
      <c r="A84" s="84">
        <v>69</v>
      </c>
      <c r="B84" s="84">
        <f t="shared" ca="1" si="3"/>
        <v>0.86215268874138185</v>
      </c>
      <c r="C84" s="84">
        <f t="shared" ca="1" si="3"/>
        <v>0.23189381369940121</v>
      </c>
      <c r="D84" s="93" cm="1">
        <f t="array" aca="1" ref="D84" ca="1">_xlfn.SWITCH($B$4,"Normal MLE",EXP(_xlfn.NORM.INV(B84,LN($C$9),$E$9/$C$9)),"Uniforme",$B$9+($D$9-$B$9)*B84,"Triangular",IF(B84&lt;=($C$9-$B$9)/($D$9-$B$9),$B$9+SQRT(B84*($D$9-$B$9)*($C$9-$B$9)),$D$9-SQRT((1-B84)*($D$9-$B$9)*($D$9-$C$9))),"PERT",_xlfn.BETA.INV(B84,1+$B$6*($C$9-$B$9)/($D$9-$B$9),1+$B$6*($D$9-$C$9)/($D$9-$B$9),$B$9,$D$9))</f>
        <v>2.1030674259459268</v>
      </c>
      <c r="E84" s="94" cm="1">
        <f t="array" aca="1" ref="E84" ca="1">_xlfn.SWITCH($B$4,"Normal MLE",EXP(_xlfn.NORM.INV(C84,LN($C$10),$E$10/$C$10)),"Uniforme",$B$10+($D$10-$B$10)*C84,"Triangular",IF(C84&lt;=($C$10-$B$10)/($D$10-$B$10),$B$10+SQRT(C84*($D$10-$B$10)*($C$10-$B$10)),$D$10-SQRT((1-C84)*($D$10-$B$10)*($D$10-$C$10))),"PERT",_xlfn.BETA.INV(C84,1+$B$6*($C$10-$B$10)/($D$10-$B$10),1+$B$6*($D$10-$C$10)/($D$10-$B$10),$B$10,$D$10))</f>
        <v>4928.8439007031411</v>
      </c>
      <c r="F84" s="88">
        <f t="shared" ca="1" si="4"/>
        <v>0.52487799863321449</v>
      </c>
      <c r="G84" s="89">
        <f t="shared" ca="1" si="5"/>
        <v>1.778831255631544E-4</v>
      </c>
    </row>
    <row r="85" spans="1:7" x14ac:dyDescent="0.35">
      <c r="A85" s="84">
        <v>70</v>
      </c>
      <c r="B85" s="84">
        <f t="shared" ca="1" si="3"/>
        <v>0.40480471513220773</v>
      </c>
      <c r="C85" s="84">
        <f t="shared" ca="1" si="3"/>
        <v>0.85445407816325447</v>
      </c>
      <c r="D85" s="93" cm="1">
        <f t="array" aca="1" ref="D85" ca="1">_xlfn.SWITCH($B$4,"Normal MLE",EXP(_xlfn.NORM.INV(B85,LN($C$9),$E$9/$C$9)),"Uniforme",$B$9+($D$9-$B$9)*B85,"Triangular",IF(B85&lt;=($C$9-$B$9)/($D$9-$B$9),$B$9+SQRT(B85*($D$9-$B$9)*($C$9-$B$9)),$D$9-SQRT((1-B85)*($D$9-$B$9)*($D$9-$C$9))),"PERT",_xlfn.BETA.INV(B85,1+$B$6*($C$9-$B$9)/($D$9-$B$9),1+$B$6*($D$9-$C$9)/($D$9-$B$9),$B$9,$D$9))</f>
        <v>1.9149099735557469</v>
      </c>
      <c r="E85" s="94" cm="1">
        <f t="array" aca="1" ref="E85" ca="1">_xlfn.SWITCH($B$4,"Normal MLE",EXP(_xlfn.NORM.INV(C85,LN($C$10),$E$10/$C$10)),"Uniforme",$B$10+($D$10-$B$10)*C85,"Triangular",IF(C85&lt;=($C$10-$B$10)/($D$10-$B$10),$B$10+SQRT(C85*($D$10-$B$10)*($C$10-$B$10)),$D$10-SQRT((1-C85)*($D$10-$B$10)*($D$10-$C$10))),"PERT",_xlfn.BETA.INV(C85,1+$B$6*($C$10-$B$10)/($D$10-$B$10),1+$B$6*($D$10-$C$10)/($D$10-$B$10),$B$10,$D$10))</f>
        <v>5356.5721288950535</v>
      </c>
      <c r="F85" s="88">
        <f t="shared" ca="1" si="4"/>
        <v>0.56458746527515247</v>
      </c>
      <c r="G85" s="89">
        <f t="shared" ca="1" si="5"/>
        <v>1.545102800479541E-4</v>
      </c>
    </row>
    <row r="86" spans="1:7" x14ac:dyDescent="0.35">
      <c r="A86" s="84">
        <v>71</v>
      </c>
      <c r="B86" s="84">
        <f t="shared" ca="1" si="3"/>
        <v>0.42641149401024514</v>
      </c>
      <c r="C86" s="84">
        <f t="shared" ca="1" si="3"/>
        <v>0.99235156012393655</v>
      </c>
      <c r="D86" s="93" cm="1">
        <f t="array" aca="1" ref="D86" ca="1">_xlfn.SWITCH($B$4,"Normal MLE",EXP(_xlfn.NORM.INV(B86,LN($C$9),$E$9/$C$9)),"Uniforme",$B$9+($D$9-$B$9)*B86,"Triangular",IF(B86&lt;=($C$9-$B$9)/($D$9-$B$9),$B$9+SQRT(B86*($D$9-$B$9)*($C$9-$B$9)),$D$9-SQRT((1-B86)*($D$9-$B$9)*($D$9-$C$9))),"PERT",_xlfn.BETA.INV(B86,1+$B$6*($C$9-$B$9)/($D$9-$B$9),1+$B$6*($D$9-$C$9)/($D$9-$B$9),$B$9,$D$9))</f>
        <v>1.9223967387884149</v>
      </c>
      <c r="E86" s="94" cm="1">
        <f t="array" aca="1" ref="E86" ca="1">_xlfn.SWITCH($B$4,"Normal MLE",EXP(_xlfn.NORM.INV(C86,LN($C$10),$E$10/$C$10)),"Uniforme",$B$10+($D$10-$B$10)*C86,"Triangular",IF(C86&lt;=($C$10-$B$10)/($D$10-$B$10),$B$10+SQRT(C86*($D$10-$B$10)*($C$10-$B$10)),$D$10-SQRT((1-C86)*($D$10-$B$10)*($D$10-$C$10))),"PERT",_xlfn.BETA.INV(C86,1+$B$6*($C$10-$B$10)/($D$10-$B$10),1+$B$6*($D$10-$C$10)/($D$10-$B$10),$B$10,$D$10))</f>
        <v>5709.0634438847192</v>
      </c>
      <c r="F86" s="88">
        <f t="shared" ca="1" si="4"/>
        <v>0.60372382018009474</v>
      </c>
      <c r="G86" s="89">
        <f t="shared" ca="1" si="5"/>
        <v>1.4642042654580966E-4</v>
      </c>
    </row>
    <row r="87" spans="1:7" x14ac:dyDescent="0.35">
      <c r="A87" s="84">
        <v>72</v>
      </c>
      <c r="B87" s="84">
        <f t="shared" ca="1" si="3"/>
        <v>0.27287003701502144</v>
      </c>
      <c r="C87" s="84">
        <f t="shared" ca="1" si="3"/>
        <v>0.12839688226609469</v>
      </c>
      <c r="D87" s="93" cm="1">
        <f t="array" aca="1" ref="D87" ca="1">_xlfn.SWITCH($B$4,"Normal MLE",EXP(_xlfn.NORM.INV(B87,LN($C$9),$E$9/$C$9)),"Uniforme",$B$9+($D$9-$B$9)*B87,"Triangular",IF(B87&lt;=($C$9-$B$9)/($D$9-$B$9),$B$9+SQRT(B87*($D$9-$B$9)*($C$9-$B$9)),$D$9-SQRT((1-B87)*($D$9-$B$9)*($D$9-$C$9))),"PERT",_xlfn.BETA.INV(B87,1+$B$6*($C$9-$B$9)/($D$9-$B$9),1+$B$6*($D$9-$C$9)/($D$9-$B$9),$B$9,$D$9))</f>
        <v>1.8665511733094706</v>
      </c>
      <c r="E87" s="94" cm="1">
        <f t="array" aca="1" ref="E87" ca="1">_xlfn.SWITCH($B$4,"Normal MLE",EXP(_xlfn.NORM.INV(C87,LN($C$10),$E$10/$C$10)),"Uniforme",$B$10+($D$10-$B$10)*C87,"Triangular",IF(C87&lt;=($C$10-$B$10)/($D$10-$B$10),$B$10+SQRT(C87*($D$10-$B$10)*($C$10-$B$10)),$D$10-SQRT((1-C87)*($D$10-$B$10)*($D$10-$C$10))),"PERT",_xlfn.BETA.INV(C87,1+$B$6*($C$10-$B$10)/($D$10-$B$10),1+$B$6*($D$10-$C$10)/($D$10-$B$10),$B$10,$D$10))</f>
        <v>4837.6382296786333</v>
      </c>
      <c r="F87" s="88">
        <f t="shared" ca="1" si="4"/>
        <v>0.49596523547805843</v>
      </c>
      <c r="G87" s="89">
        <f t="shared" ca="1" si="5"/>
        <v>1.6229445272079626E-4</v>
      </c>
    </row>
    <row r="88" spans="1:7" x14ac:dyDescent="0.35">
      <c r="A88" s="84">
        <v>73</v>
      </c>
      <c r="B88" s="84">
        <f t="shared" ca="1" si="3"/>
        <v>0.29725770154102438</v>
      </c>
      <c r="C88" s="84">
        <f t="shared" ca="1" si="3"/>
        <v>0.24200701733376007</v>
      </c>
      <c r="D88" s="93" cm="1">
        <f t="array" aca="1" ref="D88" ca="1">_xlfn.SWITCH($B$4,"Normal MLE",EXP(_xlfn.NORM.INV(B88,LN($C$9),$E$9/$C$9)),"Uniforme",$B$9+($D$9-$B$9)*B88,"Triangular",IF(B88&lt;=($C$9-$B$9)/($D$9-$B$9),$B$9+SQRT(B88*($D$9-$B$9)*($C$9-$B$9)),$D$9-SQRT((1-B88)*($D$9-$B$9)*($D$9-$C$9))),"PERT",_xlfn.BETA.INV(B88,1+$B$6*($C$9-$B$9)/($D$9-$B$9),1+$B$6*($D$9-$C$9)/($D$9-$B$9),$B$9,$D$9))</f>
        <v>1.8760194056313213</v>
      </c>
      <c r="E88" s="94" cm="1">
        <f t="array" aca="1" ref="E88" ca="1">_xlfn.SWITCH($B$4,"Normal MLE",EXP(_xlfn.NORM.INV(C88,LN($C$10),$E$10/$C$10)),"Uniforme",$B$10+($D$10-$B$10)*C88,"Triangular",IF(C88&lt;=($C$10-$B$10)/($D$10-$B$10),$B$10+SQRT(C88*($D$10-$B$10)*($C$10-$B$10)),$D$10-SQRT((1-C88)*($D$10-$B$10)*($D$10-$C$10))),"PERT",_xlfn.BETA.INV(C88,1+$B$6*($C$10-$B$10)/($D$10-$B$10),1+$B$6*($D$10-$C$10)/($D$10-$B$10),$B$10,$D$10))</f>
        <v>4936.3641944116616</v>
      </c>
      <c r="F88" s="88">
        <f t="shared" ca="1" si="4"/>
        <v>0.50968878585230382</v>
      </c>
      <c r="G88" s="89">
        <f t="shared" ca="1" si="5"/>
        <v>1.6110658409061192E-4</v>
      </c>
    </row>
    <row r="89" spans="1:7" x14ac:dyDescent="0.35">
      <c r="A89" s="84">
        <v>74</v>
      </c>
      <c r="B89" s="84">
        <f t="shared" ca="1" si="3"/>
        <v>0.88461517705206372</v>
      </c>
      <c r="C89" s="84">
        <f t="shared" ca="1" si="3"/>
        <v>0.99573950703208092</v>
      </c>
      <c r="D89" s="93" cm="1">
        <f t="array" aca="1" ref="D89" ca="1">_xlfn.SWITCH($B$4,"Normal MLE",EXP(_xlfn.NORM.INV(B89,LN($C$9),$E$9/$C$9)),"Uniforme",$B$9+($D$9-$B$9)*B89,"Triangular",IF(B89&lt;=($C$9-$B$9)/($D$9-$B$9),$B$9+SQRT(B89*($D$9-$B$9)*($C$9-$B$9)),$D$9-SQRT((1-B89)*($D$9-$B$9)*($D$9-$C$9))),"PERT",_xlfn.BETA.INV(B89,1+$B$6*($C$9-$B$9)/($D$9-$B$9),1+$B$6*($D$9-$C$9)/($D$9-$B$9),$B$9,$D$9))</f>
        <v>2.1191730962875557</v>
      </c>
      <c r="E89" s="94" cm="1">
        <f t="array" aca="1" ref="E89" ca="1">_xlfn.SWITCH($B$4,"Normal MLE",EXP(_xlfn.NORM.INV(C89,LN($C$10),$E$10/$C$10)),"Uniforme",$B$10+($D$10-$B$10)*C89,"Triangular",IF(C89&lt;=($C$10-$B$10)/($D$10-$B$10),$B$10+SQRT(C89*($D$10-$B$10)*($C$10-$B$10)),$D$10-SQRT((1-C89)*($D$10-$B$10)*($D$10-$C$10))),"PERT",_xlfn.BETA.INV(C89,1+$B$6*($C$10-$B$10)/($D$10-$B$10),1+$B$6*($D$10-$C$10)/($D$10-$B$10),$B$10,$D$10))</f>
        <v>5763.8996768320867</v>
      </c>
      <c r="F89" s="88">
        <f t="shared" ca="1" si="4"/>
        <v>0.63060002128567971</v>
      </c>
      <c r="G89" s="89">
        <f t="shared" ca="1" si="5"/>
        <v>1.5404230229653211E-4</v>
      </c>
    </row>
    <row r="90" spans="1:7" x14ac:dyDescent="0.35">
      <c r="A90" s="84">
        <v>75</v>
      </c>
      <c r="B90" s="84">
        <f t="shared" ca="1" si="3"/>
        <v>0.4227891929031754</v>
      </c>
      <c r="C90" s="84">
        <f t="shared" ca="1" si="3"/>
        <v>0.16513075847996939</v>
      </c>
      <c r="D90" s="93" cm="1">
        <f t="array" aca="1" ref="D90" ca="1">_xlfn.SWITCH($B$4,"Normal MLE",EXP(_xlfn.NORM.INV(B90,LN($C$9),$E$9/$C$9)),"Uniforme",$B$9+($D$9-$B$9)*B90,"Triangular",IF(B90&lt;=($C$9-$B$9)/($D$9-$B$9),$B$9+SQRT(B90*($D$9-$B$9)*($C$9-$B$9)),$D$9-SQRT((1-B90)*($D$9-$B$9)*($D$9-$C$9))),"PERT",_xlfn.BETA.INV(B90,1+$B$6*($C$9-$B$9)/($D$9-$B$9),1+$B$6*($D$9-$C$9)/($D$9-$B$9),$B$9,$D$9))</f>
        <v>1.9211455552606518</v>
      </c>
      <c r="E90" s="94" cm="1">
        <f t="array" aca="1" ref="E90" ca="1">_xlfn.SWITCH($B$4,"Normal MLE",EXP(_xlfn.NORM.INV(C90,LN($C$10),$E$10/$C$10)),"Uniforme",$B$10+($D$10-$B$10)*C90,"Triangular",IF(C90&lt;=($C$10-$B$10)/($D$10-$B$10),$B$10+SQRT(C90*($D$10-$B$10)*($C$10-$B$10)),$D$10-SQRT((1-C90)*($D$10-$B$10)*($D$10-$C$10))),"PERT",_xlfn.BETA.INV(C90,1+$B$6*($C$10-$B$10)/($D$10-$B$10),1+$B$6*($D$10-$C$10)/($D$10-$B$10),$B$10,$D$10))</f>
        <v>4873.8852614951402</v>
      </c>
      <c r="F90" s="88">
        <f t="shared" ca="1" si="4"/>
        <v>0.50453083550824329</v>
      </c>
      <c r="G90" s="89">
        <f t="shared" ca="1" si="5"/>
        <v>1.6577700623813995E-4</v>
      </c>
    </row>
    <row r="91" spans="1:7" x14ac:dyDescent="0.35">
      <c r="A91" s="84">
        <v>76</v>
      </c>
      <c r="B91" s="84">
        <f t="shared" ca="1" si="3"/>
        <v>1.0024771340358063E-2</v>
      </c>
      <c r="C91" s="84">
        <f t="shared" ca="1" si="3"/>
        <v>0.40442587235450966</v>
      </c>
      <c r="D91" s="93" cm="1">
        <f t="array" aca="1" ref="D91" ca="1">_xlfn.SWITCH($B$4,"Normal MLE",EXP(_xlfn.NORM.INV(B91,LN($C$9),$E$9/$C$9)),"Uniforme",$B$9+($D$9-$B$9)*B91,"Triangular",IF(B91&lt;=($C$9-$B$9)/($D$9-$B$9),$B$9+SQRT(B91*($D$9-$B$9)*($C$9-$B$9)),$D$9-SQRT((1-B91)*($D$9-$B$9)*($D$9-$C$9))),"PERT",_xlfn.BETA.INV(B91,1+$B$6*($C$9-$B$9)/($D$9-$B$9),1+$B$6*($D$9-$C$9)/($D$9-$B$9),$B$9,$D$9))</f>
        <v>1.6534796596896684</v>
      </c>
      <c r="E91" s="94" cm="1">
        <f t="array" aca="1" ref="E91" ca="1">_xlfn.SWITCH($B$4,"Normal MLE",EXP(_xlfn.NORM.INV(C91,LN($C$10),$E$10/$C$10)),"Uniforme",$B$10+($D$10-$B$10)*C91,"Triangular",IF(C91&lt;=($C$10-$B$10)/($D$10-$B$10),$B$10+SQRT(C91*($D$10-$B$10)*($C$10-$B$10)),$D$10-SQRT((1-C91)*($D$10-$B$10)*($D$10-$C$10))),"PERT",_xlfn.BETA.INV(C91,1+$B$6*($C$10-$B$10)/($D$10-$B$10),1+$B$6*($D$10-$C$10)/($D$10-$B$10),$B$10,$D$10))</f>
        <v>5042.6897098799755</v>
      </c>
      <c r="F91" s="88">
        <f t="shared" ca="1" si="4"/>
        <v>0.50570651982051684</v>
      </c>
      <c r="G91" s="89">
        <f t="shared" ca="1" si="5"/>
        <v>1.4252584909437576E-4</v>
      </c>
    </row>
    <row r="92" spans="1:7" x14ac:dyDescent="0.35">
      <c r="A92" s="84">
        <v>77</v>
      </c>
      <c r="B92" s="84">
        <f t="shared" ca="1" si="3"/>
        <v>0.17995122482374126</v>
      </c>
      <c r="C92" s="84">
        <f t="shared" ca="1" si="3"/>
        <v>0.41413478469457887</v>
      </c>
      <c r="D92" s="93" cm="1">
        <f t="array" aca="1" ref="D92" ca="1">_xlfn.SWITCH($B$4,"Normal MLE",EXP(_xlfn.NORM.INV(B92,LN($C$9),$E$9/$C$9)),"Uniforme",$B$9+($D$9-$B$9)*B92,"Triangular",IF(B92&lt;=($C$9-$B$9)/($D$9-$B$9),$B$9+SQRT(B92*($D$9-$B$9)*($C$9-$B$9)),$D$9-SQRT((1-B92)*($D$9-$B$9)*($D$9-$C$9))),"PERT",_xlfn.BETA.INV(B92,1+$B$6*($C$9-$B$9)/($D$9-$B$9),1+$B$6*($D$9-$C$9)/($D$9-$B$9),$B$9,$D$9))</f>
        <v>1.8260664073320334</v>
      </c>
      <c r="E92" s="94" cm="1">
        <f t="array" aca="1" ref="E92" ca="1">_xlfn.SWITCH($B$4,"Normal MLE",EXP(_xlfn.NORM.INV(C92,LN($C$10),$E$10/$C$10)),"Uniforme",$B$10+($D$10-$B$10)*C92,"Triangular",IF(C92&lt;=($C$10-$B$10)/($D$10-$B$10),$B$10+SQRT(C92*($D$10-$B$10)*($C$10-$B$10)),$D$10-SQRT((1-C92)*($D$10-$B$10)*($D$10-$C$10))),"PERT",_xlfn.BETA.INV(C92,1+$B$6*($C$10-$B$10)/($D$10-$B$10),1+$B$6*($D$10-$C$10)/($D$10-$B$10),$B$10,$D$10))</f>
        <v>5048.5563279902281</v>
      </c>
      <c r="F92" s="88">
        <f t="shared" ca="1" si="4"/>
        <v>0.52012323579253461</v>
      </c>
      <c r="G92" s="89">
        <f t="shared" ca="1" si="5"/>
        <v>1.5521523366862657E-4</v>
      </c>
    </row>
    <row r="93" spans="1:7" x14ac:dyDescent="0.35">
      <c r="A93" s="84">
        <v>78</v>
      </c>
      <c r="B93" s="84">
        <f t="shared" ca="1" si="3"/>
        <v>0.19943740935456489</v>
      </c>
      <c r="C93" s="84">
        <f t="shared" ca="1" si="3"/>
        <v>0.17399372964764404</v>
      </c>
      <c r="D93" s="93" cm="1">
        <f t="array" aca="1" ref="D93" ca="1">_xlfn.SWITCH($B$4,"Normal MLE",EXP(_xlfn.NORM.INV(B93,LN($C$9),$E$9/$C$9)),"Uniforme",$B$9+($D$9-$B$9)*B93,"Triangular",IF(B93&lt;=($C$9-$B$9)/($D$9-$B$9),$B$9+SQRT(B93*($D$9-$B$9)*($C$9-$B$9)),$D$9-SQRT((1-B93)*($D$9-$B$9)*($D$9-$C$9))),"PERT",_xlfn.BETA.INV(B93,1+$B$6*($C$9-$B$9)/($D$9-$B$9),1+$B$6*($D$9-$C$9)/($D$9-$B$9),$B$9,$D$9))</f>
        <v>1.8353379138758334</v>
      </c>
      <c r="E93" s="94" cm="1">
        <f t="array" aca="1" ref="E93" ca="1">_xlfn.SWITCH($B$4,"Normal MLE",EXP(_xlfn.NORM.INV(C93,LN($C$10),$E$10/$C$10)),"Uniforme",$B$10+($D$10-$B$10)*C93,"Triangular",IF(C93&lt;=($C$10-$B$10)/($D$10-$B$10),$B$10+SQRT(C93*($D$10-$B$10)*($C$10-$B$10)),$D$10-SQRT((1-C93)*($D$10-$B$10)*($D$10-$C$10))),"PERT",_xlfn.BETA.INV(C93,1+$B$6*($C$10-$B$10)/($D$10-$B$10),1+$B$6*($D$10-$C$10)/($D$10-$B$10),$B$10,$D$10))</f>
        <v>4881.8496249639893</v>
      </c>
      <c r="F93" s="88">
        <f t="shared" ca="1" si="4"/>
        <v>0.49970228888742757</v>
      </c>
      <c r="G93" s="89">
        <f t="shared" ca="1" si="5"/>
        <v>1.5906178800467765E-4</v>
      </c>
    </row>
    <row r="94" spans="1:7" x14ac:dyDescent="0.35">
      <c r="A94" s="84">
        <v>79</v>
      </c>
      <c r="B94" s="84">
        <f t="shared" ca="1" si="3"/>
        <v>0.16188045424362107</v>
      </c>
      <c r="C94" s="84">
        <f t="shared" ca="1" si="3"/>
        <v>6.9972003933031934E-2</v>
      </c>
      <c r="D94" s="93" cm="1">
        <f t="array" aca="1" ref="D94" ca="1">_xlfn.SWITCH($B$4,"Normal MLE",EXP(_xlfn.NORM.INV(B94,LN($C$9),$E$9/$C$9)),"Uniforme",$B$9+($D$9-$B$9)*B94,"Triangular",IF(B94&lt;=($C$9-$B$9)/($D$9-$B$9),$B$9+SQRT(B94*($D$9-$B$9)*($C$9-$B$9)),$D$9-SQRT((1-B94)*($D$9-$B$9)*($D$9-$C$9))),"PERT",_xlfn.BETA.INV(B94,1+$B$6*($C$9-$B$9)/($D$9-$B$9),1+$B$6*($D$9-$C$9)/($D$9-$B$9),$B$9,$D$9))</f>
        <v>1.8169326713164022</v>
      </c>
      <c r="E94" s="94" cm="1">
        <f t="array" aca="1" ref="E94" ca="1">_xlfn.SWITCH($B$4,"Normal MLE",EXP(_xlfn.NORM.INV(C94,LN($C$10),$E$10/$C$10)),"Uniforme",$B$10+($D$10-$B$10)*C94,"Triangular",IF(C94&lt;=($C$10-$B$10)/($D$10-$B$10),$B$10+SQRT(C94*($D$10-$B$10)*($C$10-$B$10)),$D$10-SQRT((1-C94)*($D$10-$B$10)*($D$10-$C$10))),"PERT",_xlfn.BETA.INV(C94,1+$B$6*($C$10-$B$10)/($D$10-$B$10),1+$B$6*($D$10-$C$10)/($D$10-$B$10),$B$10,$D$10))</f>
        <v>4761.2584307379657</v>
      </c>
      <c r="F94" s="88">
        <f t="shared" ca="1" si="4"/>
        <v>0.48255296198734032</v>
      </c>
      <c r="G94" s="89">
        <f t="shared" ca="1" si="5"/>
        <v>1.5971713046552223E-4</v>
      </c>
    </row>
    <row r="95" spans="1:7" x14ac:dyDescent="0.35">
      <c r="A95" s="84">
        <v>80</v>
      </c>
      <c r="B95" s="84">
        <f t="shared" ca="1" si="3"/>
        <v>0.24536126040927853</v>
      </c>
      <c r="C95" s="84">
        <f t="shared" ca="1" si="3"/>
        <v>0.54233374173944571</v>
      </c>
      <c r="D95" s="93" cm="1">
        <f t="array" aca="1" ref="D95" ca="1">_xlfn.SWITCH($B$4,"Normal MLE",EXP(_xlfn.NORM.INV(B95,LN($C$9),$E$9/$C$9)),"Uniforme",$B$9+($D$9-$B$9)*B95,"Triangular",IF(B95&lt;=($C$9-$B$9)/($D$9-$B$9),$B$9+SQRT(B95*($D$9-$B$9)*($C$9-$B$9)),$D$9-SQRT((1-B95)*($D$9-$B$9)*($D$9-$C$9))),"PERT",_xlfn.BETA.INV(B95,1+$B$6*($C$9-$B$9)/($D$9-$B$9),1+$B$6*($D$9-$C$9)/($D$9-$B$9),$B$9,$D$9))</f>
        <v>1.8554114478766961</v>
      </c>
      <c r="E95" s="94" cm="1">
        <f t="array" aca="1" ref="E95" ca="1">_xlfn.SWITCH($B$4,"Normal MLE",EXP(_xlfn.NORM.INV(C95,LN($C$10),$E$10/$C$10)),"Uniforme",$B$10+($D$10-$B$10)*C95,"Triangular",IF(C95&lt;=($C$10-$B$10)/($D$10-$B$10),$B$10+SQRT(C95*($D$10-$B$10)*($C$10-$B$10)),$D$10-SQRT((1-C95)*($D$10-$B$10)*($D$10-$C$10))),"PERT",_xlfn.BETA.INV(C95,1+$B$6*($C$10-$B$10)/($D$10-$B$10),1+$B$6*($D$10-$C$10)/($D$10-$B$10),$B$10,$D$10))</f>
        <v>5125.0685606031575</v>
      </c>
      <c r="F95" s="88">
        <f t="shared" ca="1" si="4"/>
        <v>0.53186253537717132</v>
      </c>
      <c r="G95" s="89">
        <f t="shared" ca="1" si="5"/>
        <v>1.5576279455132522E-4</v>
      </c>
    </row>
    <row r="96" spans="1:7" x14ac:dyDescent="0.35">
      <c r="A96" s="84">
        <v>81</v>
      </c>
      <c r="B96" s="84">
        <f t="shared" ca="1" si="3"/>
        <v>0.99047779738776898</v>
      </c>
      <c r="C96" s="84">
        <f t="shared" ca="1" si="3"/>
        <v>0.17155681450767812</v>
      </c>
      <c r="D96" s="93" cm="1">
        <f t="array" aca="1" ref="D96" ca="1">_xlfn.SWITCH($B$4,"Normal MLE",EXP(_xlfn.NORM.INV(B96,LN($C$9),$E$9/$C$9)),"Uniforme",$B$9+($D$9-$B$9)*B96,"Triangular",IF(B96&lt;=($C$9-$B$9)/($D$9-$B$9),$B$9+SQRT(B96*($D$9-$B$9)*($C$9-$B$9)),$D$9-SQRT((1-B96)*($D$9-$B$9)*($D$9-$C$9))),"PERT",_xlfn.BETA.INV(B96,1+$B$6*($C$9-$B$9)/($D$9-$B$9),1+$B$6*($D$9-$C$9)/($D$9-$B$9),$B$9,$D$9))</f>
        <v>2.2973276133239904</v>
      </c>
      <c r="E96" s="94" cm="1">
        <f t="array" aca="1" ref="E96" ca="1">_xlfn.SWITCH($B$4,"Normal MLE",EXP(_xlfn.NORM.INV(C96,LN($C$10),$E$10/$C$10)),"Uniforme",$B$10+($D$10-$B$10)*C96,"Triangular",IF(C96&lt;=($C$10-$B$10)/($D$10-$B$10),$B$10+SQRT(C96*($D$10-$B$10)*($C$10-$B$10)),$D$10-SQRT((1-C96)*($D$10-$B$10)*($D$10-$C$10))),"PERT",_xlfn.BETA.INV(C96,1+$B$6*($C$10-$B$10)/($D$10-$B$10),1+$B$6*($D$10-$C$10)/($D$10-$B$10),$B$10,$D$10))</f>
        <v>4879.6849208664598</v>
      </c>
      <c r="F96" s="88">
        <f t="shared" ca="1" si="4"/>
        <v>0.53079216316898348</v>
      </c>
      <c r="G96" s="89">
        <f t="shared" ca="1" si="5"/>
        <v>1.9308789140336249E-4</v>
      </c>
    </row>
    <row r="97" spans="1:7" x14ac:dyDescent="0.35">
      <c r="A97" s="84">
        <v>82</v>
      </c>
      <c r="B97" s="84">
        <f t="shared" ca="1" si="3"/>
        <v>0.62593450607939205</v>
      </c>
      <c r="C97" s="84">
        <f t="shared" ca="1" si="3"/>
        <v>0.88497665709323825</v>
      </c>
      <c r="D97" s="93" cm="1">
        <f t="array" aca="1" ref="D97" ca="1">_xlfn.SWITCH($B$4,"Normal MLE",EXP(_xlfn.NORM.INV(B97,LN($C$9),$E$9/$C$9)),"Uniforme",$B$9+($D$9-$B$9)*B97,"Triangular",IF(B97&lt;=($C$9-$B$9)/($D$9-$B$9),$B$9+SQRT(B97*($D$9-$B$9)*($C$9-$B$9)),$D$9-SQRT((1-B97)*($D$9-$B$9)*($D$9-$C$9))),"PERT",_xlfn.BETA.INV(B97,1+$B$6*($C$9-$B$9)/($D$9-$B$9),1+$B$6*($D$9-$C$9)/($D$9-$B$9),$B$9,$D$9))</f>
        <v>1.9922184148536535</v>
      </c>
      <c r="E97" s="94" cm="1">
        <f t="array" aca="1" ref="E97" ca="1">_xlfn.SWITCH($B$4,"Normal MLE",EXP(_xlfn.NORM.INV(C97,LN($C$10),$E$10/$C$10)),"Uniforme",$B$10+($D$10-$B$10)*C97,"Triangular",IF(C97&lt;=($C$10-$B$10)/($D$10-$B$10),$B$10+SQRT(C97*($D$10-$B$10)*($C$10-$B$10)),$D$10-SQRT((1-C97)*($D$10-$B$10)*($D$10-$C$10))),"PERT",_xlfn.BETA.INV(C97,1+$B$6*($C$10-$B$10)/($D$10-$B$10),1+$B$6*($D$10-$C$10)/($D$10-$B$10),$B$10,$D$10))</f>
        <v>5392.7144949207268</v>
      </c>
      <c r="F97" s="88">
        <f t="shared" ca="1" si="4"/>
        <v>0.57610752919625552</v>
      </c>
      <c r="G97" s="89">
        <f t="shared" ca="1" si="5"/>
        <v>1.5823234959224302E-4</v>
      </c>
    </row>
    <row r="98" spans="1:7" x14ac:dyDescent="0.35">
      <c r="A98" s="84">
        <v>83</v>
      </c>
      <c r="B98" s="84">
        <f t="shared" ca="1" si="3"/>
        <v>0.3795107934449059</v>
      </c>
      <c r="C98" s="84">
        <f t="shared" ca="1" si="3"/>
        <v>0.73330571236862041</v>
      </c>
      <c r="D98" s="93" cm="1">
        <f t="array" aca="1" ref="D98" ca="1">_xlfn.SWITCH($B$4,"Normal MLE",EXP(_xlfn.NORM.INV(B98,LN($C$9),$E$9/$C$9)),"Uniforme",$B$9+($D$9-$B$9)*B98,"Triangular",IF(B98&lt;=($C$9-$B$9)/($D$9-$B$9),$B$9+SQRT(B98*($D$9-$B$9)*($C$9-$B$9)),$D$9-SQRT((1-B98)*($D$9-$B$9)*($D$9-$C$9))),"PERT",_xlfn.BETA.INV(B98,1+$B$6*($C$9-$B$9)/($D$9-$B$9),1+$B$6*($D$9-$C$9)/($D$9-$B$9),$B$9,$D$9))</f>
        <v>1.9060527437546897</v>
      </c>
      <c r="E98" s="94" cm="1">
        <f t="array" aca="1" ref="E98" ca="1">_xlfn.SWITCH($B$4,"Normal MLE",EXP(_xlfn.NORM.INV(C98,LN($C$10),$E$10/$C$10)),"Uniforme",$B$10+($D$10-$B$10)*C98,"Triangular",IF(C98&lt;=($C$10-$B$10)/($D$10-$B$10),$B$10+SQRT(C98*($D$10-$B$10)*($C$10-$B$10)),$D$10-SQRT((1-C98)*($D$10-$B$10)*($D$10-$C$10))),"PERT",_xlfn.BETA.INV(C98,1+$B$6*($C$10-$B$10)/($D$10-$B$10),1+$B$6*($D$10-$C$10)/($D$10-$B$10),$B$10,$D$10))</f>
        <v>5249.7482000433474</v>
      </c>
      <c r="F98" s="88">
        <f t="shared" ca="1" si="4"/>
        <v>0.55124571568057079</v>
      </c>
      <c r="G98" s="89">
        <f t="shared" ca="1" si="5"/>
        <v>1.5644307198434473E-4</v>
      </c>
    </row>
    <row r="99" spans="1:7" x14ac:dyDescent="0.35">
      <c r="A99" s="84">
        <v>84</v>
      </c>
      <c r="B99" s="84">
        <f t="shared" ca="1" si="3"/>
        <v>0.52057905652696623</v>
      </c>
      <c r="C99" s="84">
        <f t="shared" ca="1" si="3"/>
        <v>0.92507225879168908</v>
      </c>
      <c r="D99" s="93" cm="1">
        <f t="array" aca="1" ref="D99" ca="1">_xlfn.SWITCH($B$4,"Normal MLE",EXP(_xlfn.NORM.INV(B99,LN($C$9),$E$9/$C$9)),"Uniforme",$B$9+($D$9-$B$9)*B99,"Triangular",IF(B99&lt;=($C$9-$B$9)/($D$9-$B$9),$B$9+SQRT(B99*($D$9-$B$9)*($C$9-$B$9)),$D$9-SQRT((1-B99)*($D$9-$B$9)*($D$9-$C$9))),"PERT",_xlfn.BETA.INV(B99,1+$B$6*($C$9-$B$9)/($D$9-$B$9),1+$B$6*($D$9-$C$9)/($D$9-$B$9),$B$9,$D$9))</f>
        <v>1.9547668008932566</v>
      </c>
      <c r="E99" s="94" cm="1">
        <f t="array" aca="1" ref="E99" ca="1">_xlfn.SWITCH($B$4,"Normal MLE",EXP(_xlfn.NORM.INV(C99,LN($C$10),$E$10/$C$10)),"Uniforme",$B$10+($D$10-$B$10)*C99,"Triangular",IF(C99&lt;=($C$10-$B$10)/($D$10-$B$10),$B$10+SQRT(C99*($D$10-$B$10)*($C$10-$B$10)),$D$10-SQRT((1-C99)*($D$10-$B$10)*($D$10-$C$10))),"PERT",_xlfn.BETA.INV(C99,1+$B$6*($C$10-$B$10)/($D$10-$B$10),1+$B$6*($D$10-$C$10)/($D$10-$B$10),$B$10,$D$10))</f>
        <v>5453.2292892604191</v>
      </c>
      <c r="F99" s="88">
        <f t="shared" ca="1" si="4"/>
        <v>0.57947490084880859</v>
      </c>
      <c r="G99" s="89">
        <f t="shared" ca="1" si="5"/>
        <v>1.5451482881486978E-4</v>
      </c>
    </row>
    <row r="100" spans="1:7" x14ac:dyDescent="0.35">
      <c r="A100" s="84">
        <v>85</v>
      </c>
      <c r="B100" s="84">
        <f t="shared" ca="1" si="3"/>
        <v>0.11141152574479363</v>
      </c>
      <c r="C100" s="84">
        <f t="shared" ca="1" si="3"/>
        <v>0.93378381416358103</v>
      </c>
      <c r="D100" s="93" cm="1">
        <f t="array" aca="1" ref="D100" ca="1">_xlfn.SWITCH($B$4,"Normal MLE",EXP(_xlfn.NORM.INV(B100,LN($C$9),$E$9/$C$9)),"Uniforme",$B$9+($D$9-$B$9)*B100,"Triangular",IF(B100&lt;=($C$9-$B$9)/($D$9-$B$9),$B$9+SQRT(B100*($D$9-$B$9)*($C$9-$B$9)),$D$9-SQRT((1-B100)*($D$9-$B$9)*($D$9-$C$9))),"PERT",_xlfn.BETA.INV(B100,1+$B$6*($C$9-$B$9)/($D$9-$B$9),1+$B$6*($D$9-$C$9)/($D$9-$B$9),$B$9,$D$9))</f>
        <v>1.7874526508937951</v>
      </c>
      <c r="E100" s="94" cm="1">
        <f t="array" aca="1" ref="E100" ca="1">_xlfn.SWITCH($B$4,"Normal MLE",EXP(_xlfn.NORM.INV(C100,LN($C$10),$E$10/$C$10)),"Uniforme",$B$10+($D$10-$B$10)*C100,"Triangular",IF(C100&lt;=($C$10-$B$10)/($D$10-$B$10),$B$10+SQRT(C100*($D$10-$B$10)*($C$10-$B$10)),$D$10-SQRT((1-C100)*($D$10-$B$10)*($D$10-$C$10))),"PERT",_xlfn.BETA.INV(C100,1+$B$6*($C$10-$B$10)/($D$10-$B$10),1+$B$6*($D$10-$C$10)/($D$10-$B$10),$B$10,$D$10))</f>
        <v>5469.6309028345777</v>
      </c>
      <c r="F100" s="88">
        <f t="shared" ca="1" si="4"/>
        <v>0.56462393196571636</v>
      </c>
      <c r="G100" s="89">
        <f t="shared" ca="1" si="5"/>
        <v>1.442190213997905E-4</v>
      </c>
    </row>
    <row r="101" spans="1:7" x14ac:dyDescent="0.35">
      <c r="A101" s="84">
        <v>86</v>
      </c>
      <c r="B101" s="84">
        <f t="shared" ca="1" si="3"/>
        <v>0.34741633927032733</v>
      </c>
      <c r="C101" s="84">
        <f t="shared" ca="1" si="3"/>
        <v>0.20218054657913775</v>
      </c>
      <c r="D101" s="93" cm="1">
        <f t="array" aca="1" ref="D101" ca="1">_xlfn.SWITCH($B$4,"Normal MLE",EXP(_xlfn.NORM.INV(B101,LN($C$9),$E$9/$C$9)),"Uniforme",$B$9+($D$9-$B$9)*B101,"Triangular",IF(B101&lt;=($C$9-$B$9)/($D$9-$B$9),$B$9+SQRT(B101*($D$9-$B$9)*($C$9-$B$9)),$D$9-SQRT((1-B101)*($D$9-$B$9)*($D$9-$C$9))),"PERT",_xlfn.BETA.INV(B101,1+$B$6*($C$9-$B$9)/($D$9-$B$9),1+$B$6*($D$9-$C$9)/($D$9-$B$9),$B$9,$D$9))</f>
        <v>1.8946058811061697</v>
      </c>
      <c r="E101" s="94" cm="1">
        <f t="array" aca="1" ref="E101" ca="1">_xlfn.SWITCH($B$4,"Normal MLE",EXP(_xlfn.NORM.INV(C101,LN($C$10),$E$10/$C$10)),"Uniforme",$B$10+($D$10-$B$10)*C101,"Triangular",IF(C101&lt;=($C$10-$B$10)/($D$10-$B$10),$B$10+SQRT(C101*($D$10-$B$10)*($C$10-$B$10)),$D$10-SQRT((1-C101)*($D$10-$B$10)*($D$10-$C$10))),"PERT",_xlfn.BETA.INV(C101,1+$B$6*($C$10-$B$10)/($D$10-$B$10),1+$B$6*($D$10-$C$10)/($D$10-$B$10),$B$10,$D$10))</f>
        <v>4905.6795412255033</v>
      </c>
      <c r="F101" s="88">
        <f t="shared" ca="1" si="4"/>
        <v>0.50697010943409959</v>
      </c>
      <c r="G101" s="89">
        <f t="shared" ca="1" si="5"/>
        <v>1.6311914095527432E-4</v>
      </c>
    </row>
    <row r="102" spans="1:7" x14ac:dyDescent="0.35">
      <c r="A102" s="84">
        <v>87</v>
      </c>
      <c r="B102" s="84">
        <f t="shared" ca="1" si="3"/>
        <v>0.19852376469219057</v>
      </c>
      <c r="C102" s="84">
        <f t="shared" ca="1" si="3"/>
        <v>0.3796890602957218</v>
      </c>
      <c r="D102" s="93" cm="1">
        <f t="array" aca="1" ref="D102" ca="1">_xlfn.SWITCH($B$4,"Normal MLE",EXP(_xlfn.NORM.INV(B102,LN($C$9),$E$9/$C$9)),"Uniforme",$B$9+($D$9-$B$9)*B102,"Triangular",IF(B102&lt;=($C$9-$B$9)/($D$9-$B$9),$B$9+SQRT(B102*($D$9-$B$9)*($C$9-$B$9)),$D$9-SQRT((1-B102)*($D$9-$B$9)*($D$9-$C$9))),"PERT",_xlfn.BETA.INV(B102,1+$B$6*($C$9-$B$9)/($D$9-$B$9),1+$B$6*($D$9-$C$9)/($D$9-$B$9),$B$9,$D$9))</f>
        <v>1.8349148816538257</v>
      </c>
      <c r="E102" s="94" cm="1">
        <f t="array" aca="1" ref="E102" ca="1">_xlfn.SWITCH($B$4,"Normal MLE",EXP(_xlfn.NORM.INV(C102,LN($C$10),$E$10/$C$10)),"Uniforme",$B$10+($D$10-$B$10)*C102,"Triangular",IF(C102&lt;=($C$10-$B$10)/($D$10-$B$10),$B$10+SQRT(C102*($D$10-$B$10)*($C$10-$B$10)),$D$10-SQRT((1-C102)*($D$10-$B$10)*($D$10-$C$10))),"PERT",_xlfn.BETA.INV(C102,1+$B$6*($C$10-$B$10)/($D$10-$B$10),1+$B$6*($D$10-$C$10)/($D$10-$B$10),$B$10,$D$10))</f>
        <v>5027.6027153401201</v>
      </c>
      <c r="F102" s="88">
        <f t="shared" ca="1" si="4"/>
        <v>0.51822710376293557</v>
      </c>
      <c r="G102" s="89">
        <f t="shared" ca="1" si="5"/>
        <v>1.562669890078395E-4</v>
      </c>
    </row>
    <row r="103" spans="1:7" x14ac:dyDescent="0.35">
      <c r="A103" s="84">
        <v>88</v>
      </c>
      <c r="B103" s="84">
        <f t="shared" ca="1" si="3"/>
        <v>0.29607470551499271</v>
      </c>
      <c r="C103" s="84">
        <f t="shared" ca="1" si="3"/>
        <v>0.92457411055664052</v>
      </c>
      <c r="D103" s="93" cm="1">
        <f t="array" aca="1" ref="D103" ca="1">_xlfn.SWITCH($B$4,"Normal MLE",EXP(_xlfn.NORM.INV(B103,LN($C$9),$E$9/$C$9)),"Uniforme",$B$9+($D$9-$B$9)*B103,"Triangular",IF(B103&lt;=($C$9-$B$9)/($D$9-$B$9),$B$9+SQRT(B103*($D$9-$B$9)*($C$9-$B$9)),$D$9-SQRT((1-B103)*($D$9-$B$9)*($D$9-$C$9))),"PERT",_xlfn.BETA.INV(B103,1+$B$6*($C$9-$B$9)/($D$9-$B$9),1+$B$6*($D$9-$C$9)/($D$9-$B$9),$B$9,$D$9))</f>
        <v>1.8755676794430372</v>
      </c>
      <c r="E103" s="94" cm="1">
        <f t="array" aca="1" ref="E103" ca="1">_xlfn.SWITCH($B$4,"Normal MLE",EXP(_xlfn.NORM.INV(C103,LN($C$10),$E$10/$C$10)),"Uniforme",$B$10+($D$10-$B$10)*C103,"Triangular",IF(C103&lt;=($C$10-$B$10)/($D$10-$B$10),$B$10+SQRT(C103*($D$10-$B$10)*($C$10-$B$10)),$D$10-SQRT((1-C103)*($D$10-$B$10)*($D$10-$C$10))),"PERT",_xlfn.BETA.INV(C103,1+$B$6*($C$10-$B$10)/($D$10-$B$10),1+$B$6*($D$10-$C$10)/($D$10-$B$10),$B$10,$D$10))</f>
        <v>5452.3379463829697</v>
      </c>
      <c r="F103" s="88">
        <f t="shared" ca="1" si="4"/>
        <v>0.57157326441997769</v>
      </c>
      <c r="G103" s="89">
        <f t="shared" ca="1" si="5"/>
        <v>1.4991258263036746E-4</v>
      </c>
    </row>
    <row r="104" spans="1:7" x14ac:dyDescent="0.35">
      <c r="A104" s="84">
        <v>89</v>
      </c>
      <c r="B104" s="84">
        <f t="shared" ca="1" si="3"/>
        <v>0.87013473825537879</v>
      </c>
      <c r="C104" s="84">
        <f t="shared" ca="1" si="3"/>
        <v>0.24771144005073875</v>
      </c>
      <c r="D104" s="93" cm="1">
        <f t="array" aca="1" ref="D104" ca="1">_xlfn.SWITCH($B$4,"Normal MLE",EXP(_xlfn.NORM.INV(B104,LN($C$9),$E$9/$C$9)),"Uniforme",$B$9+($D$9-$B$9)*B104,"Triangular",IF(B104&lt;=($C$9-$B$9)/($D$9-$B$9),$B$9+SQRT(B104*($D$9-$B$9)*($C$9-$B$9)),$D$9-SQRT((1-B104)*($D$9-$B$9)*($D$9-$C$9))),"PERT",_xlfn.BETA.INV(B104,1+$B$6*($C$9-$B$9)/($D$9-$B$9),1+$B$6*($D$9-$C$9)/($D$9-$B$9),$B$9,$D$9))</f>
        <v>2.1085521122818442</v>
      </c>
      <c r="E104" s="94" cm="1">
        <f t="array" aca="1" ref="E104" ca="1">_xlfn.SWITCH($B$4,"Normal MLE",EXP(_xlfn.NORM.INV(C104,LN($C$10),$E$10/$C$10)),"Uniforme",$B$10+($D$10-$B$10)*C104,"Triangular",IF(C104&lt;=($C$10-$B$10)/($D$10-$B$10),$B$10+SQRT(C104*($D$10-$B$10)*($C$10-$B$10)),$D$10-SQRT((1-C104)*($D$10-$B$10)*($D$10-$C$10))),"PERT",_xlfn.BETA.INV(C104,1+$B$6*($C$10-$B$10)/($D$10-$B$10),1+$B$6*($D$10-$C$10)/($D$10-$B$10),$B$10,$D$10))</f>
        <v>4940.5356513300039</v>
      </c>
      <c r="F104" s="88">
        <f t="shared" ca="1" si="4"/>
        <v>0.52695343040928755</v>
      </c>
      <c r="G104" s="89">
        <f t="shared" ca="1" si="5"/>
        <v>1.7795604198398481E-4</v>
      </c>
    </row>
    <row r="105" spans="1:7" x14ac:dyDescent="0.35">
      <c r="A105" s="84">
        <v>90</v>
      </c>
      <c r="B105" s="84">
        <f t="shared" ca="1" si="3"/>
        <v>0.43290887857218563</v>
      </c>
      <c r="C105" s="84">
        <f t="shared" ca="1" si="3"/>
        <v>0.85687141610035411</v>
      </c>
      <c r="D105" s="93" cm="1">
        <f t="array" aca="1" ref="D105" ca="1">_xlfn.SWITCH($B$4,"Normal MLE",EXP(_xlfn.NORM.INV(B105,LN($C$9),$E$9/$C$9)),"Uniforme",$B$9+($D$9-$B$9)*B105,"Triangular",IF(B105&lt;=($C$9-$B$9)/($D$9-$B$9),$B$9+SQRT(B105*($D$9-$B$9)*($C$9-$B$9)),$D$9-SQRT((1-B105)*($D$9-$B$9)*($D$9-$C$9))),"PERT",_xlfn.BETA.INV(B105,1+$B$6*($C$9-$B$9)/($D$9-$B$9),1+$B$6*($D$9-$C$9)/($D$9-$B$9),$B$9,$D$9))</f>
        <v>1.9246377498941849</v>
      </c>
      <c r="E105" s="94" cm="1">
        <f t="array" aca="1" ref="E105" ca="1">_xlfn.SWITCH($B$4,"Normal MLE",EXP(_xlfn.NORM.INV(C105,LN($C$10),$E$10/$C$10)),"Uniforme",$B$10+($D$10-$B$10)*C105,"Triangular",IF(C105&lt;=($C$10-$B$10)/($D$10-$B$10),$B$10+SQRT(C105*($D$10-$B$10)*($C$10-$B$10)),$D$10-SQRT((1-C105)*($D$10-$B$10)*($D$10-$C$10))),"PERT",_xlfn.BETA.INV(C105,1+$B$6*($C$10-$B$10)/($D$10-$B$10),1+$B$6*($D$10-$C$10)/($D$10-$B$10),$B$10,$D$10))</f>
        <v>5359.2246840091511</v>
      </c>
      <c r="F105" s="88">
        <f t="shared" ca="1" si="4"/>
        <v>0.56581087413009623</v>
      </c>
      <c r="G105" s="89">
        <f t="shared" ca="1" si="5"/>
        <v>1.5504241328542613E-4</v>
      </c>
    </row>
    <row r="106" spans="1:7" x14ac:dyDescent="0.35">
      <c r="A106" s="84">
        <v>91</v>
      </c>
      <c r="B106" s="84">
        <f t="shared" ca="1" si="3"/>
        <v>0.59730534715408301</v>
      </c>
      <c r="C106" s="84">
        <f t="shared" ca="1" si="3"/>
        <v>0.56407756274316501</v>
      </c>
      <c r="D106" s="93" cm="1">
        <f t="array" aca="1" ref="D106" ca="1">_xlfn.SWITCH($B$4,"Normal MLE",EXP(_xlfn.NORM.INV(B106,LN($C$9),$E$9/$C$9)),"Uniforme",$B$9+($D$9-$B$9)*B106,"Triangular",IF(B106&lt;=($C$9-$B$9)/($D$9-$B$9),$B$9+SQRT(B106*($D$9-$B$9)*($C$9-$B$9)),$D$9-SQRT((1-B106)*($D$9-$B$9)*($D$9-$C$9))),"PERT",_xlfn.BETA.INV(B106,1+$B$6*($C$9-$B$9)/($D$9-$B$9),1+$B$6*($D$9-$C$9)/($D$9-$B$9),$B$9,$D$9))</f>
        <v>1.9817625162263641</v>
      </c>
      <c r="E106" s="94" cm="1">
        <f t="array" aca="1" ref="E106" ca="1">_xlfn.SWITCH($B$4,"Normal MLE",EXP(_xlfn.NORM.INV(C106,LN($C$10),$E$10/$C$10)),"Uniforme",$B$10+($D$10-$B$10)*C106,"Triangular",IF(C106&lt;=($C$10-$B$10)/($D$10-$B$10),$B$10+SQRT(C106*($D$10-$B$10)*($C$10-$B$10)),$D$10-SQRT((1-C106)*($D$10-$B$10)*($D$10-$C$10))),"PERT",_xlfn.BETA.INV(C106,1+$B$6*($C$10-$B$10)/($D$10-$B$10),1+$B$6*($D$10-$C$10)/($D$10-$B$10),$B$10,$D$10))</f>
        <v>5138.2025494715826</v>
      </c>
      <c r="F106" s="88">
        <f t="shared" ca="1" si="4"/>
        <v>0.54399851749184458</v>
      </c>
      <c r="G106" s="89">
        <f t="shared" ca="1" si="5"/>
        <v>1.6408550780927053E-4</v>
      </c>
    </row>
    <row r="107" spans="1:7" x14ac:dyDescent="0.35">
      <c r="A107" s="84">
        <v>92</v>
      </c>
      <c r="B107" s="84">
        <f t="shared" ca="1" si="3"/>
        <v>0.84872425154910625</v>
      </c>
      <c r="C107" s="84">
        <f t="shared" ca="1" si="3"/>
        <v>0.65706535724650872</v>
      </c>
      <c r="D107" s="93" cm="1">
        <f t="array" aca="1" ref="D107" ca="1">_xlfn.SWITCH($B$4,"Normal MLE",EXP(_xlfn.NORM.INV(B107,LN($C$9),$E$9/$C$9)),"Uniforme",$B$9+($D$9-$B$9)*B107,"Triangular",IF(B107&lt;=($C$9-$B$9)/($D$9-$B$9),$B$9+SQRT(B107*($D$9-$B$9)*($C$9-$B$9)),$D$9-SQRT((1-B107)*($D$9-$B$9)*($D$9-$C$9))),"PERT",_xlfn.BETA.INV(B107,1+$B$6*($C$9-$B$9)/($D$9-$B$9),1+$B$6*($D$9-$C$9)/($D$9-$B$9),$B$9,$D$9))</f>
        <v>2.0943382758123352</v>
      </c>
      <c r="E107" s="94" cm="1">
        <f t="array" aca="1" ref="E107" ca="1">_xlfn.SWITCH($B$4,"Normal MLE",EXP(_xlfn.NORM.INV(C107,LN($C$10),$E$10/$C$10)),"Uniforme",$B$10+($D$10-$B$10)*C107,"Triangular",IF(C107&lt;=($C$10-$B$10)/($D$10-$B$10),$B$10+SQRT(C107*($D$10-$B$10)*($C$10-$B$10)),$D$10-SQRT((1-C107)*($D$10-$B$10)*($D$10-$C$10))),"PERT",_xlfn.BETA.INV(C107,1+$B$6*($C$10-$B$10)/($D$10-$B$10),1+$B$6*($D$10-$C$10)/($D$10-$B$10),$B$10,$D$10))</f>
        <v>5196.6708800557799</v>
      </c>
      <c r="F107" s="88">
        <f t="shared" ca="1" si="4"/>
        <v>0.56100529280311273</v>
      </c>
      <c r="G107" s="89">
        <f t="shared" ca="1" si="5"/>
        <v>1.697854123313598E-4</v>
      </c>
    </row>
    <row r="108" spans="1:7" x14ac:dyDescent="0.35">
      <c r="A108" s="84">
        <v>93</v>
      </c>
      <c r="B108" s="84">
        <f t="shared" ca="1" si="3"/>
        <v>0.28526576373983759</v>
      </c>
      <c r="C108" s="84">
        <f t="shared" ca="1" si="3"/>
        <v>0.47819094303098897</v>
      </c>
      <c r="D108" s="93" cm="1">
        <f t="array" aca="1" ref="D108" ca="1">_xlfn.SWITCH($B$4,"Normal MLE",EXP(_xlfn.NORM.INV(B108,LN($C$9),$E$9/$C$9)),"Uniforme",$B$9+($D$9-$B$9)*B108,"Triangular",IF(B108&lt;=($C$9-$B$9)/($D$9-$B$9),$B$9+SQRT(B108*($D$9-$B$9)*($C$9-$B$9)),$D$9-SQRT((1-B108)*($D$9-$B$9)*($D$9-$C$9))),"PERT",_xlfn.BETA.INV(B108,1+$B$6*($C$9-$B$9)/($D$9-$B$9),1+$B$6*($D$9-$C$9)/($D$9-$B$9),$B$9,$D$9))</f>
        <v>1.8714059500406595</v>
      </c>
      <c r="E108" s="94" cm="1">
        <f t="array" aca="1" ref="E108" ca="1">_xlfn.SWITCH($B$4,"Normal MLE",EXP(_xlfn.NORM.INV(C108,LN($C$10),$E$10/$C$10)),"Uniforme",$B$10+($D$10-$B$10)*C108,"Triangular",IF(C108&lt;=($C$10-$B$10)/($D$10-$B$10),$B$10+SQRT(C108*($D$10-$B$10)*($C$10-$B$10)),$D$10-SQRT((1-C108)*($D$10-$B$10)*($D$10-$C$10))),"PERT",_xlfn.BETA.INV(C108,1+$B$6*($C$10-$B$10)/($D$10-$B$10),1+$B$6*($D$10-$C$10)/($D$10-$B$10),$B$10,$D$10))</f>
        <v>5086.8126987981695</v>
      </c>
      <c r="F108" s="88">
        <f t="shared" ca="1" si="4"/>
        <v>0.52847907436806207</v>
      </c>
      <c r="G108" s="89">
        <f t="shared" ca="1" si="5"/>
        <v>1.5768402112675359E-4</v>
      </c>
    </row>
    <row r="109" spans="1:7" x14ac:dyDescent="0.35">
      <c r="A109" s="84">
        <v>94</v>
      </c>
      <c r="B109" s="84">
        <f t="shared" ca="1" si="3"/>
        <v>0.32731849845038785</v>
      </c>
      <c r="C109" s="84">
        <f t="shared" ca="1" si="3"/>
        <v>8.0027317925100649E-2</v>
      </c>
      <c r="D109" s="93" cm="1">
        <f t="array" aca="1" ref="D109" ca="1">_xlfn.SWITCH($B$4,"Normal MLE",EXP(_xlfn.NORM.INV(B109,LN($C$9),$E$9/$C$9)),"Uniforme",$B$9+($D$9-$B$9)*B109,"Triangular",IF(B109&lt;=($C$9-$B$9)/($D$9-$B$9),$B$9+SQRT(B109*($D$9-$B$9)*($C$9-$B$9)),$D$9-SQRT((1-B109)*($D$9-$B$9)*($D$9-$C$9))),"PERT",_xlfn.BETA.INV(B109,1+$B$6*($C$9-$B$9)/($D$9-$B$9),1+$B$6*($D$9-$C$9)/($D$9-$B$9),$B$9,$D$9))</f>
        <v>1.8872788760009962</v>
      </c>
      <c r="E109" s="94" cm="1">
        <f t="array" aca="1" ref="E109" ca="1">_xlfn.SWITCH($B$4,"Normal MLE",EXP(_xlfn.NORM.INV(C109,LN($C$10),$E$10/$C$10)),"Uniforme",$B$10+($D$10-$B$10)*C109,"Triangular",IF(C109&lt;=($C$10-$B$10)/($D$10-$B$10),$B$10+SQRT(C109*($D$10-$B$10)*($C$10-$B$10)),$D$10-SQRT((1-C109)*($D$10-$B$10)*($D$10-$C$10))),"PERT",_xlfn.BETA.INV(C109,1+$B$6*($C$10-$B$10)/($D$10-$B$10),1+$B$6*($D$10-$C$10)/($D$10-$B$10),$B$10,$D$10))</f>
        <v>4777.040174530729</v>
      </c>
      <c r="F109" s="88">
        <f t="shared" ca="1" si="4"/>
        <v>0.48904163458208089</v>
      </c>
      <c r="G109" s="89">
        <f t="shared" ca="1" si="5"/>
        <v>1.6504972012086562E-4</v>
      </c>
    </row>
    <row r="110" spans="1:7" x14ac:dyDescent="0.35">
      <c r="A110" s="84">
        <v>95</v>
      </c>
      <c r="B110" s="84">
        <f t="shared" ca="1" si="3"/>
        <v>7.7687649997034369E-2</v>
      </c>
      <c r="C110" s="84">
        <f t="shared" ca="1" si="3"/>
        <v>0.35554386677161887</v>
      </c>
      <c r="D110" s="93" cm="1">
        <f t="array" aca="1" ref="D110" ca="1">_xlfn.SWITCH($B$4,"Normal MLE",EXP(_xlfn.NORM.INV(B110,LN($C$9),$E$9/$C$9)),"Uniforme",$B$9+($D$9-$B$9)*B110,"Triangular",IF(B110&lt;=($C$9-$B$9)/($D$9-$B$9),$B$9+SQRT(B110*($D$9-$B$9)*($C$9-$B$9)),$D$9-SQRT((1-B110)*($D$9-$B$9)*($D$9-$C$9))),"PERT",_xlfn.BETA.INV(B110,1+$B$6*($C$9-$B$9)/($D$9-$B$9),1+$B$6*($D$9-$C$9)/($D$9-$B$9),$B$9,$D$9))</f>
        <v>1.7622384947347516</v>
      </c>
      <c r="E110" s="94" cm="1">
        <f t="array" aca="1" ref="E110" ca="1">_xlfn.SWITCH($B$4,"Normal MLE",EXP(_xlfn.NORM.INV(C110,LN($C$10),$E$10/$C$10)),"Uniforme",$B$10+($D$10-$B$10)*C110,"Triangular",IF(C110&lt;=($C$10-$B$10)/($D$10-$B$10),$B$10+SQRT(C110*($D$10-$B$10)*($C$10-$B$10)),$D$10-SQRT((1-C110)*($D$10-$B$10)*($D$10-$C$10))),"PERT",_xlfn.BETA.INV(C110,1+$B$6*($C$10-$B$10)/($D$10-$B$10),1+$B$6*($D$10-$C$10)/($D$10-$B$10),$B$10,$D$10))</f>
        <v>5012.6289262708697</v>
      </c>
      <c r="F110" s="88">
        <f t="shared" ca="1" si="4"/>
        <v>0.51074817438035292</v>
      </c>
      <c r="G110" s="89">
        <f t="shared" ca="1" si="5"/>
        <v>1.5118278339803845E-4</v>
      </c>
    </row>
    <row r="111" spans="1:7" x14ac:dyDescent="0.35">
      <c r="A111" s="84">
        <v>96</v>
      </c>
      <c r="B111" s="84">
        <f t="shared" ca="1" si="3"/>
        <v>0.63153831719602305</v>
      </c>
      <c r="C111" s="84">
        <f t="shared" ca="1" si="3"/>
        <v>0.63481064620537109</v>
      </c>
      <c r="D111" s="93" cm="1">
        <f t="array" aca="1" ref="D111" ca="1">_xlfn.SWITCH($B$4,"Normal MLE",EXP(_xlfn.NORM.INV(B111,LN($C$9),$E$9/$C$9)),"Uniforme",$B$9+($D$9-$B$9)*B111,"Triangular",IF(B111&lt;=($C$9-$B$9)/($D$9-$B$9),$B$9+SQRT(B111*($D$9-$B$9)*($C$9-$B$9)),$D$9-SQRT((1-B111)*($D$9-$B$9)*($D$9-$C$9))),"PERT",_xlfn.BETA.INV(B111,1+$B$6*($C$9-$B$9)/($D$9-$B$9),1+$B$6*($D$9-$C$9)/($D$9-$B$9),$B$9,$D$9))</f>
        <v>1.9942993990625519</v>
      </c>
      <c r="E111" s="94" cm="1">
        <f t="array" aca="1" ref="E111" ca="1">_xlfn.SWITCH($B$4,"Normal MLE",EXP(_xlfn.NORM.INV(C111,LN($C$10),$E$10/$C$10)),"Uniforme",$B$10+($D$10-$B$10)*C111,"Triangular",IF(C111&lt;=($C$10-$B$10)/($D$10-$B$10),$B$10+SQRT(C111*($D$10-$B$10)*($C$10-$B$10)),$D$10-SQRT((1-C111)*($D$10-$B$10)*($D$10-$C$10))),"PERT",_xlfn.BETA.INV(C111,1+$B$6*($C$10-$B$10)/($D$10-$B$10),1+$B$6*($D$10-$C$10)/($D$10-$B$10),$B$10,$D$10))</f>
        <v>5182.2190252497112</v>
      </c>
      <c r="F111" s="88">
        <f t="shared" ca="1" si="4"/>
        <v>0.55064576793845332</v>
      </c>
      <c r="G111" s="89">
        <f t="shared" ca="1" si="5"/>
        <v>1.6380690025292495E-4</v>
      </c>
    </row>
    <row r="112" spans="1:7" x14ac:dyDescent="0.35">
      <c r="A112" s="84">
        <v>97</v>
      </c>
      <c r="B112" s="84">
        <f t="shared" ca="1" si="3"/>
        <v>0.93551430102529531</v>
      </c>
      <c r="C112" s="84">
        <f t="shared" ca="1" si="3"/>
        <v>0.91264652171160943</v>
      </c>
      <c r="D112" s="93" cm="1">
        <f t="array" aca="1" ref="D112" ca="1">_xlfn.SWITCH($B$4,"Normal MLE",EXP(_xlfn.NORM.INV(B112,LN($C$9),$E$9/$C$9)),"Uniforme",$B$9+($D$9-$B$9)*B112,"Triangular",IF(B112&lt;=($C$9-$B$9)/($D$9-$B$9),$B$9+SQRT(B112*($D$9-$B$9)*($C$9-$B$9)),$D$9-SQRT((1-B112)*($D$9-$B$9)*($D$9-$C$9))),"PERT",_xlfn.BETA.INV(B112,1+$B$6*($C$9-$B$9)/($D$9-$B$9),1+$B$6*($D$9-$C$9)/($D$9-$B$9),$B$9,$D$9))</f>
        <v>2.167437394960019</v>
      </c>
      <c r="E112" s="94" cm="1">
        <f t="array" aca="1" ref="E112" ca="1">_xlfn.SWITCH($B$4,"Normal MLE",EXP(_xlfn.NORM.INV(C112,LN($C$10),$E$10/$C$10)),"Uniforme",$B$10+($D$10-$B$10)*C112,"Triangular",IF(C112&lt;=($C$10-$B$10)/($D$10-$B$10),$B$10+SQRT(C112*($D$10-$B$10)*($C$10-$B$10)),$D$10-SQRT((1-C112)*($D$10-$B$10)*($D$10-$C$10))),"PERT",_xlfn.BETA.INV(C112,1+$B$6*($C$10-$B$10)/($D$10-$B$10),1+$B$6*($D$10-$C$10)/($D$10-$B$10),$B$10,$D$10))</f>
        <v>5432.2560850569407</v>
      </c>
      <c r="F112" s="88">
        <f t="shared" ca="1" si="4"/>
        <v>0.59743224274625784</v>
      </c>
      <c r="G112" s="89">
        <f t="shared" ca="1" si="5"/>
        <v>1.6675502165724651E-4</v>
      </c>
    </row>
    <row r="113" spans="1:7" x14ac:dyDescent="0.35">
      <c r="A113" s="84">
        <v>98</v>
      </c>
      <c r="B113" s="84">
        <f t="shared" ca="1" si="3"/>
        <v>0.66684027069823015</v>
      </c>
      <c r="C113" s="84">
        <f t="shared" ca="1" si="3"/>
        <v>0.8619166356748863</v>
      </c>
      <c r="D113" s="93" cm="1">
        <f t="array" aca="1" ref="D113" ca="1">_xlfn.SWITCH($B$4,"Normal MLE",EXP(_xlfn.NORM.INV(B113,LN($C$9),$E$9/$C$9)),"Uniforme",$B$9+($D$9-$B$9)*B113,"Triangular",IF(B113&lt;=($C$9-$B$9)/($D$9-$B$9),$B$9+SQRT(B113*($D$9-$B$9)*($C$9-$B$9)),$D$9-SQRT((1-B113)*($D$9-$B$9)*($D$9-$C$9))),"PERT",_xlfn.BETA.INV(B113,1+$B$6*($C$9-$B$9)/($D$9-$B$9),1+$B$6*($D$9-$C$9)/($D$9-$B$9),$B$9,$D$9))</f>
        <v>2.0077244881206306</v>
      </c>
      <c r="E113" s="94" cm="1">
        <f t="array" aca="1" ref="E113" ca="1">_xlfn.SWITCH($B$4,"Normal MLE",EXP(_xlfn.NORM.INV(C113,LN($C$10),$E$10/$C$10)),"Uniforme",$B$10+($D$10-$B$10)*C113,"Triangular",IF(C113&lt;=($C$10-$B$10)/($D$10-$B$10),$B$10+SQRT(C113*($D$10-$B$10)*($C$10-$B$10)),$D$10-SQRT((1-C113)*($D$10-$B$10)*($D$10-$C$10))),"PERT",_xlfn.BETA.INV(C113,1+$B$6*($C$10-$B$10)/($D$10-$B$10),1+$B$6*($D$10-$C$10)/($D$10-$B$10),$B$10,$D$10))</f>
        <v>5364.8644455510048</v>
      </c>
      <c r="F113" s="88">
        <f t="shared" ca="1" si="4"/>
        <v>0.57427425102084562</v>
      </c>
      <c r="G113" s="89">
        <f t="shared" ca="1" si="5"/>
        <v>1.5987519332471024E-4</v>
      </c>
    </row>
    <row r="114" spans="1:7" x14ac:dyDescent="0.35">
      <c r="A114" s="84">
        <v>99</v>
      </c>
      <c r="B114" s="84">
        <f t="shared" ca="1" si="3"/>
        <v>0.26059982686595651</v>
      </c>
      <c r="C114" s="84">
        <f t="shared" ca="1" si="3"/>
        <v>0.81174698400567935</v>
      </c>
      <c r="D114" s="93" cm="1">
        <f t="array" aca="1" ref="D114" ca="1">_xlfn.SWITCH($B$4,"Normal MLE",EXP(_xlfn.NORM.INV(B114,LN($C$9),$E$9/$C$9)),"Uniforme",$B$9+($D$9-$B$9)*B114,"Triangular",IF(B114&lt;=($C$9-$B$9)/($D$9-$B$9),$B$9+SQRT(B114*($D$9-$B$9)*($C$9-$B$9)),$D$9-SQRT((1-B114)*($D$9-$B$9)*($D$9-$C$9))),"PERT",_xlfn.BETA.INV(B114,1+$B$6*($C$9-$B$9)/($D$9-$B$9),1+$B$6*($D$9-$C$9)/($D$9-$B$9),$B$9,$D$9))</f>
        <v>1.8616493980130229</v>
      </c>
      <c r="E114" s="94" cm="1">
        <f t="array" aca="1" ref="E114" ca="1">_xlfn.SWITCH($B$4,"Normal MLE",EXP(_xlfn.NORM.INV(C114,LN($C$10),$E$10/$C$10)),"Uniforme",$B$10+($D$10-$B$10)*C114,"Triangular",IF(C114&lt;=($C$10-$B$10)/($D$10-$B$10),$B$10+SQRT(C114*($D$10-$B$10)*($C$10-$B$10)),$D$10-SQRT((1-C114)*($D$10-$B$10)*($D$10-$C$10))),"PERT",_xlfn.BETA.INV(C114,1+$B$6*($C$10-$B$10)/($D$10-$B$10),1+$B$6*($D$10-$C$10)/($D$10-$B$10),$B$10,$D$10))</f>
        <v>5314.0238218754057</v>
      </c>
      <c r="F114" s="88">
        <f t="shared" ca="1" si="4"/>
        <v>0.55471246676871377</v>
      </c>
      <c r="G114" s="89">
        <f t="shared" ca="1" si="5"/>
        <v>1.5214098840526463E-4</v>
      </c>
    </row>
    <row r="115" spans="1:7" x14ac:dyDescent="0.35">
      <c r="A115" s="84">
        <v>100</v>
      </c>
      <c r="B115" s="84">
        <f t="shared" ca="1" si="3"/>
        <v>0.79203506458288797</v>
      </c>
      <c r="C115" s="84">
        <f t="shared" ca="1" si="3"/>
        <v>0.21249591077527796</v>
      </c>
      <c r="D115" s="93" cm="1">
        <f t="array" aca="1" ref="D115" ca="1">_xlfn.SWITCH($B$4,"Normal MLE",EXP(_xlfn.NORM.INV(B115,LN($C$9),$E$9/$C$9)),"Uniforme",$B$9+($D$9-$B$9)*B115,"Triangular",IF(B115&lt;=($C$9-$B$9)/($D$9-$B$9),$B$9+SQRT(B115*($D$9-$B$9)*($C$9-$B$9)),$D$9-SQRT((1-B115)*($D$9-$B$9)*($D$9-$C$9))),"PERT",_xlfn.BETA.INV(B115,1+$B$6*($C$9-$B$9)/($D$9-$B$9),1+$B$6*($D$9-$C$9)/($D$9-$B$9),$B$9,$D$9))</f>
        <v>2.0625090059097952</v>
      </c>
      <c r="E115" s="94" cm="1">
        <f t="array" aca="1" ref="E115" ca="1">_xlfn.SWITCH($B$4,"Normal MLE",EXP(_xlfn.NORM.INV(C115,LN($C$10),$E$10/$C$10)),"Uniforme",$B$10+($D$10-$B$10)*C115,"Triangular",IF(C115&lt;=($C$10-$B$10)/($D$10-$B$10),$B$10+SQRT(C115*($D$10-$B$10)*($C$10-$B$10)),$D$10-SQRT((1-C115)*($D$10-$B$10)*($D$10-$C$10))),"PERT",_xlfn.BETA.INV(C115,1+$B$6*($C$10-$B$10)/($D$10-$B$10),1+$B$6*($D$10-$C$10)/($D$10-$B$10),$B$10,$D$10))</f>
        <v>4913.9198936056864</v>
      </c>
      <c r="F115" s="88">
        <f t="shared" ca="1" si="4"/>
        <v>0.51988363329088028</v>
      </c>
      <c r="G115" s="89">
        <f t="shared" ca="1" si="5"/>
        <v>1.7535555800654272E-4</v>
      </c>
    </row>
    <row r="116" spans="1:7" x14ac:dyDescent="0.35">
      <c r="A116" s="84">
        <v>101</v>
      </c>
      <c r="B116" s="84">
        <f t="shared" ca="1" si="3"/>
        <v>0.56253361574173177</v>
      </c>
      <c r="C116" s="84">
        <f t="shared" ca="1" si="3"/>
        <v>0.41535686141285888</v>
      </c>
      <c r="D116" s="93" cm="1">
        <f t="array" aca="1" ref="D116" ca="1">_xlfn.SWITCH($B$4,"Normal MLE",EXP(_xlfn.NORM.INV(B116,LN($C$9),$E$9/$C$9)),"Uniforme",$B$9+($D$9-$B$9)*B116,"Triangular",IF(B116&lt;=($C$9-$B$9)/($D$9-$B$9),$B$9+SQRT(B116*($D$9-$B$9)*($C$9-$B$9)),$D$9-SQRT((1-B116)*($D$9-$B$9)*($D$9-$C$9))),"PERT",_xlfn.BETA.INV(B116,1+$B$6*($C$9-$B$9)/($D$9-$B$9),1+$B$6*($D$9-$C$9)/($D$9-$B$9),$B$9,$D$9))</f>
        <v>1.9693834269437973</v>
      </c>
      <c r="E116" s="94" cm="1">
        <f t="array" aca="1" ref="E116" ca="1">_xlfn.SWITCH($B$4,"Normal MLE",EXP(_xlfn.NORM.INV(C116,LN($C$10),$E$10/$C$10)),"Uniforme",$B$10+($D$10-$B$10)*C116,"Triangular",IF(C116&lt;=($C$10-$B$10)/($D$10-$B$10),$B$10+SQRT(C116*($D$10-$B$10)*($C$10-$B$10)),$D$10-SQRT((1-C116)*($D$10-$B$10)*($D$10-$C$10))),"PERT",_xlfn.BETA.INV(C116,1+$B$6*($C$10-$B$10)/($D$10-$B$10),1+$B$6*($D$10-$C$10)/($D$10-$B$10),$B$10,$D$10))</f>
        <v>5049.2929273376085</v>
      </c>
      <c r="F116" s="88">
        <f t="shared" ca="1" si="4"/>
        <v>0.53149730776446891</v>
      </c>
      <c r="G116" s="89">
        <f t="shared" ca="1" si="5"/>
        <v>1.6539702846350696E-4</v>
      </c>
    </row>
    <row r="117" spans="1:7" x14ac:dyDescent="0.35">
      <c r="A117" s="84">
        <v>102</v>
      </c>
      <c r="B117" s="84">
        <f t="shared" ca="1" si="3"/>
        <v>0.28386477628828288</v>
      </c>
      <c r="C117" s="84">
        <f t="shared" ca="1" si="3"/>
        <v>0.44329133640499285</v>
      </c>
      <c r="D117" s="93" cm="1">
        <f t="array" aca="1" ref="D117" ca="1">_xlfn.SWITCH($B$4,"Normal MLE",EXP(_xlfn.NORM.INV(B117,LN($C$9),$E$9/$C$9)),"Uniforme",$B$9+($D$9-$B$9)*B117,"Triangular",IF(B117&lt;=($C$9-$B$9)/($D$9-$B$9),$B$9+SQRT(B117*($D$9-$B$9)*($C$9-$B$9)),$D$9-SQRT((1-B117)*($D$9-$B$9)*($D$9-$C$9))),"PERT",_xlfn.BETA.INV(B117,1+$B$6*($C$9-$B$9)/($D$9-$B$9),1+$B$6*($D$9-$C$9)/($D$9-$B$9),$B$9,$D$9))</f>
        <v>1.870861812962356</v>
      </c>
      <c r="E117" s="94" cm="1">
        <f t="array" aca="1" ref="E117" ca="1">_xlfn.SWITCH($B$4,"Normal MLE",EXP(_xlfn.NORM.INV(C117,LN($C$10),$E$10/$C$10)),"Uniforme",$B$10+($D$10-$B$10)*C117,"Triangular",IF(C117&lt;=($C$10-$B$10)/($D$10-$B$10),$B$10+SQRT(C117*($D$10-$B$10)*($C$10-$B$10)),$D$10-SQRT((1-C117)*($D$10-$B$10)*($D$10-$C$10))),"PERT",_xlfn.BETA.INV(C117,1+$B$6*($C$10-$B$10)/($D$10-$B$10),1+$B$6*($D$10-$C$10)/($D$10-$B$10),$B$10,$D$10))</f>
        <v>5066.0399763090891</v>
      </c>
      <c r="F117" s="88">
        <f t="shared" ca="1" si="4"/>
        <v>0.52585108302647465</v>
      </c>
      <c r="G117" s="89">
        <f t="shared" ca="1" si="5"/>
        <v>1.5808036894325426E-4</v>
      </c>
    </row>
    <row r="118" spans="1:7" x14ac:dyDescent="0.35">
      <c r="A118" s="84">
        <v>103</v>
      </c>
      <c r="B118" s="84">
        <f t="shared" ca="1" si="3"/>
        <v>0.12907412825147924</v>
      </c>
      <c r="C118" s="84">
        <f t="shared" ca="1" si="3"/>
        <v>0.61212881857312251</v>
      </c>
      <c r="D118" s="93" cm="1">
        <f t="array" aca="1" ref="D118" ca="1">_xlfn.SWITCH($B$4,"Normal MLE",EXP(_xlfn.NORM.INV(B118,LN($C$9),$E$9/$C$9)),"Uniforme",$B$9+($D$9-$B$9)*B118,"Triangular",IF(B118&lt;=($C$9-$B$9)/($D$9-$B$9),$B$9+SQRT(B118*($D$9-$B$9)*($C$9-$B$9)),$D$9-SQRT((1-B118)*($D$9-$B$9)*($D$9-$C$9))),"PERT",_xlfn.BETA.INV(B118,1+$B$6*($C$9-$B$9)/($D$9-$B$9),1+$B$6*($D$9-$C$9)/($D$9-$B$9),$B$9,$D$9))</f>
        <v>1.7985988191480631</v>
      </c>
      <c r="E118" s="94" cm="1">
        <f t="array" aca="1" ref="E118" ca="1">_xlfn.SWITCH($B$4,"Normal MLE",EXP(_xlfn.NORM.INV(C118,LN($C$10),$E$10/$C$10)),"Uniforme",$B$10+($D$10-$B$10)*C118,"Triangular",IF(C118&lt;=($C$10-$B$10)/($D$10-$B$10),$B$10+SQRT(C118*($D$10-$B$10)*($C$10-$B$10)),$D$10-SQRT((1-C118)*($D$10-$B$10)*($D$10-$C$10))),"PERT",_xlfn.BETA.INV(C118,1+$B$6*($C$10-$B$10)/($D$10-$B$10),1+$B$6*($D$10-$C$10)/($D$10-$B$10),$B$10,$D$10))</f>
        <v>5167.8302674480256</v>
      </c>
      <c r="F118" s="88">
        <f t="shared" ca="1" si="4"/>
        <v>0.5321524913688791</v>
      </c>
      <c r="G118" s="89">
        <f t="shared" ca="1" si="5"/>
        <v>1.5094524666462439E-4</v>
      </c>
    </row>
    <row r="119" spans="1:7" x14ac:dyDescent="0.35">
      <c r="A119" s="84">
        <v>104</v>
      </c>
      <c r="B119" s="84">
        <f t="shared" ca="1" si="3"/>
        <v>0.11345451475911228</v>
      </c>
      <c r="C119" s="84">
        <f t="shared" ca="1" si="3"/>
        <v>0.1120187916832116</v>
      </c>
      <c r="D119" s="93" cm="1">
        <f t="array" aca="1" ref="D119" ca="1">_xlfn.SWITCH($B$4,"Normal MLE",EXP(_xlfn.NORM.INV(B119,LN($C$9),$E$9/$C$9)),"Uniforme",$B$9+($D$9-$B$9)*B119,"Triangular",IF(B119&lt;=($C$9-$B$9)/($D$9-$B$9),$B$9+SQRT(B119*($D$9-$B$9)*($C$9-$B$9)),$D$9-SQRT((1-B119)*($D$9-$B$9)*($D$9-$C$9))),"PERT",_xlfn.BETA.INV(B119,1+$B$6*($C$9-$B$9)/($D$9-$B$9),1+$B$6*($D$9-$C$9)/($D$9-$B$9),$B$9,$D$9))</f>
        <v>1.7887995109275934</v>
      </c>
      <c r="E119" s="94" cm="1">
        <f t="array" aca="1" ref="E119" ca="1">_xlfn.SWITCH($B$4,"Normal MLE",EXP(_xlfn.NORM.INV(C119,LN($C$10),$E$10/$C$10)),"Uniforme",$B$10+($D$10-$B$10)*C119,"Triangular",IF(C119&lt;=($C$10-$B$10)/($D$10-$B$10),$B$10+SQRT(C119*($D$10-$B$10)*($C$10-$B$10)),$D$10-SQRT((1-C119)*($D$10-$B$10)*($D$10-$C$10))),"PERT",_xlfn.BETA.INV(C119,1+$B$6*($C$10-$B$10)/($D$10-$B$10),1+$B$6*($D$10-$C$10)/($D$10-$B$10),$B$10,$D$10))</f>
        <v>4819.2453019315599</v>
      </c>
      <c r="F119" s="88">
        <f t="shared" ca="1" si="4"/>
        <v>0.48842997221647422</v>
      </c>
      <c r="G119" s="89">
        <f t="shared" ca="1" si="5"/>
        <v>1.5651502714783124E-4</v>
      </c>
    </row>
    <row r="120" spans="1:7" x14ac:dyDescent="0.35">
      <c r="A120" s="84">
        <v>105</v>
      </c>
      <c r="B120" s="84">
        <f t="shared" ca="1" si="3"/>
        <v>0.30281353419286194</v>
      </c>
      <c r="C120" s="84">
        <f t="shared" ca="1" si="3"/>
        <v>0.43744762462057407</v>
      </c>
      <c r="D120" s="93" cm="1">
        <f t="array" aca="1" ref="D120" ca="1">_xlfn.SWITCH($B$4,"Normal MLE",EXP(_xlfn.NORM.INV(B120,LN($C$9),$E$9/$C$9)),"Uniforme",$B$9+($D$9-$B$9)*B120,"Triangular",IF(B120&lt;=($C$9-$B$9)/($D$9-$B$9),$B$9+SQRT(B120*($D$9-$B$9)*($C$9-$B$9)),$D$9-SQRT((1-B120)*($D$9-$B$9)*($D$9-$C$9))),"PERT",_xlfn.BETA.INV(B120,1+$B$6*($C$9-$B$9)/($D$9-$B$9),1+$B$6*($D$9-$C$9)/($D$9-$B$9),$B$9,$D$9))</f>
        <v>1.8781314935444984</v>
      </c>
      <c r="E120" s="94" cm="1">
        <f t="array" aca="1" ref="E120" ca="1">_xlfn.SWITCH($B$4,"Normal MLE",EXP(_xlfn.NORM.INV(C120,LN($C$10),$E$10/$C$10)),"Uniforme",$B$10+($D$10-$B$10)*C120,"Triangular",IF(C120&lt;=($C$10-$B$10)/($D$10-$B$10),$B$10+SQRT(C120*($D$10-$B$10)*($C$10-$B$10)),$D$10-SQRT((1-C120)*($D$10-$B$10)*($D$10-$C$10))),"PERT",_xlfn.BETA.INV(C120,1+$B$6*($C$10-$B$10)/($D$10-$B$10),1+$B$6*($D$10-$C$10)/($D$10-$B$10),$B$10,$D$10))</f>
        <v>5062.5488713809364</v>
      </c>
      <c r="F120" s="88">
        <f t="shared" ca="1" si="4"/>
        <v>0.52599399528858726</v>
      </c>
      <c r="G120" s="89">
        <f t="shared" ca="1" si="5"/>
        <v>1.5867064582074857E-4</v>
      </c>
    </row>
    <row r="121" spans="1:7" x14ac:dyDescent="0.35">
      <c r="A121" s="84">
        <v>106</v>
      </c>
      <c r="B121" s="84">
        <f t="shared" ca="1" si="3"/>
        <v>0.67269287545782563</v>
      </c>
      <c r="C121" s="84">
        <f t="shared" ca="1" si="3"/>
        <v>0.62857806477811073</v>
      </c>
      <c r="D121" s="93" cm="1">
        <f t="array" aca="1" ref="D121" ca="1">_xlfn.SWITCH($B$4,"Normal MLE",EXP(_xlfn.NORM.INV(B121,LN($C$9),$E$9/$C$9)),"Uniforme",$B$9+($D$9-$B$9)*B121,"Triangular",IF(B121&lt;=($C$9-$B$9)/($D$9-$B$9),$B$9+SQRT(B121*($D$9-$B$9)*($C$9-$B$9)),$D$9-SQRT((1-B121)*($D$9-$B$9)*($D$9-$C$9))),"PERT",_xlfn.BETA.INV(B121,1+$B$6*($C$9-$B$9)/($D$9-$B$9),1+$B$6*($D$9-$C$9)/($D$9-$B$9),$B$9,$D$9))</f>
        <v>2.0100100328891481</v>
      </c>
      <c r="E121" s="94" cm="1">
        <f t="array" aca="1" ref="E121" ca="1">_xlfn.SWITCH($B$4,"Normal MLE",EXP(_xlfn.NORM.INV(C121,LN($C$10),$E$10/$C$10)),"Uniforme",$B$10+($D$10-$B$10)*C121,"Triangular",IF(C121&lt;=($C$10-$B$10)/($D$10-$B$10),$B$10+SQRT(C121*($D$10-$B$10)*($C$10-$B$10)),$D$10-SQRT((1-C121)*($D$10-$B$10)*($D$10-$C$10))),"PERT",_xlfn.BETA.INV(C121,1+$B$6*($C$10-$B$10)/($D$10-$B$10),1+$B$6*($D$10-$C$10)/($D$10-$B$10),$B$10,$D$10))</f>
        <v>5178.2338156815586</v>
      </c>
      <c r="F121" s="88">
        <f t="shared" ca="1" si="4"/>
        <v>0.55147387473432163</v>
      </c>
      <c r="G121" s="89">
        <f t="shared" ca="1" si="5"/>
        <v>1.6492918207110024E-4</v>
      </c>
    </row>
    <row r="122" spans="1:7" x14ac:dyDescent="0.35">
      <c r="A122" s="84">
        <v>107</v>
      </c>
      <c r="B122" s="84">
        <f t="shared" ca="1" si="3"/>
        <v>0.9000288791119091</v>
      </c>
      <c r="C122" s="84">
        <f t="shared" ca="1" si="3"/>
        <v>7.760157362838882E-2</v>
      </c>
      <c r="D122" s="93" cm="1">
        <f t="array" aca="1" ref="D122" ca="1">_xlfn.SWITCH($B$4,"Normal MLE",EXP(_xlfn.NORM.INV(B122,LN($C$9),$E$9/$C$9)),"Uniforme",$B$9+($D$9-$B$9)*B122,"Triangular",IF(B122&lt;=($C$9-$B$9)/($D$9-$B$9),$B$9+SQRT(B122*($D$9-$B$9)*($C$9-$B$9)),$D$9-SQRT((1-B122)*($D$9-$B$9)*($D$9-$C$9))),"PERT",_xlfn.BETA.INV(B122,1+$B$6*($C$9-$B$9)/($D$9-$B$9),1+$B$6*($D$9-$C$9)/($D$9-$B$9),$B$9,$D$9))</f>
        <v>2.1316462038110635</v>
      </c>
      <c r="E122" s="94" cm="1">
        <f t="array" aca="1" ref="E122" ca="1">_xlfn.SWITCH($B$4,"Normal MLE",EXP(_xlfn.NORM.INV(C122,LN($C$10),$E$10/$C$10)),"Uniforme",$B$10+($D$10-$B$10)*C122,"Triangular",IF(C122&lt;=($C$10-$B$10)/($D$10-$B$10),$B$10+SQRT(C122*($D$10-$B$10)*($C$10-$B$10)),$D$10-SQRT((1-C122)*($D$10-$B$10)*($D$10-$C$10))),"PERT",_xlfn.BETA.INV(C122,1+$B$6*($C$10-$B$10)/($D$10-$B$10),1+$B$6*($D$10-$C$10)/($D$10-$B$10),$B$10,$D$10))</f>
        <v>4773.3730105247487</v>
      </c>
      <c r="F122" s="88">
        <f t="shared" ca="1" si="4"/>
        <v>0.50355516984054982</v>
      </c>
      <c r="G122" s="89">
        <f t="shared" ca="1" si="5"/>
        <v>1.8410498921729885E-4</v>
      </c>
    </row>
    <row r="123" spans="1:7" x14ac:dyDescent="0.35">
      <c r="A123" s="84">
        <v>108</v>
      </c>
      <c r="B123" s="84">
        <f t="shared" ca="1" si="3"/>
        <v>0.31602976721696052</v>
      </c>
      <c r="C123" s="84">
        <f t="shared" ca="1" si="3"/>
        <v>0.26393390479736656</v>
      </c>
      <c r="D123" s="93" cm="1">
        <f t="array" aca="1" ref="D123" ca="1">_xlfn.SWITCH($B$4,"Normal MLE",EXP(_xlfn.NORM.INV(B123,LN($C$9),$E$9/$C$9)),"Uniforme",$B$9+($D$9-$B$9)*B123,"Triangular",IF(B123&lt;=($C$9-$B$9)/($D$9-$B$9),$B$9+SQRT(B123*($D$9-$B$9)*($C$9-$B$9)),$D$9-SQRT((1-B123)*($D$9-$B$9)*($D$9-$C$9))),"PERT",_xlfn.BETA.INV(B123,1+$B$6*($C$9-$B$9)/($D$9-$B$9),1+$B$6*($D$9-$C$9)/($D$9-$B$9),$B$9,$D$9))</f>
        <v>1.8830970867210866</v>
      </c>
      <c r="E123" s="94" cm="1">
        <f t="array" aca="1" ref="E123" ca="1">_xlfn.SWITCH($B$4,"Normal MLE",EXP(_xlfn.NORM.INV(C123,LN($C$10),$E$10/$C$10)),"Uniforme",$B$10+($D$10-$B$10)*C123,"Triangular",IF(C123&lt;=($C$10-$B$10)/($D$10-$B$10),$B$10+SQRT(C123*($D$10-$B$10)*($C$10-$B$10)),$D$10-SQRT((1-C123)*($D$10-$B$10)*($D$10-$C$10))),"PERT",_xlfn.BETA.INV(C123,1+$B$6*($C$10-$B$10)/($D$10-$B$10),1+$B$6*($D$10-$C$10)/($D$10-$B$10),$B$10,$D$10))</f>
        <v>4952.1467948456693</v>
      </c>
      <c r="F123" s="88">
        <f t="shared" ca="1" si="4"/>
        <v>0.51226183692366078</v>
      </c>
      <c r="G123" s="89">
        <f t="shared" ca="1" si="5"/>
        <v>1.6131639351418399E-4</v>
      </c>
    </row>
    <row r="124" spans="1:7" x14ac:dyDescent="0.35">
      <c r="A124" s="84">
        <v>109</v>
      </c>
      <c r="B124" s="84">
        <f t="shared" ca="1" si="3"/>
        <v>0.35939702243042293</v>
      </c>
      <c r="C124" s="84">
        <f t="shared" ca="1" si="3"/>
        <v>0.8037895089608712</v>
      </c>
      <c r="D124" s="93" cm="1">
        <f t="array" aca="1" ref="D124" ca="1">_xlfn.SWITCH($B$4,"Normal MLE",EXP(_xlfn.NORM.INV(B124,LN($C$9),$E$9/$C$9)),"Uniforme",$B$9+($D$9-$B$9)*B124,"Triangular",IF(B124&lt;=($C$9-$B$9)/($D$9-$B$9),$B$9+SQRT(B124*($D$9-$B$9)*($C$9-$B$9)),$D$9-SQRT((1-B124)*($D$9-$B$9)*($D$9-$C$9))),"PERT",_xlfn.BETA.INV(B124,1+$B$6*($C$9-$B$9)/($D$9-$B$9),1+$B$6*($D$9-$C$9)/($D$9-$B$9),$B$9,$D$9))</f>
        <v>1.898911369865881</v>
      </c>
      <c r="E124" s="94" cm="1">
        <f t="array" aca="1" ref="E124" ca="1">_xlfn.SWITCH($B$4,"Normal MLE",EXP(_xlfn.NORM.INV(C124,LN($C$10),$E$10/$C$10)),"Uniforme",$B$10+($D$10-$B$10)*C124,"Triangular",IF(C124&lt;=($C$10-$B$10)/($D$10-$B$10),$B$10+SQRT(C124*($D$10-$B$10)*($C$10-$B$10)),$D$10-SQRT((1-C124)*($D$10-$B$10)*($D$10-$C$10))),"PERT",_xlfn.BETA.INV(C124,1+$B$6*($C$10-$B$10)/($D$10-$B$10),1+$B$6*($D$10-$C$10)/($D$10-$B$10),$B$10,$D$10))</f>
        <v>5306.8284663221202</v>
      </c>
      <c r="F124" s="88">
        <f t="shared" ca="1" si="4"/>
        <v>0.55732707274876925</v>
      </c>
      <c r="G124" s="89">
        <f t="shared" ca="1" si="5"/>
        <v>1.5467349125745534E-4</v>
      </c>
    </row>
    <row r="125" spans="1:7" x14ac:dyDescent="0.35">
      <c r="A125" s="84">
        <v>110</v>
      </c>
      <c r="B125" s="84">
        <f t="shared" ca="1" si="3"/>
        <v>0.30716750073035959</v>
      </c>
      <c r="C125" s="84">
        <f t="shared" ca="1" si="3"/>
        <v>0.77021796286376942</v>
      </c>
      <c r="D125" s="93" cm="1">
        <f t="array" aca="1" ref="D125" ca="1">_xlfn.SWITCH($B$4,"Normal MLE",EXP(_xlfn.NORM.INV(B125,LN($C$9),$E$9/$C$9)),"Uniforme",$B$9+($D$9-$B$9)*B125,"Triangular",IF(B125&lt;=($C$9-$B$9)/($D$9-$B$9),$B$9+SQRT(B125*($D$9-$B$9)*($C$9-$B$9)),$D$9-SQRT((1-B125)*($D$9-$B$9)*($D$9-$C$9))),"PERT",_xlfn.BETA.INV(B125,1+$B$6*($C$9-$B$9)/($D$9-$B$9),1+$B$6*($D$9-$C$9)/($D$9-$B$9),$B$9,$D$9))</f>
        <v>1.8797762076150677</v>
      </c>
      <c r="E125" s="94" cm="1">
        <f t="array" aca="1" ref="E125" ca="1">_xlfn.SWITCH($B$4,"Normal MLE",EXP(_xlfn.NORM.INV(C125,LN($C$10),$E$10/$C$10)),"Uniforme",$B$10+($D$10-$B$10)*C125,"Triangular",IF(C125&lt;=($C$10-$B$10)/($D$10-$B$10),$B$10+SQRT(C125*($D$10-$B$10)*($C$10-$B$10)),$D$10-SQRT((1-C125)*($D$10-$B$10)*($D$10-$C$10))),"PERT",_xlfn.BETA.INV(C125,1+$B$6*($C$10-$B$10)/($D$10-$B$10),1+$B$6*($D$10-$C$10)/($D$10-$B$10),$B$10,$D$10))</f>
        <v>5278.3404796691111</v>
      </c>
      <c r="F125" s="88">
        <f t="shared" ca="1" si="4"/>
        <v>0.5522516949958407</v>
      </c>
      <c r="G125" s="89">
        <f t="shared" ca="1" si="5"/>
        <v>1.5409474817121616E-4</v>
      </c>
    </row>
    <row r="126" spans="1:7" x14ac:dyDescent="0.35">
      <c r="A126" s="84">
        <v>111</v>
      </c>
      <c r="B126" s="84">
        <f t="shared" ca="1" si="3"/>
        <v>0.54940571841559904</v>
      </c>
      <c r="C126" s="84">
        <f t="shared" ca="1" si="3"/>
        <v>6.186384988494309E-2</v>
      </c>
      <c r="D126" s="93" cm="1">
        <f t="array" aca="1" ref="D126" ca="1">_xlfn.SWITCH($B$4,"Normal MLE",EXP(_xlfn.NORM.INV(B126,LN($C$9),$E$9/$C$9)),"Uniforme",$B$9+($D$9-$B$9)*B126,"Triangular",IF(B126&lt;=($C$9-$B$9)/($D$9-$B$9),$B$9+SQRT(B126*($D$9-$B$9)*($C$9-$B$9)),$D$9-SQRT((1-B126)*($D$9-$B$9)*($D$9-$C$9))),"PERT",_xlfn.BETA.INV(B126,1+$B$6*($C$9-$B$9)/($D$9-$B$9),1+$B$6*($D$9-$C$9)/($D$9-$B$9),$B$9,$D$9))</f>
        <v>1.9647795558203198</v>
      </c>
      <c r="E126" s="94" cm="1">
        <f t="array" aca="1" ref="E126" ca="1">_xlfn.SWITCH($B$4,"Normal MLE",EXP(_xlfn.NORM.INV(C126,LN($C$10),$E$10/$C$10)),"Uniforme",$B$10+($D$10-$B$10)*C126,"Triangular",IF(C126&lt;=($C$10-$B$10)/($D$10-$B$10),$B$10+SQRT(C126*($D$10-$B$10)*($C$10-$B$10)),$D$10-SQRT((1-C126)*($D$10-$B$10)*($D$10-$C$10))),"PERT",_xlfn.BETA.INV(C126,1+$B$6*($C$10-$B$10)/($D$10-$B$10),1+$B$6*($D$10-$C$10)/($D$10-$B$10),$B$10,$D$10))</f>
        <v>4747.2510533774075</v>
      </c>
      <c r="F126" s="88">
        <f t="shared" ca="1" si="4"/>
        <v>0.4895550300771514</v>
      </c>
      <c r="G126" s="89">
        <f t="shared" ca="1" si="5"/>
        <v>1.717555242620918E-4</v>
      </c>
    </row>
    <row r="127" spans="1:7" x14ac:dyDescent="0.35">
      <c r="A127" s="84">
        <v>112</v>
      </c>
      <c r="B127" s="84">
        <f t="shared" ca="1" si="3"/>
        <v>0.54940224120269698</v>
      </c>
      <c r="C127" s="84">
        <f t="shared" ca="1" si="3"/>
        <v>6.5474942911588063E-2</v>
      </c>
      <c r="D127" s="93" cm="1">
        <f t="array" aca="1" ref="D127" ca="1">_xlfn.SWITCH($B$4,"Normal MLE",EXP(_xlfn.NORM.INV(B127,LN($C$9),$E$9/$C$9)),"Uniforme",$B$9+($D$9-$B$9)*B127,"Triangular",IF(B127&lt;=($C$9-$B$9)/($D$9-$B$9),$B$9+SQRT(B127*($D$9-$B$9)*($C$9-$B$9)),$D$9-SQRT((1-B127)*($D$9-$B$9)*($D$9-$C$9))),"PERT",_xlfn.BETA.INV(B127,1+$B$6*($C$9-$B$9)/($D$9-$B$9),1+$B$6*($D$9-$C$9)/($D$9-$B$9),$B$9,$D$9))</f>
        <v>1.9647783405442667</v>
      </c>
      <c r="E127" s="94" cm="1">
        <f t="array" aca="1" ref="E127" ca="1">_xlfn.SWITCH($B$4,"Normal MLE",EXP(_xlfn.NORM.INV(C127,LN($C$10),$E$10/$C$10)),"Uniforme",$B$10+($D$10-$B$10)*C127,"Triangular",IF(C127&lt;=($C$10-$B$10)/($D$10-$B$10),$B$10+SQRT(C127*($D$10-$B$10)*($C$10-$B$10)),$D$10-SQRT((1-C127)*($D$10-$B$10)*($D$10-$C$10))),"PERT",_xlfn.BETA.INV(C127,1+$B$6*($C$10-$B$10)/($D$10-$B$10),1+$B$6*($D$10-$C$10)/($D$10-$B$10),$B$10,$D$10))</f>
        <v>4753.6500765638257</v>
      </c>
      <c r="F127" s="88">
        <f t="shared" ca="1" si="4"/>
        <v>0.4904800491150913</v>
      </c>
      <c r="G127" s="89">
        <f t="shared" ca="1" si="5"/>
        <v>1.7162515824005833E-4</v>
      </c>
    </row>
    <row r="128" spans="1:7" x14ac:dyDescent="0.35">
      <c r="A128" s="84">
        <v>113</v>
      </c>
      <c r="B128" s="84">
        <f t="shared" ca="1" si="3"/>
        <v>0.96036533066224194</v>
      </c>
      <c r="C128" s="84">
        <f t="shared" ca="1" si="3"/>
        <v>0.9204877479339405</v>
      </c>
      <c r="D128" s="93" cm="1">
        <f t="array" aca="1" ref="D128" ca="1">_xlfn.SWITCH($B$4,"Normal MLE",EXP(_xlfn.NORM.INV(B128,LN($C$9),$E$9/$C$9)),"Uniforme",$B$9+($D$9-$B$9)*B128,"Triangular",IF(B128&lt;=($C$9-$B$9)/($D$9-$B$9),$B$9+SQRT(B128*($D$9-$B$9)*($C$9-$B$9)),$D$9-SQRT((1-B128)*($D$9-$B$9)*($D$9-$C$9))),"PERT",_xlfn.BETA.INV(B128,1+$B$6*($C$9-$B$9)/($D$9-$B$9),1+$B$6*($D$9-$C$9)/($D$9-$B$9),$B$9,$D$9))</f>
        <v>2.2038786232035052</v>
      </c>
      <c r="E128" s="94" cm="1">
        <f t="array" aca="1" ref="E128" ca="1">_xlfn.SWITCH($B$4,"Normal MLE",EXP(_xlfn.NORM.INV(C128,LN($C$10),$E$10/$C$10)),"Uniforme",$B$10+($D$10-$B$10)*C128,"Triangular",IF(C128&lt;=($C$10-$B$10)/($D$10-$B$10),$B$10+SQRT(C128*($D$10-$B$10)*($C$10-$B$10)),$D$10-SQRT((1-C128)*($D$10-$B$10)*($D$10-$C$10))),"PERT",_xlfn.BETA.INV(C128,1+$B$6*($C$10-$B$10)/($D$10-$B$10),1+$B$6*($D$10-$C$10)/($D$10-$B$10),$B$10,$D$10))</f>
        <v>5445.1954822110538</v>
      </c>
      <c r="F128" s="88">
        <f t="shared" ca="1" si="4"/>
        <v>0.60245808107104748</v>
      </c>
      <c r="G128" s="89">
        <f t="shared" ca="1" si="5"/>
        <v>1.6820437783968031E-4</v>
      </c>
    </row>
    <row r="129" spans="1:7" x14ac:dyDescent="0.35">
      <c r="A129" s="84">
        <v>114</v>
      </c>
      <c r="B129" s="84">
        <f t="shared" ca="1" si="3"/>
        <v>0.51930207073201928</v>
      </c>
      <c r="C129" s="84">
        <f t="shared" ca="1" si="3"/>
        <v>0.65309609314619022</v>
      </c>
      <c r="D129" s="93" cm="1">
        <f t="array" aca="1" ref="D129" ca="1">_xlfn.SWITCH($B$4,"Normal MLE",EXP(_xlfn.NORM.INV(B129,LN($C$9),$E$9/$C$9)),"Uniforme",$B$9+($D$9-$B$9)*B129,"Triangular",IF(B129&lt;=($C$9-$B$9)/($D$9-$B$9),$B$9+SQRT(B129*($D$9-$B$9)*($C$9-$B$9)),$D$9-SQRT((1-B129)*($D$9-$B$9)*($D$9-$C$9))),"PERT",_xlfn.BETA.INV(B129,1+$B$6*($C$9-$B$9)/($D$9-$B$9),1+$B$6*($D$9-$C$9)/($D$9-$B$9),$B$9,$D$9))</f>
        <v>1.9543256797412321</v>
      </c>
      <c r="E129" s="94" cm="1">
        <f t="array" aca="1" ref="E129" ca="1">_xlfn.SWITCH($B$4,"Normal MLE",EXP(_xlfn.NORM.INV(C129,LN($C$10),$E$10/$C$10)),"Uniforme",$B$10+($D$10-$B$10)*C129,"Triangular",IF(C129&lt;=($C$10-$B$10)/($D$10-$B$10),$B$10+SQRT(C129*($D$10-$B$10)*($C$10-$B$10)),$D$10-SQRT((1-C129)*($D$10-$B$10)*($D$10-$C$10))),"PERT",_xlfn.BETA.INV(C129,1+$B$6*($C$10-$B$10)/($D$10-$B$10),1+$B$6*($D$10-$C$10)/($D$10-$B$10),$B$10,$D$10))</f>
        <v>5194.066075589345</v>
      </c>
      <c r="F129" s="88">
        <f t="shared" ca="1" si="4"/>
        <v>0.54870894630128664</v>
      </c>
      <c r="G129" s="89">
        <f t="shared" ca="1" si="5"/>
        <v>1.6090356529956335E-4</v>
      </c>
    </row>
    <row r="130" spans="1:7" x14ac:dyDescent="0.35">
      <c r="A130" s="84">
        <v>115</v>
      </c>
      <c r="B130" s="84">
        <f t="shared" ca="1" si="3"/>
        <v>0.67811106547915945</v>
      </c>
      <c r="C130" s="84">
        <f t="shared" ca="1" si="3"/>
        <v>0.46033323118547265</v>
      </c>
      <c r="D130" s="93" cm="1">
        <f t="array" aca="1" ref="D130" ca="1">_xlfn.SWITCH($B$4,"Normal MLE",EXP(_xlfn.NORM.INV(B130,LN($C$9),$E$9/$C$9)),"Uniforme",$B$9+($D$9-$B$9)*B130,"Triangular",IF(B130&lt;=($C$9-$B$9)/($D$9-$B$9),$B$9+SQRT(B130*($D$9-$B$9)*($C$9-$B$9)),$D$9-SQRT((1-B130)*($D$9-$B$9)*($D$9-$C$9))),"PERT",_xlfn.BETA.INV(B130,1+$B$6*($C$9-$B$9)/($D$9-$B$9),1+$B$6*($D$9-$C$9)/($D$9-$B$9),$B$9,$D$9))</f>
        <v>2.0121430895058117</v>
      </c>
      <c r="E130" s="94" cm="1">
        <f t="array" aca="1" ref="E130" ca="1">_xlfn.SWITCH($B$4,"Normal MLE",EXP(_xlfn.NORM.INV(C130,LN($C$10),$E$10/$C$10)),"Uniforme",$B$10+($D$10-$B$10)*C130,"Triangular",IF(C130&lt;=($C$10-$B$10)/($D$10-$B$10),$B$10+SQRT(C130*($D$10-$B$10)*($C$10-$B$10)),$D$10-SQRT((1-C130)*($D$10-$B$10)*($D$10-$C$10))),"PERT",_xlfn.BETA.INV(C130,1+$B$6*($C$10-$B$10)/($D$10-$B$10),1+$B$6*($D$10-$C$10)/($D$10-$B$10),$B$10,$D$10))</f>
        <v>5076.1955086127718</v>
      </c>
      <c r="F130" s="88">
        <f t="shared" ca="1" si="4"/>
        <v>0.53840888686481492</v>
      </c>
      <c r="G130" s="89">
        <f t="shared" ca="1" si="5"/>
        <v>1.6768640133442051E-4</v>
      </c>
    </row>
    <row r="131" spans="1:7" x14ac:dyDescent="0.35">
      <c r="A131" s="84">
        <v>116</v>
      </c>
      <c r="B131" s="84">
        <f t="shared" ca="1" si="3"/>
        <v>0.63458594892559106</v>
      </c>
      <c r="C131" s="84">
        <f t="shared" ca="1" si="3"/>
        <v>0.81094159430394663</v>
      </c>
      <c r="D131" s="93" cm="1">
        <f t="array" aca="1" ref="D131" ca="1">_xlfn.SWITCH($B$4,"Normal MLE",EXP(_xlfn.NORM.INV(B131,LN($C$9),$E$9/$C$9)),"Uniforme",$B$9+($D$9-$B$9)*B131,"Triangular",IF(B131&lt;=($C$9-$B$9)/($D$9-$B$9),$B$9+SQRT(B131*($D$9-$B$9)*($C$9-$B$9)),$D$9-SQRT((1-B131)*($D$9-$B$9)*($D$9-$C$9))),"PERT",_xlfn.BETA.INV(B131,1+$B$6*($C$9-$B$9)/($D$9-$B$9),1+$B$6*($D$9-$C$9)/($D$9-$B$9),$B$9,$D$9))</f>
        <v>1.9954363958812102</v>
      </c>
      <c r="E131" s="94" cm="1">
        <f t="array" aca="1" ref="E131" ca="1">_xlfn.SWITCH($B$4,"Normal MLE",EXP(_xlfn.NORM.INV(C131,LN($C$10),$E$10/$C$10)),"Uniforme",$B$10+($D$10-$B$10)*C131,"Triangular",IF(C131&lt;=($C$10-$B$10)/($D$10-$B$10),$B$10+SQRT(C131*($D$10-$B$10)*($C$10-$B$10)),$D$10-SQRT((1-C131)*($D$10-$B$10)*($D$10-$C$10))),"PERT",_xlfn.BETA.INV(C131,1+$B$6*($C$10-$B$10)/($D$10-$B$10),1+$B$6*($D$10-$C$10)/($D$10-$B$10),$B$10,$D$10))</f>
        <v>5313.286737938738</v>
      </c>
      <c r="F131" s="88">
        <f t="shared" ca="1" si="4"/>
        <v>0.56694819482199665</v>
      </c>
      <c r="G131" s="89">
        <f t="shared" ca="1" si="5"/>
        <v>1.6050089451541448E-4</v>
      </c>
    </row>
    <row r="132" spans="1:7" x14ac:dyDescent="0.35">
      <c r="A132" s="84">
        <v>117</v>
      </c>
      <c r="B132" s="84">
        <f t="shared" ca="1" si="3"/>
        <v>2.4628367530259543E-2</v>
      </c>
      <c r="C132" s="84">
        <f t="shared" ca="1" si="3"/>
        <v>0.97273663720061543</v>
      </c>
      <c r="D132" s="93" cm="1">
        <f t="array" aca="1" ref="D132" ca="1">_xlfn.SWITCH($B$4,"Normal MLE",EXP(_xlfn.NORM.INV(B132,LN($C$9),$E$9/$C$9)),"Uniforme",$B$9+($D$9-$B$9)*B132,"Triangular",IF(B132&lt;=($C$9-$B$9)/($D$9-$B$9),$B$9+SQRT(B132*($D$9-$B$9)*($C$9-$B$9)),$D$9-SQRT((1-B132)*($D$9-$B$9)*($D$9-$C$9))),"PERT",_xlfn.BETA.INV(B132,1+$B$6*($C$9-$B$9)/($D$9-$B$9),1+$B$6*($D$9-$C$9)/($D$9-$B$9),$B$9,$D$9))</f>
        <v>1.6958202437390466</v>
      </c>
      <c r="E132" s="94" cm="1">
        <f t="array" aca="1" ref="E132" ca="1">_xlfn.SWITCH($B$4,"Normal MLE",EXP(_xlfn.NORM.INV(C132,LN($C$10),$E$10/$C$10)),"Uniforme",$B$10+($D$10-$B$10)*C132,"Triangular",IF(C132&lt;=($C$10-$B$10)/($D$10-$B$10),$B$10+SQRT(C132*($D$10-$B$10)*($C$10-$B$10)),$D$10-SQRT((1-C132)*($D$10-$B$10)*($D$10-$C$10))),"PERT",_xlfn.BETA.INV(C132,1+$B$6*($C$10-$B$10)/($D$10-$B$10),1+$B$6*($D$10-$C$10)/($D$10-$B$10),$B$10,$D$10))</f>
        <v>5577.0768690325976</v>
      </c>
      <c r="F132" s="88">
        <f t="shared" ca="1" si="4"/>
        <v>0.56601575470010745</v>
      </c>
      <c r="G132" s="89">
        <f t="shared" ca="1" si="5"/>
        <v>1.3657222691377559E-4</v>
      </c>
    </row>
    <row r="133" spans="1:7" x14ac:dyDescent="0.35">
      <c r="A133" s="84">
        <v>118</v>
      </c>
      <c r="B133" s="84">
        <f t="shared" ca="1" si="3"/>
        <v>0.72298482057246405</v>
      </c>
      <c r="C133" s="84">
        <f t="shared" ca="1" si="3"/>
        <v>0.65940238250949423</v>
      </c>
      <c r="D133" s="93" cm="1">
        <f t="array" aca="1" ref="D133" ca="1">_xlfn.SWITCH($B$4,"Normal MLE",EXP(_xlfn.NORM.INV(B133,LN($C$9),$E$9/$C$9)),"Uniforme",$B$9+($D$9-$B$9)*B133,"Triangular",IF(B133&lt;=($C$9-$B$9)/($D$9-$B$9),$B$9+SQRT(B133*($D$9-$B$9)*($C$9-$B$9)),$D$9-SQRT((1-B133)*($D$9-$B$9)*($D$9-$C$9))),"PERT",_xlfn.BETA.INV(B133,1+$B$6*($C$9-$B$9)/($D$9-$B$9),1+$B$6*($D$9-$C$9)/($D$9-$B$9),$B$9,$D$9))</f>
        <v>2.0305489902179619</v>
      </c>
      <c r="E133" s="94" cm="1">
        <f t="array" aca="1" ref="E133" ca="1">_xlfn.SWITCH($B$4,"Normal MLE",EXP(_xlfn.NORM.INV(C133,LN($C$10),$E$10/$C$10)),"Uniforme",$B$10+($D$10-$B$10)*C133,"Triangular",IF(C133&lt;=($C$10-$B$10)/($D$10-$B$10),$B$10+SQRT(C133*($D$10-$B$10)*($C$10-$B$10)),$D$10-SQRT((1-C133)*($D$10-$B$10)*($D$10-$C$10))),"PERT",_xlfn.BETA.INV(C133,1+$B$6*($C$10-$B$10)/($D$10-$B$10),1+$B$6*($D$10-$C$10)/($D$10-$B$10),$B$10,$D$10))</f>
        <v>5198.210458579425</v>
      </c>
      <c r="F133" s="88">
        <f t="shared" ca="1" si="4"/>
        <v>0.55576888094740651</v>
      </c>
      <c r="G133" s="89">
        <f t="shared" ca="1" si="5"/>
        <v>1.6572334246234567E-4</v>
      </c>
    </row>
    <row r="134" spans="1:7" x14ac:dyDescent="0.35">
      <c r="A134" s="84">
        <v>119</v>
      </c>
      <c r="B134" s="84">
        <f t="shared" ca="1" si="3"/>
        <v>0.12976112277593954</v>
      </c>
      <c r="C134" s="84">
        <f t="shared" ca="1" si="3"/>
        <v>0.3252230032817498</v>
      </c>
      <c r="D134" s="93" cm="1">
        <f t="array" aca="1" ref="D134" ca="1">_xlfn.SWITCH($B$4,"Normal MLE",EXP(_xlfn.NORM.INV(B134,LN($C$9),$E$9/$C$9)),"Uniforme",$B$9+($D$9-$B$9)*B134,"Triangular",IF(B134&lt;=($C$9-$B$9)/($D$9-$B$9),$B$9+SQRT(B134*($D$9-$B$9)*($C$9-$B$9)),$D$9-SQRT((1-B134)*($D$9-$B$9)*($D$9-$C$9))),"PERT",_xlfn.BETA.INV(B134,1+$B$6*($C$9-$B$9)/($D$9-$B$9),1+$B$6*($D$9-$C$9)/($D$9-$B$9),$B$9,$D$9))</f>
        <v>1.7990114657966521</v>
      </c>
      <c r="E134" s="94" cm="1">
        <f t="array" aca="1" ref="E134" ca="1">_xlfn.SWITCH($B$4,"Normal MLE",EXP(_xlfn.NORM.INV(C134,LN($C$10),$E$10/$C$10)),"Uniforme",$B$10+($D$10-$B$10)*C134,"Triangular",IF(C134&lt;=($C$10-$B$10)/($D$10-$B$10),$B$10+SQRT(C134*($D$10-$B$10)*($C$10-$B$10)),$D$10-SQRT((1-C134)*($D$10-$B$10)*($D$10-$C$10))),"PERT",_xlfn.BETA.INV(C134,1+$B$6*($C$10-$B$10)/($D$10-$B$10),1+$B$6*($D$10-$C$10)/($D$10-$B$10),$B$10,$D$10))</f>
        <v>4993.3645309044823</v>
      </c>
      <c r="F134" s="88">
        <f t="shared" ca="1" si="4"/>
        <v>0.51121860518495332</v>
      </c>
      <c r="G134" s="89">
        <f t="shared" ca="1" si="5"/>
        <v>1.5426802319827985E-4</v>
      </c>
    </row>
    <row r="135" spans="1:7" x14ac:dyDescent="0.35">
      <c r="A135" s="84">
        <v>120</v>
      </c>
      <c r="B135" s="84">
        <f t="shared" ca="1" si="3"/>
        <v>0.5787548182838278</v>
      </c>
      <c r="C135" s="84">
        <f t="shared" ca="1" si="3"/>
        <v>9.0604862140521325E-2</v>
      </c>
      <c r="D135" s="93" cm="1">
        <f t="array" aca="1" ref="D135" ca="1">_xlfn.SWITCH($B$4,"Normal MLE",EXP(_xlfn.NORM.INV(B135,LN($C$9),$E$9/$C$9)),"Uniforme",$B$9+($D$9-$B$9)*B135,"Triangular",IF(B135&lt;=($C$9-$B$9)/($D$9-$B$9),$B$9+SQRT(B135*($D$9-$B$9)*($C$9-$B$9)),$D$9-SQRT((1-B135)*($D$9-$B$9)*($D$9-$C$9))),"PERT",_xlfn.BETA.INV(B135,1+$B$6*($C$9-$B$9)/($D$9-$B$9),1+$B$6*($D$9-$C$9)/($D$9-$B$9),$B$9,$D$9))</f>
        <v>1.9751211818040133</v>
      </c>
      <c r="E135" s="94" cm="1">
        <f t="array" aca="1" ref="E135" ca="1">_xlfn.SWITCH($B$4,"Normal MLE",EXP(_xlfn.NORM.INV(C135,LN($C$10),$E$10/$C$10)),"Uniforme",$B$10+($D$10-$B$10)*C135,"Triangular",IF(C135&lt;=($C$10-$B$10)/($D$10-$B$10),$B$10+SQRT(C135*($D$10-$B$10)*($C$10-$B$10)),$D$10-SQRT((1-C135)*($D$10-$B$10)*($D$10-$C$10))),"PERT",_xlfn.BETA.INV(C135,1+$B$6*($C$10-$B$10)/($D$10-$B$10),1+$B$6*($D$10-$C$10)/($D$10-$B$10),$B$10,$D$10))</f>
        <v>4792.1464229639078</v>
      </c>
      <c r="F135" s="88">
        <f t="shared" ca="1" si="4"/>
        <v>0.49665411462948245</v>
      </c>
      <c r="G135" s="89">
        <f t="shared" ca="1" si="5"/>
        <v>1.7163263103115359E-4</v>
      </c>
    </row>
    <row r="136" spans="1:7" x14ac:dyDescent="0.35">
      <c r="A136" s="84">
        <v>121</v>
      </c>
      <c r="B136" s="84">
        <f t="shared" ca="1" si="3"/>
        <v>0.68400346185322403</v>
      </c>
      <c r="C136" s="84">
        <f t="shared" ca="1" si="3"/>
        <v>8.1898099999914376E-2</v>
      </c>
      <c r="D136" s="93" cm="1">
        <f t="array" aca="1" ref="D136" ca="1">_xlfn.SWITCH($B$4,"Normal MLE",EXP(_xlfn.NORM.INV(B136,LN($C$9),$E$9/$C$9)),"Uniforme",$B$9+($D$9-$B$9)*B136,"Triangular",IF(B136&lt;=($C$9-$B$9)/($D$9-$B$9),$B$9+SQRT(B136*($D$9-$B$9)*($C$9-$B$9)),$D$9-SQRT((1-B136)*($D$9-$B$9)*($D$9-$C$9))),"PERT",_xlfn.BETA.INV(B136,1+$B$6*($C$9-$B$9)/($D$9-$B$9),1+$B$6*($D$9-$C$9)/($D$9-$B$9),$B$9,$D$9))</f>
        <v>2.0144824387798392</v>
      </c>
      <c r="E136" s="94" cm="1">
        <f t="array" aca="1" ref="E136" ca="1">_xlfn.SWITCH($B$4,"Normal MLE",EXP(_xlfn.NORM.INV(C136,LN($C$10),$E$10/$C$10)),"Uniforme",$B$10+($D$10-$B$10)*C136,"Triangular",IF(C136&lt;=($C$10-$B$10)/($D$10-$B$10),$B$10+SQRT(C136*($D$10-$B$10)*($C$10-$B$10)),$D$10-SQRT((1-C136)*($D$10-$B$10)*($D$10-$C$10))),"PERT",_xlfn.BETA.INV(C136,1+$B$6*($C$10-$B$10)/($D$10-$B$10),1+$B$6*($D$10-$C$10)/($D$10-$B$10),$B$10,$D$10))</f>
        <v>4779.8132272528737</v>
      </c>
      <c r="F136" s="88">
        <f t="shared" ca="1" si="4"/>
        <v>0.49732155115173204</v>
      </c>
      <c r="G136" s="89">
        <f t="shared" ca="1" si="5"/>
        <v>1.7495190388521457E-4</v>
      </c>
    </row>
    <row r="137" spans="1:7" x14ac:dyDescent="0.35">
      <c r="A137" s="84">
        <v>122</v>
      </c>
      <c r="B137" s="84">
        <f t="shared" ca="1" si="3"/>
        <v>0.90263387502272008</v>
      </c>
      <c r="C137" s="84">
        <f t="shared" ca="1" si="3"/>
        <v>0.78129453700900653</v>
      </c>
      <c r="D137" s="93" cm="1">
        <f t="array" aca="1" ref="D137" ca="1">_xlfn.SWITCH($B$4,"Normal MLE",EXP(_xlfn.NORM.INV(B137,LN($C$9),$E$9/$C$9)),"Uniforme",$B$9+($D$9-$B$9)*B137,"Triangular",IF(B137&lt;=($C$9-$B$9)/($D$9-$B$9),$B$9+SQRT(B137*($D$9-$B$9)*($C$9-$B$9)),$D$9-SQRT((1-B137)*($D$9-$B$9)*($D$9-$C$9))),"PERT",_xlfn.BETA.INV(B137,1+$B$6*($C$9-$B$9)/($D$9-$B$9),1+$B$6*($D$9-$C$9)/($D$9-$B$9),$B$9,$D$9))</f>
        <v>2.1338975609801221</v>
      </c>
      <c r="E137" s="94" cm="1">
        <f t="array" aca="1" ref="E137" ca="1">_xlfn.SWITCH($B$4,"Normal MLE",EXP(_xlfn.NORM.INV(C137,LN($C$10),$E$10/$C$10)),"Uniforme",$B$10+($D$10-$B$10)*C137,"Triangular",IF(C137&lt;=($C$10-$B$10)/($D$10-$B$10),$B$10+SQRT(C137*($D$10-$B$10)*($C$10-$B$10)),$D$10-SQRT((1-C137)*($D$10-$B$10)*($D$10-$C$10))),"PERT",_xlfn.BETA.INV(C137,1+$B$6*($C$10-$B$10)/($D$10-$B$10),1+$B$6*($D$10-$C$10)/($D$10-$B$10),$B$10,$D$10))</f>
        <v>5287.4383164415167</v>
      </c>
      <c r="F137" s="88">
        <f t="shared" ca="1" si="4"/>
        <v>0.57618933281023033</v>
      </c>
      <c r="G137" s="89">
        <f t="shared" ca="1" si="5"/>
        <v>1.6946566695967907E-4</v>
      </c>
    </row>
    <row r="138" spans="1:7" x14ac:dyDescent="0.35">
      <c r="A138" s="84">
        <v>123</v>
      </c>
      <c r="B138" s="84">
        <f t="shared" ca="1" si="3"/>
        <v>0.15116000213588376</v>
      </c>
      <c r="C138" s="84">
        <f t="shared" ca="1" si="3"/>
        <v>0.12230867373275633</v>
      </c>
      <c r="D138" s="93" cm="1">
        <f t="array" aca="1" ref="D138" ca="1">_xlfn.SWITCH($B$4,"Normal MLE",EXP(_xlfn.NORM.INV(B138,LN($C$9),$E$9/$C$9)),"Uniforme",$B$9+($D$9-$B$9)*B138,"Triangular",IF(B138&lt;=($C$9-$B$9)/($D$9-$B$9),$B$9+SQRT(B138*($D$9-$B$9)*($C$9-$B$9)),$D$9-SQRT((1-B138)*($D$9-$B$9)*($D$9-$C$9))),"PERT",_xlfn.BETA.INV(B138,1+$B$6*($C$9-$B$9)/($D$9-$B$9),1+$B$6*($D$9-$C$9)/($D$9-$B$9),$B$9,$D$9))</f>
        <v>1.8112208542973676</v>
      </c>
      <c r="E138" s="94" cm="1">
        <f t="array" aca="1" ref="E138" ca="1">_xlfn.SWITCH($B$4,"Normal MLE",EXP(_xlfn.NORM.INV(C138,LN($C$10),$E$10/$C$10)),"Uniforme",$B$10+($D$10-$B$10)*C138,"Triangular",IF(C138&lt;=($C$10-$B$10)/($D$10-$B$10),$B$10+SQRT(C138*($D$10-$B$10)*($C$10-$B$10)),$D$10-SQRT((1-C138)*($D$10-$B$10)*($D$10-$C$10))),"PERT",_xlfn.BETA.INV(C138,1+$B$6*($C$10-$B$10)/($D$10-$B$10),1+$B$6*($D$10-$C$10)/($D$10-$B$10),$B$10,$D$10))</f>
        <v>4830.997096582355</v>
      </c>
      <c r="F138" s="88">
        <f t="shared" ca="1" si="4"/>
        <v>0.49143231767003176</v>
      </c>
      <c r="G138" s="89">
        <f t="shared" ca="1" si="5"/>
        <v>1.580873316452641E-4</v>
      </c>
    </row>
    <row r="139" spans="1:7" x14ac:dyDescent="0.35">
      <c r="A139" s="84">
        <v>124</v>
      </c>
      <c r="B139" s="84">
        <f t="shared" ca="1" si="3"/>
        <v>0.39298702637436933</v>
      </c>
      <c r="C139" s="84">
        <f t="shared" ca="1" si="3"/>
        <v>0.54397719899458374</v>
      </c>
      <c r="D139" s="93" cm="1">
        <f t="array" aca="1" ref="D139" ca="1">_xlfn.SWITCH($B$4,"Normal MLE",EXP(_xlfn.NORM.INV(B139,LN($C$9),$E$9/$C$9)),"Uniforme",$B$9+($D$9-$B$9)*B139,"Triangular",IF(B139&lt;=($C$9-$B$9)/($D$9-$B$9),$B$9+SQRT(B139*($D$9-$B$9)*($C$9-$B$9)),$D$9-SQRT((1-B139)*($D$9-$B$9)*($D$9-$C$9))),"PERT",_xlfn.BETA.INV(B139,1+$B$6*($C$9-$B$9)/($D$9-$B$9),1+$B$6*($D$9-$C$9)/($D$9-$B$9),$B$9,$D$9))</f>
        <v>1.9107864481979198</v>
      </c>
      <c r="E139" s="94" cm="1">
        <f t="array" aca="1" ref="E139" ca="1">_xlfn.SWITCH($B$4,"Normal MLE",EXP(_xlfn.NORM.INV(C139,LN($C$10),$E$10/$C$10)),"Uniforme",$B$10+($D$10-$B$10)*C139,"Triangular",IF(C139&lt;=($C$10-$B$10)/($D$10-$B$10),$B$10+SQRT(C139*($D$10-$B$10)*($C$10-$B$10)),$D$10-SQRT((1-C139)*($D$10-$B$10)*($D$10-$C$10))),"PERT",_xlfn.BETA.INV(C139,1+$B$6*($C$10-$B$10)/($D$10-$B$10),1+$B$6*($D$10-$C$10)/($D$10-$B$10),$B$10,$D$10))</f>
        <v>5126.0569187721048</v>
      </c>
      <c r="F139" s="88">
        <f t="shared" ca="1" si="4"/>
        <v>0.53658266692747336</v>
      </c>
      <c r="G139" s="89">
        <f t="shared" ca="1" si="5"/>
        <v>1.5957039685986126E-4</v>
      </c>
    </row>
    <row r="140" spans="1:7" x14ac:dyDescent="0.35">
      <c r="A140" s="84">
        <v>125</v>
      </c>
      <c r="B140" s="84">
        <f t="shared" ca="1" si="3"/>
        <v>0.73045258609995978</v>
      </c>
      <c r="C140" s="84">
        <f t="shared" ca="1" si="3"/>
        <v>0.12600432857328747</v>
      </c>
      <c r="D140" s="93" cm="1">
        <f t="array" aca="1" ref="D140" ca="1">_xlfn.SWITCH($B$4,"Normal MLE",EXP(_xlfn.NORM.INV(B140,LN($C$9),$E$9/$C$9)),"Uniforme",$B$9+($D$9-$B$9)*B140,"Triangular",IF(B140&lt;=($C$9-$B$9)/($D$9-$B$9),$B$9+SQRT(B140*($D$9-$B$9)*($C$9-$B$9)),$D$9-SQRT((1-B140)*($D$9-$B$9)*($D$9-$C$9))),"PERT",_xlfn.BETA.INV(B140,1+$B$6*($C$9-$B$9)/($D$9-$B$9),1+$B$6*($D$9-$C$9)/($D$9-$B$9),$B$9,$D$9))</f>
        <v>2.033761773555347</v>
      </c>
      <c r="E140" s="94" cm="1">
        <f t="array" aca="1" ref="E140" ca="1">_xlfn.SWITCH($B$4,"Normal MLE",EXP(_xlfn.NORM.INV(C140,LN($C$10),$E$10/$C$10)),"Uniforme",$B$10+($D$10-$B$10)*C140,"Triangular",IF(C140&lt;=($C$10-$B$10)/($D$10-$B$10),$B$10+SQRT(C140*($D$10-$B$10)*($C$10-$B$10)),$D$10-SQRT((1-C140)*($D$10-$B$10)*($D$10-$C$10))),"PERT",_xlfn.BETA.INV(C140,1+$B$6*($C$10-$B$10)/($D$10-$B$10),1+$B$6*($D$10-$C$10)/($D$10-$B$10),$B$10,$D$10))</f>
        <v>4835.0540733467751</v>
      </c>
      <c r="F140" s="88">
        <f t="shared" ca="1" si="4"/>
        <v>0.50659445676105841</v>
      </c>
      <c r="G140" s="89">
        <f t="shared" ca="1" si="5"/>
        <v>1.7516117270338061E-4</v>
      </c>
    </row>
    <row r="141" spans="1:7" x14ac:dyDescent="0.35">
      <c r="A141" s="84">
        <v>126</v>
      </c>
      <c r="B141" s="84">
        <f t="shared" ca="1" si="3"/>
        <v>0.99521066294794869</v>
      </c>
      <c r="C141" s="84">
        <f t="shared" ca="1" si="3"/>
        <v>0.4304398096362867</v>
      </c>
      <c r="D141" s="93" cm="1">
        <f t="array" aca="1" ref="D141" ca="1">_xlfn.SWITCH($B$4,"Normal MLE",EXP(_xlfn.NORM.INV(B141,LN($C$9),$E$9/$C$9)),"Uniforme",$B$9+($D$9-$B$9)*B141,"Triangular",IF(B141&lt;=($C$9-$B$9)/($D$9-$B$9),$B$9+SQRT(B141*($D$9-$B$9)*($C$9-$B$9)),$D$9-SQRT((1-B141)*($D$9-$B$9)*($D$9-$C$9))),"PERT",_xlfn.BETA.INV(B141,1+$B$6*($C$9-$B$9)/($D$9-$B$9),1+$B$6*($D$9-$C$9)/($D$9-$B$9),$B$9,$D$9))</f>
        <v>2.3374744173350153</v>
      </c>
      <c r="E141" s="94" cm="1">
        <f t="array" aca="1" ref="E141" ca="1">_xlfn.SWITCH($B$4,"Normal MLE",EXP(_xlfn.NORM.INV(C141,LN($C$10),$E$10/$C$10)),"Uniforme",$B$10+($D$10-$B$10)*C141,"Triangular",IF(C141&lt;=($C$10-$B$10)/($D$10-$B$10),$B$10+SQRT(C141*($D$10-$B$10)*($C$10-$B$10)),$D$10-SQRT((1-C141)*($D$10-$B$10)*($D$10-$C$10))),"PERT",_xlfn.BETA.INV(C141,1+$B$6*($C$10-$B$10)/($D$10-$B$10),1+$B$6*($D$10-$C$10)/($D$10-$B$10),$B$10,$D$10))</f>
        <v>5058.3546680616319</v>
      </c>
      <c r="F141" s="88">
        <f t="shared" ca="1" si="4"/>
        <v>0.56119225365904601</v>
      </c>
      <c r="G141" s="89">
        <f t="shared" ca="1" si="5"/>
        <v>1.8945003776069585E-4</v>
      </c>
    </row>
    <row r="142" spans="1:7" x14ac:dyDescent="0.35">
      <c r="A142" s="84">
        <v>127</v>
      </c>
      <c r="B142" s="84">
        <f t="shared" ca="1" si="3"/>
        <v>0.43946433957456266</v>
      </c>
      <c r="C142" s="84">
        <f t="shared" ca="1" si="3"/>
        <v>0.88552955729046101</v>
      </c>
      <c r="D142" s="93" cm="1">
        <f t="array" aca="1" ref="D142" ca="1">_xlfn.SWITCH($B$4,"Normal MLE",EXP(_xlfn.NORM.INV(B142,LN($C$9),$E$9/$C$9)),"Uniforme",$B$9+($D$9-$B$9)*B142,"Triangular",IF(B142&lt;=($C$9-$B$9)/($D$9-$B$9),$B$9+SQRT(B142*($D$9-$B$9)*($C$9-$B$9)),$D$9-SQRT((1-B142)*($D$9-$B$9)*($D$9-$C$9))),"PERT",_xlfn.BETA.INV(B142,1+$B$6*($C$9-$B$9)/($D$9-$B$9),1+$B$6*($D$9-$C$9)/($D$9-$B$9),$B$9,$D$9))</f>
        <v>1.926895098591505</v>
      </c>
      <c r="E142" s="94" cm="1">
        <f t="array" aca="1" ref="E142" ca="1">_xlfn.SWITCH($B$4,"Normal MLE",EXP(_xlfn.NORM.INV(C142,LN($C$10),$E$10/$C$10)),"Uniforme",$B$10+($D$10-$B$10)*C142,"Triangular",IF(C142&lt;=($C$10-$B$10)/($D$10-$B$10),$B$10+SQRT(C142*($D$10-$B$10)*($C$10-$B$10)),$D$10-SQRT((1-C142)*($D$10-$B$10)*($D$10-$C$10))),"PERT",_xlfn.BETA.INV(C142,1+$B$6*($C$10-$B$10)/($D$10-$B$10),1+$B$6*($D$10-$C$10)/($D$10-$B$10),$B$10,$D$10))</f>
        <v>5393.4304840631376</v>
      </c>
      <c r="F142" s="88">
        <f t="shared" ca="1" si="4"/>
        <v>0.56996237402683958</v>
      </c>
      <c r="G142" s="89">
        <f t="shared" ca="1" si="5"/>
        <v>1.5435598295975863E-4</v>
      </c>
    </row>
    <row r="143" spans="1:7" x14ac:dyDescent="0.35">
      <c r="A143" s="84">
        <v>128</v>
      </c>
      <c r="B143" s="84">
        <f t="shared" ca="1" si="3"/>
        <v>0.11372071972364739</v>
      </c>
      <c r="C143" s="84">
        <f t="shared" ca="1" si="3"/>
        <v>0.1448501675935524</v>
      </c>
      <c r="D143" s="93" cm="1">
        <f t="array" aca="1" ref="D143" ca="1">_xlfn.SWITCH($B$4,"Normal MLE",EXP(_xlfn.NORM.INV(B143,LN($C$9),$E$9/$C$9)),"Uniforme",$B$9+($D$9-$B$9)*B143,"Triangular",IF(B143&lt;=($C$9-$B$9)/($D$9-$B$9),$B$9+SQRT(B143*($D$9-$B$9)*($C$9-$B$9)),$D$9-SQRT((1-B143)*($D$9-$B$9)*($D$9-$C$9))),"PERT",_xlfn.BETA.INV(B143,1+$B$6*($C$9-$B$9)/($D$9-$B$9),1+$B$6*($D$9-$C$9)/($D$9-$B$9),$B$9,$D$9))</f>
        <v>1.7889738049517305</v>
      </c>
      <c r="E143" s="94" cm="1">
        <f t="array" aca="1" ref="E143" ca="1">_xlfn.SWITCH($B$4,"Normal MLE",EXP(_xlfn.NORM.INV(C143,LN($C$10),$E$10/$C$10)),"Uniforme",$B$10+($D$10-$B$10)*C143,"Triangular",IF(C143&lt;=($C$10-$B$10)/($D$10-$B$10),$B$10+SQRT(C143*($D$10-$B$10)*($C$10-$B$10)),$D$10-SQRT((1-C143)*($D$10-$B$10)*($D$10-$C$10))),"PERT",_xlfn.BETA.INV(C143,1+$B$6*($C$10-$B$10)/($D$10-$B$10),1+$B$6*($D$10-$C$10)/($D$10-$B$10),$B$10,$D$10))</f>
        <v>4854.601729177687</v>
      </c>
      <c r="F143" s="88">
        <f t="shared" ca="1" si="4"/>
        <v>0.49300950453582859</v>
      </c>
      <c r="G143" s="89">
        <f t="shared" ca="1" si="5"/>
        <v>1.5594017161056306E-4</v>
      </c>
    </row>
    <row r="144" spans="1:7" x14ac:dyDescent="0.35">
      <c r="A144" s="84">
        <v>129</v>
      </c>
      <c r="B144" s="84">
        <f t="shared" ca="1" si="3"/>
        <v>0.72707330821028904</v>
      </c>
      <c r="C144" s="84">
        <f t="shared" ca="1" si="3"/>
        <v>0.6873813481018376</v>
      </c>
      <c r="D144" s="93" cm="1">
        <f t="array" aca="1" ref="D144" ca="1">_xlfn.SWITCH($B$4,"Normal MLE",EXP(_xlfn.NORM.INV(B144,LN($C$9),$E$9/$C$9)),"Uniforme",$B$9+($D$9-$B$9)*B144,"Triangular",IF(B144&lt;=($C$9-$B$9)/($D$9-$B$9),$B$9+SQRT(B144*($D$9-$B$9)*($C$9-$B$9)),$D$9-SQRT((1-B144)*($D$9-$B$9)*($D$9-$C$9))),"PERT",_xlfn.BETA.INV(B144,1+$B$6*($C$9-$B$9)/($D$9-$B$9),1+$B$6*($D$9-$C$9)/($D$9-$B$9),$B$9,$D$9))</f>
        <v>2.0323019178300932</v>
      </c>
      <c r="E144" s="94" cm="1">
        <f t="array" aca="1" ref="E144" ca="1">_xlfn.SWITCH($B$4,"Normal MLE",EXP(_xlfn.NORM.INV(C144,LN($C$10),$E$10/$C$10)),"Uniforme",$B$10+($D$10-$B$10)*C144,"Triangular",IF(C144&lt;=($C$10-$B$10)/($D$10-$B$10),$B$10+SQRT(C144*($D$10-$B$10)*($C$10-$B$10)),$D$10-SQRT((1-C144)*($D$10-$B$10)*($D$10-$C$10))),"PERT",_xlfn.BETA.INV(C144,1+$B$6*($C$10-$B$10)/($D$10-$B$10),1+$B$6*($D$10-$C$10)/($D$10-$B$10),$B$10,$D$10))</f>
        <v>5217.0175406753124</v>
      </c>
      <c r="F144" s="88">
        <f t="shared" ca="1" si="4"/>
        <v>0.55831079904971592</v>
      </c>
      <c r="G144" s="89">
        <f t="shared" ca="1" si="5"/>
        <v>1.6533059510867731E-4</v>
      </c>
    </row>
    <row r="145" spans="1:7" x14ac:dyDescent="0.35">
      <c r="A145" s="84">
        <v>130</v>
      </c>
      <c r="B145" s="84">
        <f t="shared" ref="B145:C208" ca="1" si="6">RAND()</f>
        <v>0.29068446698005779</v>
      </c>
      <c r="C145" s="84">
        <f t="shared" ca="1" si="6"/>
        <v>0.32425769702868235</v>
      </c>
      <c r="D145" s="93" cm="1">
        <f t="array" aca="1" ref="D145" ca="1">_xlfn.SWITCH($B$4,"Normal MLE",EXP(_xlfn.NORM.INV(B145,LN($C$9),$E$9/$C$9)),"Uniforme",$B$9+($D$9-$B$9)*B145,"Triangular",IF(B145&lt;=($C$9-$B$9)/($D$9-$B$9),$B$9+SQRT(B145*($D$9-$B$9)*($C$9-$B$9)),$D$9-SQRT((1-B145)*($D$9-$B$9)*($D$9-$C$9))),"PERT",_xlfn.BETA.INV(B145,1+$B$6*($C$9-$B$9)/($D$9-$B$9),1+$B$6*($D$9-$C$9)/($D$9-$B$9),$B$9,$D$9))</f>
        <v>1.8735001881019777</v>
      </c>
      <c r="E145" s="94" cm="1">
        <f t="array" aca="1" ref="E145" ca="1">_xlfn.SWITCH($B$4,"Normal MLE",EXP(_xlfn.NORM.INV(C145,LN($C$10),$E$10/$C$10)),"Uniforme",$B$10+($D$10-$B$10)*C145,"Triangular",IF(C145&lt;=($C$10-$B$10)/($D$10-$B$10),$B$10+SQRT(C145*($D$10-$B$10)*($C$10-$B$10)),$D$10-SQRT((1-C145)*($D$10-$B$10)*($D$10-$C$10))),"PERT",_xlfn.BETA.INV(C145,1+$B$6*($C$10-$B$10)/($D$10-$B$10),1+$B$6*($D$10-$C$10)/($D$10-$B$10),$B$10,$D$10))</f>
        <v>4992.7411585800673</v>
      </c>
      <c r="F145" s="88">
        <f t="shared" ref="F145:F208" ca="1" si="7">EXP(-POWER($B$12/E145,D145))</f>
        <v>0.51679067334519158</v>
      </c>
      <c r="G145" s="89">
        <f t="shared" ref="G145:G208" ca="1" si="8">(D145/E145)*POWER($B$12/E145,D145-1)*EXP(-POWER($B$12/E145,D145))</f>
        <v>1.5978263541401952E-4</v>
      </c>
    </row>
    <row r="146" spans="1:7" x14ac:dyDescent="0.35">
      <c r="A146" s="84">
        <v>131</v>
      </c>
      <c r="B146" s="84">
        <f t="shared" ca="1" si="6"/>
        <v>0.49974729907727555</v>
      </c>
      <c r="C146" s="84">
        <f t="shared" ca="1" si="6"/>
        <v>0.58569735858026895</v>
      </c>
      <c r="D146" s="93" cm="1">
        <f t="array" aca="1" ref="D146" ca="1">_xlfn.SWITCH($B$4,"Normal MLE",EXP(_xlfn.NORM.INV(B146,LN($C$9),$E$9/$C$9)),"Uniforme",$B$9+($D$9-$B$9)*B146,"Triangular",IF(B146&lt;=($C$9-$B$9)/($D$9-$B$9),$B$9+SQRT(B146*($D$9-$B$9)*($C$9-$B$9)),$D$9-SQRT((1-B146)*($D$9-$B$9)*($D$9-$C$9))),"PERT",_xlfn.BETA.INV(B146,1+$B$6*($C$9-$B$9)/($D$9-$B$9),1+$B$6*($D$9-$C$9)/($D$9-$B$9),$B$9,$D$9))</f>
        <v>1.9475889339577424</v>
      </c>
      <c r="E146" s="94" cm="1">
        <f t="array" aca="1" ref="E146" ca="1">_xlfn.SWITCH($B$4,"Normal MLE",EXP(_xlfn.NORM.INV(C146,LN($C$10),$E$10/$C$10)),"Uniforme",$B$10+($D$10-$B$10)*C146,"Triangular",IF(C146&lt;=($C$10-$B$10)/($D$10-$B$10),$B$10+SQRT(C146*($D$10-$B$10)*($C$10-$B$10)),$D$10-SQRT((1-C146)*($D$10-$B$10)*($D$10-$C$10))),"PERT",_xlfn.BETA.INV(C146,1+$B$6*($C$10-$B$10)/($D$10-$B$10),1+$B$6*($D$10-$C$10)/($D$10-$B$10),$B$10,$D$10))</f>
        <v>5151.4120212533171</v>
      </c>
      <c r="F146" s="88">
        <f t="shared" ca="1" si="7"/>
        <v>0.54281969684808762</v>
      </c>
      <c r="G146" s="89">
        <f t="shared" ca="1" si="8"/>
        <v>1.614799191257419E-4</v>
      </c>
    </row>
    <row r="147" spans="1:7" x14ac:dyDescent="0.35">
      <c r="A147" s="84">
        <v>132</v>
      </c>
      <c r="B147" s="84">
        <f t="shared" ca="1" si="6"/>
        <v>0.47843498947760876</v>
      </c>
      <c r="C147" s="84">
        <f t="shared" ca="1" si="6"/>
        <v>0.76857974320543854</v>
      </c>
      <c r="D147" s="93" cm="1">
        <f t="array" aca="1" ref="D147" ca="1">_xlfn.SWITCH($B$4,"Normal MLE",EXP(_xlfn.NORM.INV(B147,LN($C$9),$E$9/$C$9)),"Uniforme",$B$9+($D$9-$B$9)*B147,"Triangular",IF(B147&lt;=($C$9-$B$9)/($D$9-$B$9),$B$9+SQRT(B147*($D$9-$B$9)*($C$9-$B$9)),$D$9-SQRT((1-B147)*($D$9-$B$9)*($D$9-$C$9))),"PERT",_xlfn.BETA.INV(B147,1+$B$6*($C$9-$B$9)/($D$9-$B$9),1+$B$6*($D$9-$C$9)/($D$9-$B$9),$B$9,$D$9))</f>
        <v>1.9402723617370687</v>
      </c>
      <c r="E147" s="94" cm="1">
        <f t="array" aca="1" ref="E147" ca="1">_xlfn.SWITCH($B$4,"Normal MLE",EXP(_xlfn.NORM.INV(C147,LN($C$10),$E$10/$C$10)),"Uniforme",$B$10+($D$10-$B$10)*C147,"Triangular",IF(C147&lt;=($C$10-$B$10)/($D$10-$B$10),$B$10+SQRT(C147*($D$10-$B$10)*($C$10-$B$10)),$D$10-SQRT((1-C147)*($D$10-$B$10)*($D$10-$C$10))),"PERT",_xlfn.BETA.INV(C147,1+$B$6*($C$10-$B$10)/($D$10-$B$10),1+$B$6*($D$10-$C$10)/($D$10-$B$10),$B$10,$D$10))</f>
        <v>5277.0174034148149</v>
      </c>
      <c r="F147" s="88">
        <f t="shared" ca="1" si="7"/>
        <v>0.55757548729741602</v>
      </c>
      <c r="G147" s="89">
        <f t="shared" ca="1" si="8"/>
        <v>1.5799241865914051E-4</v>
      </c>
    </row>
    <row r="148" spans="1:7" x14ac:dyDescent="0.35">
      <c r="A148" s="84">
        <v>133</v>
      </c>
      <c r="B148" s="84">
        <f t="shared" ca="1" si="6"/>
        <v>0.57549766822476756</v>
      </c>
      <c r="C148" s="84">
        <f t="shared" ca="1" si="6"/>
        <v>0.98506177682455798</v>
      </c>
      <c r="D148" s="93" cm="1">
        <f t="array" aca="1" ref="D148" ca="1">_xlfn.SWITCH($B$4,"Normal MLE",EXP(_xlfn.NORM.INV(B148,LN($C$9),$E$9/$C$9)),"Uniforme",$B$9+($D$9-$B$9)*B148,"Triangular",IF(B148&lt;=($C$9-$B$9)/($D$9-$B$9),$B$9+SQRT(B148*($D$9-$B$9)*($C$9-$B$9)),$D$9-SQRT((1-B148)*($D$9-$B$9)*($D$9-$C$9))),"PERT",_xlfn.BETA.INV(B148,1+$B$6*($C$9-$B$9)/($D$9-$B$9),1+$B$6*($D$9-$C$9)/($D$9-$B$9),$B$9,$D$9))</f>
        <v>1.9739642518416618</v>
      </c>
      <c r="E148" s="94" cm="1">
        <f t="array" aca="1" ref="E148" ca="1">_xlfn.SWITCH($B$4,"Normal MLE",EXP(_xlfn.NORM.INV(C148,LN($C$10),$E$10/$C$10)),"Uniforme",$B$10+($D$10-$B$10)*C148,"Triangular",IF(C148&lt;=($C$10-$B$10)/($D$10-$B$10),$B$10+SQRT(C148*($D$10-$B$10)*($C$10-$B$10)),$D$10-SQRT((1-C148)*($D$10-$B$10)*($D$10-$C$10))),"PERT",_xlfn.BETA.INV(C148,1+$B$6*($C$10-$B$10)/($D$10-$B$10),1+$B$6*($D$10-$C$10)/($D$10-$B$10),$B$10,$D$10))</f>
        <v>5642.0997440573783</v>
      </c>
      <c r="F148" s="88">
        <f t="shared" ca="1" si="7"/>
        <v>0.60221556886161798</v>
      </c>
      <c r="G148" s="89">
        <f t="shared" ca="1" si="8"/>
        <v>1.5071586645587211E-4</v>
      </c>
    </row>
    <row r="149" spans="1:7" x14ac:dyDescent="0.35">
      <c r="A149" s="84">
        <v>134</v>
      </c>
      <c r="B149" s="84">
        <f t="shared" ca="1" si="6"/>
        <v>0.25930411244858409</v>
      </c>
      <c r="C149" s="84">
        <f t="shared" ca="1" si="6"/>
        <v>0.22086181601291477</v>
      </c>
      <c r="D149" s="93" cm="1">
        <f t="array" aca="1" ref="D149" ca="1">_xlfn.SWITCH($B$4,"Normal MLE",EXP(_xlfn.NORM.INV(B149,LN($C$9),$E$9/$C$9)),"Uniforme",$B$9+($D$9-$B$9)*B149,"Triangular",IF(B149&lt;=($C$9-$B$9)/($D$9-$B$9),$B$9+SQRT(B149*($D$9-$B$9)*($C$9-$B$9)),$D$9-SQRT((1-B149)*($D$9-$B$9)*($D$9-$C$9))),"PERT",_xlfn.BETA.INV(B149,1+$B$6*($C$9-$B$9)/($D$9-$B$9),1+$B$6*($D$9-$C$9)/($D$9-$B$9),$B$9,$D$9))</f>
        <v>1.8611257414949105</v>
      </c>
      <c r="E149" s="94" cm="1">
        <f t="array" aca="1" ref="E149" ca="1">_xlfn.SWITCH($B$4,"Normal MLE",EXP(_xlfn.NORM.INV(C149,LN($C$10),$E$10/$C$10)),"Uniforme",$B$10+($D$10-$B$10)*C149,"Triangular",IF(C149&lt;=($C$10-$B$10)/($D$10-$B$10),$B$10+SQRT(C149*($D$10-$B$10)*($C$10-$B$10)),$D$10-SQRT((1-C149)*($D$10-$B$10)*($D$10-$C$10))),"PERT",_xlfn.BETA.INV(C149,1+$B$6*($C$10-$B$10)/($D$10-$B$10),1+$B$6*($D$10-$C$10)/($D$10-$B$10),$B$10,$D$10))</f>
        <v>4920.4423561525618</v>
      </c>
      <c r="F149" s="88">
        <f t="shared" ca="1" si="7"/>
        <v>0.50654266215412413</v>
      </c>
      <c r="G149" s="89">
        <f t="shared" ca="1" si="8"/>
        <v>1.6030031183933129E-4</v>
      </c>
    </row>
    <row r="150" spans="1:7" x14ac:dyDescent="0.35">
      <c r="A150" s="84">
        <v>135</v>
      </c>
      <c r="B150" s="84">
        <f t="shared" ca="1" si="6"/>
        <v>0.62050462725229261</v>
      </c>
      <c r="C150" s="84">
        <f t="shared" ca="1" si="6"/>
        <v>7.039644890894925E-4</v>
      </c>
      <c r="D150" s="93" cm="1">
        <f t="array" aca="1" ref="D150" ca="1">_xlfn.SWITCH($B$4,"Normal MLE",EXP(_xlfn.NORM.INV(B150,LN($C$9),$E$9/$C$9)),"Uniforme",$B$9+($D$9-$B$9)*B150,"Triangular",IF(B150&lt;=($C$9-$B$9)/($D$9-$B$9),$B$9+SQRT(B150*($D$9-$B$9)*($C$9-$B$9)),$D$9-SQRT((1-B150)*($D$9-$B$9)*($D$9-$C$9))),"PERT",_xlfn.BETA.INV(B150,1+$B$6*($C$9-$B$9)/($D$9-$B$9),1+$B$6*($D$9-$C$9)/($D$9-$B$9),$B$9,$D$9))</f>
        <v>1.9902134890265233</v>
      </c>
      <c r="E150" s="94" cm="1">
        <f t="array" aca="1" ref="E150" ca="1">_xlfn.SWITCH($B$4,"Normal MLE",EXP(_xlfn.NORM.INV(C150,LN($C$10),$E$10/$C$10)),"Uniforme",$B$10+($D$10-$B$10)*C150,"Triangular",IF(C150&lt;=($C$10-$B$10)/($D$10-$B$10),$B$10+SQRT(C150*($D$10-$B$10)*($C$10-$B$10)),$D$10-SQRT((1-C150)*($D$10-$B$10)*($D$10-$C$10))),"PERT",_xlfn.BETA.INV(C150,1+$B$6*($C$10-$B$10)/($D$10-$B$10),1+$B$6*($D$10-$C$10)/($D$10-$B$10),$B$10,$D$10))</f>
        <v>4395.6334053971241</v>
      </c>
      <c r="F150" s="88">
        <f t="shared" ca="1" si="7"/>
        <v>0.43654938153558043</v>
      </c>
      <c r="G150" s="89">
        <f t="shared" ca="1" si="8"/>
        <v>1.8003252536877968E-4</v>
      </c>
    </row>
    <row r="151" spans="1:7" x14ac:dyDescent="0.35">
      <c r="A151" s="84">
        <v>136</v>
      </c>
      <c r="B151" s="84">
        <f t="shared" ca="1" si="6"/>
        <v>3.9273761125285356E-2</v>
      </c>
      <c r="C151" s="84">
        <f t="shared" ca="1" si="6"/>
        <v>0.4339689266730864</v>
      </c>
      <c r="D151" s="93" cm="1">
        <f t="array" aca="1" ref="D151" ca="1">_xlfn.SWITCH($B$4,"Normal MLE",EXP(_xlfn.NORM.INV(B151,LN($C$9),$E$9/$C$9)),"Uniforme",$B$9+($D$9-$B$9)*B151,"Triangular",IF(B151&lt;=($C$9-$B$9)/($D$9-$B$9),$B$9+SQRT(B151*($D$9-$B$9)*($C$9-$B$9)),$D$9-SQRT((1-B151)*($D$9-$B$9)*($D$9-$C$9))),"PERT",_xlfn.BETA.INV(B151,1+$B$6*($C$9-$B$9)/($D$9-$B$9),1+$B$6*($D$9-$C$9)/($D$9-$B$9),$B$9,$D$9))</f>
        <v>1.7207435226400005</v>
      </c>
      <c r="E151" s="94" cm="1">
        <f t="array" aca="1" ref="E151" ca="1">_xlfn.SWITCH($B$4,"Normal MLE",EXP(_xlfn.NORM.INV(C151,LN($C$10),$E$10/$C$10)),"Uniforme",$B$10+($D$10-$B$10)*C151,"Triangular",IF(C151&lt;=($C$10-$B$10)/($D$10-$B$10),$B$10+SQRT(C151*($D$10-$B$10)*($C$10-$B$10)),$D$10-SQRT((1-C151)*($D$10-$B$10)*($D$10-$C$10))),"PERT",_xlfn.BETA.INV(C151,1+$B$6*($C$10-$B$10)/($D$10-$B$10),1+$B$6*($D$10-$C$10)/($D$10-$B$10),$B$10,$D$10))</f>
        <v>5060.4679762436926</v>
      </c>
      <c r="F151" s="88">
        <f t="shared" ca="1" si="7"/>
        <v>0.51314081549451329</v>
      </c>
      <c r="G151" s="89">
        <f t="shared" ca="1" si="8"/>
        <v>1.4728278563548404E-4</v>
      </c>
    </row>
    <row r="152" spans="1:7" x14ac:dyDescent="0.35">
      <c r="A152" s="84">
        <v>137</v>
      </c>
      <c r="B152" s="84">
        <f t="shared" ca="1" si="6"/>
        <v>0.76376309307114643</v>
      </c>
      <c r="C152" s="84">
        <f t="shared" ca="1" si="6"/>
        <v>0.47557174671788305</v>
      </c>
      <c r="D152" s="93" cm="1">
        <f t="array" aca="1" ref="D152" ca="1">_xlfn.SWITCH($B$4,"Normal MLE",EXP(_xlfn.NORM.INV(B152,LN($C$9),$E$9/$C$9)),"Uniforme",$B$9+($D$9-$B$9)*B152,"Triangular",IF(B152&lt;=($C$9-$B$9)/($D$9-$B$9),$B$9+SQRT(B152*($D$9-$B$9)*($C$9-$B$9)),$D$9-SQRT((1-B152)*($D$9-$B$9)*($D$9-$C$9))),"PERT",_xlfn.BETA.INV(B152,1+$B$6*($C$9-$B$9)/($D$9-$B$9),1+$B$6*($D$9-$C$9)/($D$9-$B$9),$B$9,$D$9))</f>
        <v>2.048750986399178</v>
      </c>
      <c r="E152" s="94" cm="1">
        <f t="array" aca="1" ref="E152" ca="1">_xlfn.SWITCH($B$4,"Normal MLE",EXP(_xlfn.NORM.INV(C152,LN($C$10),$E$10/$C$10)),"Uniforme",$B$10+($D$10-$B$10)*C152,"Triangular",IF(C152&lt;=($C$10-$B$10)/($D$10-$B$10),$B$10+SQRT(C152*($D$10-$B$10)*($C$10-$B$10)),$D$10-SQRT((1-C152)*($D$10-$B$10)*($D$10-$C$10))),"PERT",_xlfn.BETA.INV(C152,1+$B$6*($C$10-$B$10)/($D$10-$B$10),1+$B$6*($D$10-$C$10)/($D$10-$B$10),$B$10,$D$10))</f>
        <v>5085.2562269284435</v>
      </c>
      <c r="F152" s="88">
        <f t="shared" ca="1" si="7"/>
        <v>0.54252468067581905</v>
      </c>
      <c r="G152" s="89">
        <f t="shared" ca="1" si="8"/>
        <v>1.6992628283055402E-4</v>
      </c>
    </row>
    <row r="153" spans="1:7" x14ac:dyDescent="0.35">
      <c r="A153" s="84">
        <v>138</v>
      </c>
      <c r="B153" s="84">
        <f t="shared" ca="1" si="6"/>
        <v>4.1742261461713559E-2</v>
      </c>
      <c r="C153" s="84">
        <f t="shared" ca="1" si="6"/>
        <v>0.23782357692504696</v>
      </c>
      <c r="D153" s="93" cm="1">
        <f t="array" aca="1" ref="D153" ca="1">_xlfn.SWITCH($B$4,"Normal MLE",EXP(_xlfn.NORM.INV(B153,LN($C$9),$E$9/$C$9)),"Uniforme",$B$9+($D$9-$B$9)*B153,"Triangular",IF(B153&lt;=($C$9-$B$9)/($D$9-$B$9),$B$9+SQRT(B153*($D$9-$B$9)*($C$9-$B$9)),$D$9-SQRT((1-B153)*($D$9-$B$9)*($D$9-$C$9))),"PERT",_xlfn.BETA.INV(B153,1+$B$6*($C$9-$B$9)/($D$9-$B$9),1+$B$6*($D$9-$C$9)/($D$9-$B$9),$B$9,$D$9))</f>
        <v>1.7241834726352132</v>
      </c>
      <c r="E153" s="94" cm="1">
        <f t="array" aca="1" ref="E153" ca="1">_xlfn.SWITCH($B$4,"Normal MLE",EXP(_xlfn.NORM.INV(C153,LN($C$10),$E$10/$C$10)),"Uniforme",$B$10+($D$10-$B$10)*C153,"Triangular",IF(C153&lt;=($C$10-$B$10)/($D$10-$B$10),$B$10+SQRT(C153*($D$10-$B$10)*($C$10-$B$10)),$D$10-SQRT((1-C153)*($D$10-$B$10)*($D$10-$C$10))),"PERT",_xlfn.BETA.INV(C153,1+$B$6*($C$10-$B$10)/($D$10-$B$10),1+$B$6*($D$10-$C$10)/($D$10-$B$10),$B$10,$D$10))</f>
        <v>4933.2732953193345</v>
      </c>
      <c r="F153" s="88">
        <f t="shared" ca="1" si="7"/>
        <v>0.49828759433732434</v>
      </c>
      <c r="G153" s="89">
        <f t="shared" ca="1" si="8"/>
        <v>1.4961434454326871E-4</v>
      </c>
    </row>
    <row r="154" spans="1:7" x14ac:dyDescent="0.35">
      <c r="A154" s="84">
        <v>139</v>
      </c>
      <c r="B154" s="84">
        <f t="shared" ca="1" si="6"/>
        <v>0.86600147519116721</v>
      </c>
      <c r="C154" s="84">
        <f t="shared" ca="1" si="6"/>
        <v>0.69781448170060467</v>
      </c>
      <c r="D154" s="93" cm="1">
        <f t="array" aca="1" ref="D154" ca="1">_xlfn.SWITCH($B$4,"Normal MLE",EXP(_xlfn.NORM.INV(B154,LN($C$9),$E$9/$C$9)),"Uniforme",$B$9+($D$9-$B$9)*B154,"Triangular",IF(B154&lt;=($C$9-$B$9)/($D$9-$B$9),$B$9+SQRT(B154*($D$9-$B$9)*($C$9-$B$9)),$D$9-SQRT((1-B154)*($D$9-$B$9)*($D$9-$C$9))),"PERT",_xlfn.BETA.INV(B154,1+$B$6*($C$9-$B$9)/($D$9-$B$9),1+$B$6*($D$9-$C$9)/($D$9-$B$9),$B$9,$D$9))</f>
        <v>2.1056822012973275</v>
      </c>
      <c r="E154" s="94" cm="1">
        <f t="array" aca="1" ref="E154" ca="1">_xlfn.SWITCH($B$4,"Normal MLE",EXP(_xlfn.NORM.INV(C154,LN($C$10),$E$10/$C$10)),"Uniforme",$B$10+($D$10-$B$10)*C154,"Triangular",IF(C154&lt;=($C$10-$B$10)/($D$10-$B$10),$B$10+SQRT(C154*($D$10-$B$10)*($C$10-$B$10)),$D$10-SQRT((1-C154)*($D$10-$B$10)*($D$10-$C$10))),"PERT",_xlfn.BETA.INV(C154,1+$B$6*($C$10-$B$10)/($D$10-$B$10),1+$B$6*($D$10-$C$10)/($D$10-$B$10),$B$10,$D$10))</f>
        <v>5224.2288502078236</v>
      </c>
      <c r="F154" s="88">
        <f t="shared" ca="1" si="7"/>
        <v>0.56556581543184237</v>
      </c>
      <c r="G154" s="89">
        <f t="shared" ca="1" si="8"/>
        <v>1.6968226074803074E-4</v>
      </c>
    </row>
    <row r="155" spans="1:7" x14ac:dyDescent="0.35">
      <c r="A155" s="84">
        <v>140</v>
      </c>
      <c r="B155" s="84">
        <f t="shared" ca="1" si="6"/>
        <v>0.89346015332251894</v>
      </c>
      <c r="C155" s="84">
        <f t="shared" ca="1" si="6"/>
        <v>0.16421523571622343</v>
      </c>
      <c r="D155" s="93" cm="1">
        <f t="array" aca="1" ref="D155" ca="1">_xlfn.SWITCH($B$4,"Normal MLE",EXP(_xlfn.NORM.INV(B155,LN($C$9),$E$9/$C$9)),"Uniforme",$B$9+($D$9-$B$9)*B155,"Triangular",IF(B155&lt;=($C$9-$B$9)/($D$9-$B$9),$B$9+SQRT(B155*($D$9-$B$9)*($C$9-$B$9)),$D$9-SQRT((1-B155)*($D$9-$B$9)*($D$9-$C$9))),"PERT",_xlfn.BETA.INV(B155,1+$B$6*($C$9-$B$9)/($D$9-$B$9),1+$B$6*($D$9-$C$9)/($D$9-$B$9),$B$9,$D$9))</f>
        <v>2.1261630904327409</v>
      </c>
      <c r="E155" s="94" cm="1">
        <f t="array" aca="1" ref="E155" ca="1">_xlfn.SWITCH($B$4,"Normal MLE",EXP(_xlfn.NORM.INV(C155,LN($C$10),$E$10/$C$10)),"Uniforme",$B$10+($D$10-$B$10)*C155,"Triangular",IF(C155&lt;=($C$10-$B$10)/($D$10-$B$10),$B$10+SQRT(C155*($D$10-$B$10)*($C$10-$B$10)),$D$10-SQRT((1-C155)*($D$10-$B$10)*($D$10-$C$10))),"PERT",_xlfn.BETA.INV(C155,1+$B$6*($C$10-$B$10)/($D$10-$B$10),1+$B$6*($D$10-$C$10)/($D$10-$B$10),$B$10,$D$10))</f>
        <v>4873.0477716819387</v>
      </c>
      <c r="F155" s="88">
        <f t="shared" ca="1" si="7"/>
        <v>0.51829758046012031</v>
      </c>
      <c r="G155" s="89">
        <f t="shared" ca="1" si="8"/>
        <v>1.810577423623208E-4</v>
      </c>
    </row>
    <row r="156" spans="1:7" x14ac:dyDescent="0.35">
      <c r="A156" s="84">
        <v>141</v>
      </c>
      <c r="B156" s="84">
        <f t="shared" ca="1" si="6"/>
        <v>0.76966858989689091</v>
      </c>
      <c r="C156" s="84">
        <f t="shared" ca="1" si="6"/>
        <v>0.20391485828842093</v>
      </c>
      <c r="D156" s="93" cm="1">
        <f t="array" aca="1" ref="D156" ca="1">_xlfn.SWITCH($B$4,"Normal MLE",EXP(_xlfn.NORM.INV(B156,LN($C$9),$E$9/$C$9)),"Uniforme",$B$9+($D$9-$B$9)*B156,"Triangular",IF(B156&lt;=($C$9-$B$9)/($D$9-$B$9),$B$9+SQRT(B156*($D$9-$B$9)*($C$9-$B$9)),$D$9-SQRT((1-B156)*($D$9-$B$9)*($D$9-$C$9))),"PERT",_xlfn.BETA.INV(B156,1+$B$6*($C$9-$B$9)/($D$9-$B$9),1+$B$6*($D$9-$C$9)/($D$9-$B$9),$B$9,$D$9))</f>
        <v>2.0515367564076681</v>
      </c>
      <c r="E156" s="94" cm="1">
        <f t="array" aca="1" ref="E156" ca="1">_xlfn.SWITCH($B$4,"Normal MLE",EXP(_xlfn.NORM.INV(C156,LN($C$10),$E$10/$C$10)),"Uniforme",$B$10+($D$10-$B$10)*C156,"Triangular",IF(C156&lt;=($C$10-$B$10)/($D$10-$B$10),$B$10+SQRT(C156*($D$10-$B$10)*($C$10-$B$10)),$D$10-SQRT((1-C156)*($D$10-$B$10)*($D$10-$C$10))),"PERT",_xlfn.BETA.INV(C156,1+$B$6*($C$10-$B$10)/($D$10-$B$10),1+$B$6*($D$10-$C$10)/($D$10-$B$10),$B$10,$D$10))</f>
        <v>4907.0811562008957</v>
      </c>
      <c r="F156" s="88">
        <f t="shared" ca="1" si="7"/>
        <v>0.51814258933035617</v>
      </c>
      <c r="G156" s="89">
        <f t="shared" ca="1" si="8"/>
        <v>1.7473002279339754E-4</v>
      </c>
    </row>
    <row r="157" spans="1:7" x14ac:dyDescent="0.35">
      <c r="A157" s="84">
        <v>142</v>
      </c>
      <c r="B157" s="84">
        <f t="shared" ca="1" si="6"/>
        <v>0.15573466744238817</v>
      </c>
      <c r="C157" s="84">
        <f t="shared" ca="1" si="6"/>
        <v>0.90552192443313173</v>
      </c>
      <c r="D157" s="93" cm="1">
        <f t="array" aca="1" ref="D157" ca="1">_xlfn.SWITCH($B$4,"Normal MLE",EXP(_xlfn.NORM.INV(B157,LN($C$9),$E$9/$C$9)),"Uniforme",$B$9+($D$9-$B$9)*B157,"Triangular",IF(B157&lt;=($C$9-$B$9)/($D$9-$B$9),$B$9+SQRT(B157*($D$9-$B$9)*($C$9-$B$9)),$D$9-SQRT((1-B157)*($D$9-$B$9)*($D$9-$C$9))),"PERT",_xlfn.BETA.INV(B157,1+$B$6*($C$9-$B$9)/($D$9-$B$9),1+$B$6*($D$9-$C$9)/($D$9-$B$9),$B$9,$D$9))</f>
        <v>1.8136876322337749</v>
      </c>
      <c r="E157" s="94" cm="1">
        <f t="array" aca="1" ref="E157" ca="1">_xlfn.SWITCH($B$4,"Normal MLE",EXP(_xlfn.NORM.INV(C157,LN($C$10),$E$10/$C$10)),"Uniforme",$B$10+($D$10-$B$10)*C157,"Triangular",IF(C157&lt;=($C$10-$B$10)/($D$10-$B$10),$B$10+SQRT(C157*($D$10-$B$10)*($C$10-$B$10)),$D$10-SQRT((1-C157)*($D$10-$B$10)*($D$10-$C$10))),"PERT",_xlfn.BETA.INV(C157,1+$B$6*($C$10-$B$10)/($D$10-$B$10),1+$B$6*($D$10-$C$10)/($D$10-$B$10),$B$10,$D$10))</f>
        <v>5421.255775378655</v>
      </c>
      <c r="F157" s="88">
        <f t="shared" ca="1" si="7"/>
        <v>0.56206909970601548</v>
      </c>
      <c r="G157" s="89">
        <f t="shared" ca="1" si="8"/>
        <v>1.4682941382477882E-4</v>
      </c>
    </row>
    <row r="158" spans="1:7" x14ac:dyDescent="0.35">
      <c r="A158" s="84">
        <v>143</v>
      </c>
      <c r="B158" s="84">
        <f t="shared" ca="1" si="6"/>
        <v>2.5867357234986788E-2</v>
      </c>
      <c r="C158" s="84">
        <f t="shared" ca="1" si="6"/>
        <v>0.38262996623548073</v>
      </c>
      <c r="D158" s="93" cm="1">
        <f t="array" aca="1" ref="D158" ca="1">_xlfn.SWITCH($B$4,"Normal MLE",EXP(_xlfn.NORM.INV(B158,LN($C$9),$E$9/$C$9)),"Uniforme",$B$9+($D$9-$B$9)*B158,"Triangular",IF(B158&lt;=($C$9-$B$9)/($D$9-$B$9),$B$9+SQRT(B158*($D$9-$B$9)*($C$9-$B$9)),$D$9-SQRT((1-B158)*($D$9-$B$9)*($D$9-$C$9))),"PERT",_xlfn.BETA.INV(B158,1+$B$6*($C$9-$B$9)/($D$9-$B$9),1+$B$6*($D$9-$C$9)/($D$9-$B$9),$B$9,$D$9))</f>
        <v>1.6983332414516523</v>
      </c>
      <c r="E158" s="94" cm="1">
        <f t="array" aca="1" ref="E158" ca="1">_xlfn.SWITCH($B$4,"Normal MLE",EXP(_xlfn.NORM.INV(C158,LN($C$10),$E$10/$C$10)),"Uniforme",$B$10+($D$10-$B$10)*C158,"Triangular",IF(C158&lt;=($C$10-$B$10)/($D$10-$B$10),$B$10+SQRT(C158*($D$10-$B$10)*($C$10-$B$10)),$D$10-SQRT((1-C158)*($D$10-$B$10)*($D$10-$C$10))),"PERT",_xlfn.BETA.INV(C158,1+$B$6*($C$10-$B$10)/($D$10-$B$10),1+$B$6*($D$10-$C$10)/($D$10-$B$10),$B$10,$D$10))</f>
        <v>5029.4084190259819</v>
      </c>
      <c r="F158" s="88">
        <f t="shared" ca="1" si="7"/>
        <v>0.50774271836244456</v>
      </c>
      <c r="G158" s="89">
        <f t="shared" ca="1" si="8"/>
        <v>1.4611528213218013E-4</v>
      </c>
    </row>
    <row r="159" spans="1:7" x14ac:dyDescent="0.35">
      <c r="A159" s="84">
        <v>144</v>
      </c>
      <c r="B159" s="84">
        <f t="shared" ca="1" si="6"/>
        <v>0.78579267993409763</v>
      </c>
      <c r="C159" s="84">
        <f t="shared" ca="1" si="6"/>
        <v>0.64938257185710802</v>
      </c>
      <c r="D159" s="93" cm="1">
        <f t="array" aca="1" ref="D159" ca="1">_xlfn.SWITCH($B$4,"Normal MLE",EXP(_xlfn.NORM.INV(B159,LN($C$9),$E$9/$C$9)),"Uniforme",$B$9+($D$9-$B$9)*B159,"Triangular",IF(B159&lt;=($C$9-$B$9)/($D$9-$B$9),$B$9+SQRT(B159*($D$9-$B$9)*($C$9-$B$9)),$D$9-SQRT((1-B159)*($D$9-$B$9)*($D$9-$C$9))),"PERT",_xlfn.BETA.INV(B159,1+$B$6*($C$9-$B$9)/($D$9-$B$9),1+$B$6*($D$9-$C$9)/($D$9-$B$9),$B$9,$D$9))</f>
        <v>2.0593748716925844</v>
      </c>
      <c r="E159" s="94" cm="1">
        <f t="array" aca="1" ref="E159" ca="1">_xlfn.SWITCH($B$4,"Normal MLE",EXP(_xlfn.NORM.INV(C159,LN($C$10),$E$10/$C$10)),"Uniforme",$B$10+($D$10-$B$10)*C159,"Triangular",IF(C159&lt;=($C$10-$B$10)/($D$10-$B$10),$B$10+SQRT(C159*($D$10-$B$10)*($C$10-$B$10)),$D$10-SQRT((1-C159)*($D$10-$B$10)*($D$10-$C$10))),"PERT",_xlfn.BETA.INV(C159,1+$B$6*($C$10-$B$10)/($D$10-$B$10),1+$B$6*($D$10-$C$10)/($D$10-$B$10),$B$10,$D$10))</f>
        <v>5191.640245381157</v>
      </c>
      <c r="F159" s="88">
        <f t="shared" ca="1" si="7"/>
        <v>0.5573826818978892</v>
      </c>
      <c r="G159" s="89">
        <f t="shared" ca="1" si="8"/>
        <v>1.6773195428437169E-4</v>
      </c>
    </row>
    <row r="160" spans="1:7" x14ac:dyDescent="0.35">
      <c r="A160" s="84">
        <v>145</v>
      </c>
      <c r="B160" s="84">
        <f t="shared" ca="1" si="6"/>
        <v>0.70233043700900311</v>
      </c>
      <c r="C160" s="84">
        <f t="shared" ca="1" si="6"/>
        <v>0.49044312034334314</v>
      </c>
      <c r="D160" s="93" cm="1">
        <f t="array" aca="1" ref="D160" ca="1">_xlfn.SWITCH($B$4,"Normal MLE",EXP(_xlfn.NORM.INV(B160,LN($C$9),$E$9/$C$9)),"Uniforme",$B$9+($D$9-$B$9)*B160,"Triangular",IF(B160&lt;=($C$9-$B$9)/($D$9-$B$9),$B$9+SQRT(B160*($D$9-$B$9)*($C$9-$B$9)),$D$9-SQRT((1-B160)*($D$9-$B$9)*($D$9-$C$9))),"PERT",_xlfn.BETA.INV(B160,1+$B$6*($C$9-$B$9)/($D$9-$B$9),1+$B$6*($D$9-$C$9)/($D$9-$B$9),$B$9,$D$9))</f>
        <v>2.0218998819417635</v>
      </c>
      <c r="E160" s="94" cm="1">
        <f t="array" aca="1" ref="E160" ca="1">_xlfn.SWITCH($B$4,"Normal MLE",EXP(_xlfn.NORM.INV(C160,LN($C$10),$E$10/$C$10)),"Uniforme",$B$10+($D$10-$B$10)*C160,"Triangular",IF(C160&lt;=($C$10-$B$10)/($D$10-$B$10),$B$10+SQRT(C160*($D$10-$B$10)*($C$10-$B$10)),$D$10-SQRT((1-C160)*($D$10-$B$10)*($D$10-$C$10))),"PERT",_xlfn.BETA.INV(C160,1+$B$6*($C$10-$B$10)/($D$10-$B$10),1+$B$6*($D$10-$C$10)/($D$10-$B$10),$B$10,$D$10))</f>
        <v>5094.0936084981267</v>
      </c>
      <c r="F160" s="88">
        <f t="shared" ca="1" si="7"/>
        <v>0.54155041431240558</v>
      </c>
      <c r="G160" s="89">
        <f t="shared" ca="1" si="8"/>
        <v>1.6789008492632069E-4</v>
      </c>
    </row>
    <row r="161" spans="1:7" x14ac:dyDescent="0.35">
      <c r="A161" s="84">
        <v>146</v>
      </c>
      <c r="B161" s="84">
        <f t="shared" ca="1" si="6"/>
        <v>0.92411428892339686</v>
      </c>
      <c r="C161" s="84">
        <f t="shared" ca="1" si="6"/>
        <v>4.5752589791147491E-2</v>
      </c>
      <c r="D161" s="93" cm="1">
        <f t="array" aca="1" ref="D161" ca="1">_xlfn.SWITCH($B$4,"Normal MLE",EXP(_xlfn.NORM.INV(B161,LN($C$9),$E$9/$C$9)),"Uniforme",$B$9+($D$9-$B$9)*B161,"Triangular",IF(B161&lt;=($C$9-$B$9)/($D$9-$B$9),$B$9+SQRT(B161*($D$9-$B$9)*($C$9-$B$9)),$D$9-SQRT((1-B161)*($D$9-$B$9)*($D$9-$C$9))),"PERT",_xlfn.BETA.INV(B161,1+$B$6*($C$9-$B$9)/($D$9-$B$9),1+$B$6*($D$9-$C$9)/($D$9-$B$9),$B$9,$D$9))</f>
        <v>2.1545226166200075</v>
      </c>
      <c r="E161" s="94" cm="1">
        <f t="array" aca="1" ref="E161" ca="1">_xlfn.SWITCH($B$4,"Normal MLE",EXP(_xlfn.NORM.INV(C161,LN($C$10),$E$10/$C$10)),"Uniforme",$B$10+($D$10-$B$10)*C161,"Triangular",IF(C161&lt;=($C$10-$B$10)/($D$10-$B$10),$B$10+SQRT(C161*($D$10-$B$10)*($C$10-$B$10)),$D$10-SQRT((1-C161)*($D$10-$B$10)*($D$10-$C$10))),"PERT",_xlfn.BETA.INV(C161,1+$B$6*($C$10-$B$10)/($D$10-$B$10),1+$B$6*($D$10-$C$10)/($D$10-$B$10),$B$10,$D$10))</f>
        <v>4714.625492182965</v>
      </c>
      <c r="F161" s="88">
        <f t="shared" ca="1" si="7"/>
        <v>0.49570724895924184</v>
      </c>
      <c r="G161" s="89">
        <f t="shared" ca="1" si="8"/>
        <v>1.873747127161927E-4</v>
      </c>
    </row>
    <row r="162" spans="1:7" x14ac:dyDescent="0.35">
      <c r="A162" s="84">
        <v>147</v>
      </c>
      <c r="B162" s="84">
        <f t="shared" ca="1" si="6"/>
        <v>9.127769670400121E-2</v>
      </c>
      <c r="C162" s="84">
        <f t="shared" ca="1" si="6"/>
        <v>0.36251333983892375</v>
      </c>
      <c r="D162" s="93" cm="1">
        <f t="array" aca="1" ref="D162" ca="1">_xlfn.SWITCH($B$4,"Normal MLE",EXP(_xlfn.NORM.INV(B162,LN($C$9),$E$9/$C$9)),"Uniforme",$B$9+($D$9-$B$9)*B162,"Triangular",IF(B162&lt;=($C$9-$B$9)/($D$9-$B$9),$B$9+SQRT(B162*($D$9-$B$9)*($C$9-$B$9)),$D$9-SQRT((1-B162)*($D$9-$B$9)*($D$9-$C$9))),"PERT",_xlfn.BETA.INV(B162,1+$B$6*($C$9-$B$9)/($D$9-$B$9),1+$B$6*($D$9-$C$9)/($D$9-$B$9),$B$9,$D$9))</f>
        <v>1.7731766762135239</v>
      </c>
      <c r="E162" s="94" cm="1">
        <f t="array" aca="1" ref="E162" ca="1">_xlfn.SWITCH($B$4,"Normal MLE",EXP(_xlfn.NORM.INV(C162,LN($C$10),$E$10/$C$10)),"Uniforme",$B$10+($D$10-$B$10)*C162,"Triangular",IF(C162&lt;=($C$10-$B$10)/($D$10-$B$10),$B$10+SQRT(C162*($D$10-$B$10)*($C$10-$B$10)),$D$10-SQRT((1-C162)*($D$10-$B$10)*($D$10-$C$10))),"PERT",_xlfn.BETA.INV(C162,1+$B$6*($C$10-$B$10)/($D$10-$B$10),1+$B$6*($D$10-$C$10)/($D$10-$B$10),$B$10,$D$10))</f>
        <v>5016.9803630428505</v>
      </c>
      <c r="F162" s="88">
        <f t="shared" ca="1" si="7"/>
        <v>0.51212231186574564</v>
      </c>
      <c r="G162" s="89">
        <f t="shared" ca="1" si="8"/>
        <v>1.5192047921390632E-4</v>
      </c>
    </row>
    <row r="163" spans="1:7" x14ac:dyDescent="0.35">
      <c r="A163" s="84">
        <v>148</v>
      </c>
      <c r="B163" s="84">
        <f t="shared" ca="1" si="6"/>
        <v>0.78274225662776575</v>
      </c>
      <c r="C163" s="84">
        <f t="shared" ca="1" si="6"/>
        <v>0.90914367471751001</v>
      </c>
      <c r="D163" s="93" cm="1">
        <f t="array" aca="1" ref="D163" ca="1">_xlfn.SWITCH($B$4,"Normal MLE",EXP(_xlfn.NORM.INV(B163,LN($C$9),$E$9/$C$9)),"Uniforme",$B$9+($D$9-$B$9)*B163,"Triangular",IF(B163&lt;=($C$9-$B$9)/($D$9-$B$9),$B$9+SQRT(B163*($D$9-$B$9)*($C$9-$B$9)),$D$9-SQRT((1-B163)*($D$9-$B$9)*($D$9-$C$9))),"PERT",_xlfn.BETA.INV(B163,1+$B$6*($C$9-$B$9)/($D$9-$B$9),1+$B$6*($D$9-$C$9)/($D$9-$B$9),$B$9,$D$9))</f>
        <v>2.0578644067202689</v>
      </c>
      <c r="E163" s="94" cm="1">
        <f t="array" aca="1" ref="E163" ca="1">_xlfn.SWITCH($B$4,"Normal MLE",EXP(_xlfn.NORM.INV(C163,LN($C$10),$E$10/$C$10)),"Uniforme",$B$10+($D$10-$B$10)*C163,"Triangular",IF(C163&lt;=($C$10-$B$10)/($D$10-$B$10),$B$10+SQRT(C163*($D$10-$B$10)*($C$10-$B$10)),$D$10-SQRT((1-C163)*($D$10-$B$10)*($D$10-$C$10))),"PERT",_xlfn.BETA.INV(C163,1+$B$6*($C$10-$B$10)/($D$10-$B$10),1+$B$6*($D$10-$C$10)/($D$10-$B$10),$B$10,$D$10))</f>
        <v>5426.7649556949355</v>
      </c>
      <c r="F163" s="88">
        <f t="shared" ca="1" si="7"/>
        <v>0.58637723301282219</v>
      </c>
      <c r="G163" s="89">
        <f t="shared" ca="1" si="8"/>
        <v>1.6102966426781716E-4</v>
      </c>
    </row>
    <row r="164" spans="1:7" x14ac:dyDescent="0.35">
      <c r="A164" s="84">
        <v>149</v>
      </c>
      <c r="B164" s="84">
        <f t="shared" ca="1" si="6"/>
        <v>0.80825129931480222</v>
      </c>
      <c r="C164" s="84">
        <f t="shared" ca="1" si="6"/>
        <v>0.13023635728658967</v>
      </c>
      <c r="D164" s="93" cm="1">
        <f t="array" aca="1" ref="D164" ca="1">_xlfn.SWITCH($B$4,"Normal MLE",EXP(_xlfn.NORM.INV(B164,LN($C$9),$E$9/$C$9)),"Uniforme",$B$9+($D$9-$B$9)*B164,"Triangular",IF(B164&lt;=($C$9-$B$9)/($D$9-$B$9),$B$9+SQRT(B164*($D$9-$B$9)*($C$9-$B$9)),$D$9-SQRT((1-B164)*($D$9-$B$9)*($D$9-$C$9))),"PERT",_xlfn.BETA.INV(B164,1+$B$6*($C$9-$B$9)/($D$9-$B$9),1+$B$6*($D$9-$C$9)/($D$9-$B$9),$B$9,$D$9))</f>
        <v>2.070945470596107</v>
      </c>
      <c r="E164" s="94" cm="1">
        <f t="array" aca="1" ref="E164" ca="1">_xlfn.SWITCH($B$4,"Normal MLE",EXP(_xlfn.NORM.INV(C164,LN($C$10),$E$10/$C$10)),"Uniforme",$B$10+($D$10-$B$10)*C164,"Triangular",IF(C164&lt;=($C$10-$B$10)/($D$10-$B$10),$B$10+SQRT(C164*($D$10-$B$10)*($C$10-$B$10)),$D$10-SQRT((1-C164)*($D$10-$B$10)*($D$10-$C$10))),"PERT",_xlfn.BETA.INV(C164,1+$B$6*($C$10-$B$10)/($D$10-$B$10),1+$B$6*($D$10-$C$10)/($D$10-$B$10),$B$10,$D$10))</f>
        <v>4839.6032904426083</v>
      </c>
      <c r="F164" s="88">
        <f t="shared" ca="1" si="7"/>
        <v>0.50968968876545895</v>
      </c>
      <c r="G164" s="89">
        <f t="shared" ca="1" si="8"/>
        <v>1.7784606260835806E-4</v>
      </c>
    </row>
    <row r="165" spans="1:7" x14ac:dyDescent="0.35">
      <c r="A165" s="84">
        <v>150</v>
      </c>
      <c r="B165" s="84">
        <f t="shared" ca="1" si="6"/>
        <v>0.8686287596636757</v>
      </c>
      <c r="C165" s="84">
        <f t="shared" ca="1" si="6"/>
        <v>0.16497014978408597</v>
      </c>
      <c r="D165" s="93" cm="1">
        <f t="array" aca="1" ref="D165" ca="1">_xlfn.SWITCH($B$4,"Normal MLE",EXP(_xlfn.NORM.INV(B165,LN($C$9),$E$9/$C$9)),"Uniforme",$B$9+($D$9-$B$9)*B165,"Triangular",IF(B165&lt;=($C$9-$B$9)/($D$9-$B$9),$B$9+SQRT(B165*($D$9-$B$9)*($C$9-$B$9)),$D$9-SQRT((1-B165)*($D$9-$B$9)*($D$9-$C$9))),"PERT",_xlfn.BETA.INV(B165,1+$B$6*($C$9-$B$9)/($D$9-$B$9),1+$B$6*($D$9-$C$9)/($D$9-$B$9),$B$9,$D$9))</f>
        <v>2.1074987878176086</v>
      </c>
      <c r="E165" s="94" cm="1">
        <f t="array" aca="1" ref="E165" ca="1">_xlfn.SWITCH($B$4,"Normal MLE",EXP(_xlfn.NORM.INV(C165,LN($C$10),$E$10/$C$10)),"Uniforme",$B$10+($D$10-$B$10)*C165,"Triangular",IF(C165&lt;=($C$10-$B$10)/($D$10-$B$10),$B$10+SQRT(C165*($D$10-$B$10)*($C$10-$B$10)),$D$10-SQRT((1-C165)*($D$10-$B$10)*($D$10-$C$10))),"PERT",_xlfn.BETA.INV(C165,1+$B$6*($C$10-$B$10)/($D$10-$B$10),1+$B$6*($D$10-$C$10)/($D$10-$B$10),$B$10,$D$10))</f>
        <v>4873.7385495330009</v>
      </c>
      <c r="F165" s="88">
        <f t="shared" ca="1" si="7"/>
        <v>0.51714351919645563</v>
      </c>
      <c r="G165" s="89">
        <f t="shared" ca="1" si="8"/>
        <v>1.7967610283931262E-4</v>
      </c>
    </row>
    <row r="166" spans="1:7" x14ac:dyDescent="0.35">
      <c r="A166" s="84">
        <v>151</v>
      </c>
      <c r="B166" s="84">
        <f t="shared" ca="1" si="6"/>
        <v>0.9224464171147122</v>
      </c>
      <c r="C166" s="84">
        <f t="shared" ca="1" si="6"/>
        <v>0.66981205198903404</v>
      </c>
      <c r="D166" s="93" cm="1">
        <f t="array" aca="1" ref="D166" ca="1">_xlfn.SWITCH($B$4,"Normal MLE",EXP(_xlfn.NORM.INV(B166,LN($C$9),$E$9/$C$9)),"Uniforme",$B$9+($D$9-$B$9)*B166,"Triangular",IF(B166&lt;=($C$9-$B$9)/($D$9-$B$9),$B$9+SQRT(B166*($D$9-$B$9)*($C$9-$B$9)),$D$9-SQRT((1-B166)*($D$9-$B$9)*($D$9-$C$9))),"PERT",_xlfn.BETA.INV(B166,1+$B$6*($C$9-$B$9)/($D$9-$B$9),1+$B$6*($D$9-$C$9)/($D$9-$B$9),$B$9,$D$9))</f>
        <v>2.1527662411456143</v>
      </c>
      <c r="E166" s="94" cm="1">
        <f t="array" aca="1" ref="E166" ca="1">_xlfn.SWITCH($B$4,"Normal MLE",EXP(_xlfn.NORM.INV(C166,LN($C$10),$E$10/$C$10)),"Uniforme",$B$10+($D$10-$B$10)*C166,"Triangular",IF(C166&lt;=($C$10-$B$10)/($D$10-$B$10),$B$10+SQRT(C166*($D$10-$B$10)*($C$10-$B$10)),$D$10-SQRT((1-C166)*($D$10-$B$10)*($D$10-$C$10))),"PERT",_xlfn.BETA.INV(C166,1+$B$6*($C$10-$B$10)/($D$10-$B$10),1+$B$6*($D$10-$C$10)/($D$10-$B$10),$B$10,$D$10))</f>
        <v>5205.1239559467858</v>
      </c>
      <c r="F166" s="88">
        <f t="shared" ca="1" si="7"/>
        <v>0.56707441554086013</v>
      </c>
      <c r="G166" s="89">
        <f t="shared" ca="1" si="8"/>
        <v>1.7312617186143891E-4</v>
      </c>
    </row>
    <row r="167" spans="1:7" x14ac:dyDescent="0.35">
      <c r="A167" s="84">
        <v>152</v>
      </c>
      <c r="B167" s="84">
        <f t="shared" ca="1" si="6"/>
        <v>0.57662128722779793</v>
      </c>
      <c r="C167" s="84">
        <f t="shared" ca="1" si="6"/>
        <v>0.28004073067172086</v>
      </c>
      <c r="D167" s="93" cm="1">
        <f t="array" aca="1" ref="D167" ca="1">_xlfn.SWITCH($B$4,"Normal MLE",EXP(_xlfn.NORM.INV(B167,LN($C$9),$E$9/$C$9)),"Uniforme",$B$9+($D$9-$B$9)*B167,"Triangular",IF(B167&lt;=($C$9-$B$9)/($D$9-$B$9),$B$9+SQRT(B167*($D$9-$B$9)*($C$9-$B$9)),$D$9-SQRT((1-B167)*($D$9-$B$9)*($D$9-$C$9))),"PERT",_xlfn.BETA.INV(B167,1+$B$6*($C$9-$B$9)/($D$9-$B$9),1+$B$6*($D$9-$C$9)/($D$9-$B$9),$B$9,$D$9))</f>
        <v>1.9743630702990165</v>
      </c>
      <c r="E167" s="94" cm="1">
        <f t="array" aca="1" ref="E167" ca="1">_xlfn.SWITCH($B$4,"Normal MLE",EXP(_xlfn.NORM.INV(C167,LN($C$10),$E$10/$C$10)),"Uniforme",$B$10+($D$10-$B$10)*C167,"Triangular",IF(C167&lt;=($C$10-$B$10)/($D$10-$B$10),$B$10+SQRT(C167*($D$10-$B$10)*($C$10-$B$10)),$D$10-SQRT((1-C167)*($D$10-$B$10)*($D$10-$C$10))),"PERT",_xlfn.BETA.INV(C167,1+$B$6*($C$10-$B$10)/($D$10-$B$10),1+$B$6*($D$10-$C$10)/($D$10-$B$10),$B$10,$D$10))</f>
        <v>4963.3460667489289</v>
      </c>
      <c r="F167" s="88">
        <f t="shared" ca="1" si="7"/>
        <v>0.52043484135974816</v>
      </c>
      <c r="G167" s="89">
        <f t="shared" ca="1" si="8"/>
        <v>1.6776710607909053E-4</v>
      </c>
    </row>
    <row r="168" spans="1:7" x14ac:dyDescent="0.35">
      <c r="A168" s="84">
        <v>153</v>
      </c>
      <c r="B168" s="84">
        <f t="shared" ca="1" si="6"/>
        <v>0.96989139975195549</v>
      </c>
      <c r="C168" s="84">
        <f t="shared" ca="1" si="6"/>
        <v>4.5933257276555284E-2</v>
      </c>
      <c r="D168" s="93" cm="1">
        <f t="array" aca="1" ref="D168" ca="1">_xlfn.SWITCH($B$4,"Normal MLE",EXP(_xlfn.NORM.INV(B168,LN($C$9),$E$9/$C$9)),"Uniforme",$B$9+($D$9-$B$9)*B168,"Triangular",IF(B168&lt;=($C$9-$B$9)/($D$9-$B$9),$B$9+SQRT(B168*($D$9-$B$9)*($C$9-$B$9)),$D$9-SQRT((1-B168)*($D$9-$B$9)*($D$9-$C$9))),"PERT",_xlfn.BETA.INV(B168,1+$B$6*($C$9-$B$9)/($D$9-$B$9),1+$B$6*($D$9-$C$9)/($D$9-$B$9),$B$9,$D$9))</f>
        <v>2.2232476700116406</v>
      </c>
      <c r="E168" s="94" cm="1">
        <f t="array" aca="1" ref="E168" ca="1">_xlfn.SWITCH($B$4,"Normal MLE",EXP(_xlfn.NORM.INV(C168,LN($C$10),$E$10/$C$10)),"Uniforme",$B$10+($D$10-$B$10)*C168,"Triangular",IF(C168&lt;=($C$10-$B$10)/($D$10-$B$10),$B$10+SQRT(C168*($D$10-$B$10)*($C$10-$B$10)),$D$10-SQRT((1-C168)*($D$10-$B$10)*($D$10-$C$10))),"PERT",_xlfn.BETA.INV(C168,1+$B$6*($C$10-$B$10)/($D$10-$B$10),1+$B$6*($D$10-$C$10)/($D$10-$B$10),$B$10,$D$10))</f>
        <v>4715.0374851932193</v>
      </c>
      <c r="F168" s="88">
        <f t="shared" ca="1" si="7"/>
        <v>0.4996977338173304</v>
      </c>
      <c r="G168" s="89">
        <f t="shared" ca="1" si="8"/>
        <v>1.9268123321667825E-4</v>
      </c>
    </row>
    <row r="169" spans="1:7" x14ac:dyDescent="0.35">
      <c r="A169" s="84">
        <v>154</v>
      </c>
      <c r="B169" s="84">
        <f t="shared" ca="1" si="6"/>
        <v>0.7826912133748386</v>
      </c>
      <c r="C169" s="84">
        <f t="shared" ca="1" si="6"/>
        <v>0.16798929747090419</v>
      </c>
      <c r="D169" s="93" cm="1">
        <f t="array" aca="1" ref="D169" ca="1">_xlfn.SWITCH($B$4,"Normal MLE",EXP(_xlfn.NORM.INV(B169,LN($C$9),$E$9/$C$9)),"Uniforme",$B$9+($D$9-$B$9)*B169,"Triangular",IF(B169&lt;=($C$9-$B$9)/($D$9-$B$9),$B$9+SQRT(B169*($D$9-$B$9)*($C$9-$B$9)),$D$9-SQRT((1-B169)*($D$9-$B$9)*($D$9-$C$9))),"PERT",_xlfn.BETA.INV(B169,1+$B$6*($C$9-$B$9)/($D$9-$B$9),1+$B$6*($D$9-$C$9)/($D$9-$B$9),$B$9,$D$9))</f>
        <v>2.0578392460243937</v>
      </c>
      <c r="E169" s="94" cm="1">
        <f t="array" aca="1" ref="E169" ca="1">_xlfn.SWITCH($B$4,"Normal MLE",EXP(_xlfn.NORM.INV(C169,LN($C$10),$E$10/$C$10)),"Uniforme",$B$10+($D$10-$B$10)*C169,"Triangular",IF(C169&lt;=($C$10-$B$10)/($D$10-$B$10),$B$10+SQRT(C169*($D$10-$B$10)*($C$10-$B$10)),$D$10-SQRT((1-C169)*($D$10-$B$10)*($D$10-$C$10))),"PERT",_xlfn.BETA.INV(C169,1+$B$6*($C$10-$B$10)/($D$10-$B$10),1+$B$6*($D$10-$C$10)/($D$10-$B$10),$B$10,$D$10))</f>
        <v>4876.4819118585519</v>
      </c>
      <c r="F169" s="88">
        <f t="shared" ca="1" si="7"/>
        <v>0.51418829670423993</v>
      </c>
      <c r="G169" s="89">
        <f t="shared" ca="1" si="8"/>
        <v>1.7595577173548166E-4</v>
      </c>
    </row>
    <row r="170" spans="1:7" x14ac:dyDescent="0.35">
      <c r="A170" s="84">
        <v>155</v>
      </c>
      <c r="B170" s="84">
        <f t="shared" ca="1" si="6"/>
        <v>0.56236145810913307</v>
      </c>
      <c r="C170" s="84">
        <f t="shared" ca="1" si="6"/>
        <v>0.75938984763769235</v>
      </c>
      <c r="D170" s="93" cm="1">
        <f t="array" aca="1" ref="D170" ca="1">_xlfn.SWITCH($B$4,"Normal MLE",EXP(_xlfn.NORM.INV(B170,LN($C$9),$E$9/$C$9)),"Uniforme",$B$9+($D$9-$B$9)*B170,"Triangular",IF(B170&lt;=($C$9-$B$9)/($D$9-$B$9),$B$9+SQRT(B170*($D$9-$B$9)*($C$9-$B$9)),$D$9-SQRT((1-B170)*($D$9-$B$9)*($D$9-$C$9))),"PERT",_xlfn.BETA.INV(B170,1+$B$6*($C$9-$B$9)/($D$9-$B$9),1+$B$6*($D$9-$C$9)/($D$9-$B$9),$B$9,$D$9))</f>
        <v>1.9693228374705367</v>
      </c>
      <c r="E170" s="94" cm="1">
        <f t="array" aca="1" ref="E170" ca="1">_xlfn.SWITCH($B$4,"Normal MLE",EXP(_xlfn.NORM.INV(C170,LN($C$10),$E$10/$C$10)),"Uniforme",$B$10+($D$10-$B$10)*C170,"Triangular",IF(C170&lt;=($C$10-$B$10)/($D$10-$B$10),$B$10+SQRT(C170*($D$10-$B$10)*($C$10-$B$10)),$D$10-SQRT((1-C170)*($D$10-$B$10)*($D$10-$C$10))),"PERT",_xlfn.BETA.INV(C170,1+$B$6*($C$10-$B$10)/($D$10-$B$10),1+$B$6*($D$10-$C$10)/($D$10-$B$10),$B$10,$D$10))</f>
        <v>5269.6958001031226</v>
      </c>
      <c r="F170" s="88">
        <f t="shared" ca="1" si="7"/>
        <v>0.55930462621503096</v>
      </c>
      <c r="G170" s="89">
        <f t="shared" ca="1" si="8"/>
        <v>1.6000261071918637E-4</v>
      </c>
    </row>
    <row r="171" spans="1:7" x14ac:dyDescent="0.35">
      <c r="A171" s="84">
        <v>156</v>
      </c>
      <c r="B171" s="84">
        <f t="shared" ca="1" si="6"/>
        <v>8.8892416234020333E-2</v>
      </c>
      <c r="C171" s="84">
        <f t="shared" ca="1" si="6"/>
        <v>0.42575291984567809</v>
      </c>
      <c r="D171" s="93" cm="1">
        <f t="array" aca="1" ref="D171" ca="1">_xlfn.SWITCH($B$4,"Normal MLE",EXP(_xlfn.NORM.INV(B171,LN($C$9),$E$9/$C$9)),"Uniforme",$B$9+($D$9-$B$9)*B171,"Triangular",IF(B171&lt;=($C$9-$B$9)/($D$9-$B$9),$B$9+SQRT(B171*($D$9-$B$9)*($C$9-$B$9)),$D$9-SQRT((1-B171)*($D$9-$B$9)*($D$9-$C$9))),"PERT",_xlfn.BETA.INV(B171,1+$B$6*($C$9-$B$9)/($D$9-$B$9),1+$B$6*($D$9-$C$9)/($D$9-$B$9),$B$9,$D$9))</f>
        <v>1.7713447333188577</v>
      </c>
      <c r="E171" s="94" cm="1">
        <f t="array" aca="1" ref="E171" ca="1">_xlfn.SWITCH($B$4,"Normal MLE",EXP(_xlfn.NORM.INV(C171,LN($C$10),$E$10/$C$10)),"Uniforme",$B$10+($D$10-$B$10)*C171,"Triangular",IF(C171&lt;=($C$10-$B$10)/($D$10-$B$10),$B$10+SQRT(C171*($D$10-$B$10)*($C$10-$B$10)),$D$10-SQRT((1-C171)*($D$10-$B$10)*($D$10-$C$10))),"PERT",_xlfn.BETA.INV(C171,1+$B$6*($C$10-$B$10)/($D$10-$B$10),1+$B$6*($D$10-$C$10)/($D$10-$B$10),$B$10,$D$10))</f>
        <v>5055.5442516057683</v>
      </c>
      <c r="F171" s="88">
        <f t="shared" ca="1" si="7"/>
        <v>0.51661860062476772</v>
      </c>
      <c r="G171" s="89">
        <f t="shared" ca="1" si="8"/>
        <v>1.510961299326328E-4</v>
      </c>
    </row>
    <row r="172" spans="1:7" x14ac:dyDescent="0.35">
      <c r="A172" s="84">
        <v>157</v>
      </c>
      <c r="B172" s="84">
        <f t="shared" ca="1" si="6"/>
        <v>0.82233653858803857</v>
      </c>
      <c r="C172" s="84">
        <f t="shared" ca="1" si="6"/>
        <v>0.16205536686951993</v>
      </c>
      <c r="D172" s="93" cm="1">
        <f t="array" aca="1" ref="D172" ca="1">_xlfn.SWITCH($B$4,"Normal MLE",EXP(_xlfn.NORM.INV(B172,LN($C$9),$E$9/$C$9)),"Uniforme",$B$9+($D$9-$B$9)*B172,"Triangular",IF(B172&lt;=($C$9-$B$9)/($D$9-$B$9),$B$9+SQRT(B172*($D$9-$B$9)*($C$9-$B$9)),$D$9-SQRT((1-B172)*($D$9-$B$9)*($D$9-$C$9))),"PERT",_xlfn.BETA.INV(B172,1+$B$6*($C$9-$B$9)/($D$9-$B$9),1+$B$6*($D$9-$C$9)/($D$9-$B$9),$B$9,$D$9))</f>
        <v>2.0786651348899556</v>
      </c>
      <c r="E172" s="94" cm="1">
        <f t="array" aca="1" ref="E172" ca="1">_xlfn.SWITCH($B$4,"Normal MLE",EXP(_xlfn.NORM.INV(C172,LN($C$10),$E$10/$C$10)),"Uniforme",$B$10+($D$10-$B$10)*C172,"Triangular",IF(C172&lt;=($C$10-$B$10)/($D$10-$B$10),$B$10+SQRT(C172*($D$10-$B$10)*($C$10-$B$10)),$D$10-SQRT((1-C172)*($D$10-$B$10)*($D$10-$C$10))),"PERT",_xlfn.BETA.INV(C172,1+$B$6*($C$10-$B$10)/($D$10-$B$10),1+$B$6*($D$10-$C$10)/($D$10-$B$10),$B$10,$D$10))</f>
        <v>4871.0604911334658</v>
      </c>
      <c r="F172" s="88">
        <f t="shared" ca="1" si="7"/>
        <v>0.51480852927643272</v>
      </c>
      <c r="G172" s="89">
        <f t="shared" ca="1" si="8"/>
        <v>1.7762837559159416E-4</v>
      </c>
    </row>
    <row r="173" spans="1:7" x14ac:dyDescent="0.35">
      <c r="A173" s="84">
        <v>158</v>
      </c>
      <c r="B173" s="84">
        <f t="shared" ca="1" si="6"/>
        <v>0.48786388544686166</v>
      </c>
      <c r="C173" s="84">
        <f t="shared" ca="1" si="6"/>
        <v>0.61089274276614158</v>
      </c>
      <c r="D173" s="93" cm="1">
        <f t="array" aca="1" ref="D173" ca="1">_xlfn.SWITCH($B$4,"Normal MLE",EXP(_xlfn.NORM.INV(B173,LN($C$9),$E$9/$C$9)),"Uniforme",$B$9+($D$9-$B$9)*B173,"Triangular",IF(B173&lt;=($C$9-$B$9)/($D$9-$B$9),$B$9+SQRT(B173*($D$9-$B$9)*($C$9-$B$9)),$D$9-SQRT((1-B173)*($D$9-$B$9)*($D$9-$C$9))),"PERT",_xlfn.BETA.INV(B173,1+$B$6*($C$9-$B$9)/($D$9-$B$9),1+$B$6*($D$9-$C$9)/($D$9-$B$9),$B$9,$D$9))</f>
        <v>1.9435072988759765</v>
      </c>
      <c r="E173" s="94" cm="1">
        <f t="array" aca="1" ref="E173" ca="1">_xlfn.SWITCH($B$4,"Normal MLE",EXP(_xlfn.NORM.INV(C173,LN($C$10),$E$10/$C$10)),"Uniforme",$B$10+($D$10-$B$10)*C173,"Triangular",IF(C173&lt;=($C$10-$B$10)/($D$10-$B$10),$B$10+SQRT(C173*($D$10-$B$10)*($C$10-$B$10)),$D$10-SQRT((1-C173)*($D$10-$B$10)*($D$10-$C$10))),"PERT",_xlfn.BETA.INV(C173,1+$B$6*($C$10-$B$10)/($D$10-$B$10),1+$B$6*($D$10-$C$10)/($D$10-$B$10),$B$10,$D$10))</f>
        <v>5167.0547224332222</v>
      </c>
      <c r="F173" s="88">
        <f t="shared" ca="1" si="7"/>
        <v>0.54443003524737787</v>
      </c>
      <c r="G173" s="89">
        <f t="shared" ca="1" si="8"/>
        <v>1.6083595925776408E-4</v>
      </c>
    </row>
    <row r="174" spans="1:7" x14ac:dyDescent="0.35">
      <c r="A174" s="84">
        <v>159</v>
      </c>
      <c r="B174" s="84">
        <f t="shared" ca="1" si="6"/>
        <v>0.15825457643777763</v>
      </c>
      <c r="C174" s="84">
        <f t="shared" ca="1" si="6"/>
        <v>0.90621839039848984</v>
      </c>
      <c r="D174" s="93" cm="1">
        <f t="array" aca="1" ref="D174" ca="1">_xlfn.SWITCH($B$4,"Normal MLE",EXP(_xlfn.NORM.INV(B174,LN($C$9),$E$9/$C$9)),"Uniforme",$B$9+($D$9-$B$9)*B174,"Triangular",IF(B174&lt;=($C$9-$B$9)/($D$9-$B$9),$B$9+SQRT(B174*($D$9-$B$9)*($C$9-$B$9)),$D$9-SQRT((1-B174)*($D$9-$B$9)*($D$9-$C$9))),"PERT",_xlfn.BETA.INV(B174,1+$B$6*($C$9-$B$9)/($D$9-$B$9),1+$B$6*($D$9-$C$9)/($D$9-$B$9),$B$9,$D$9))</f>
        <v>1.8150274472206889</v>
      </c>
      <c r="E174" s="94" cm="1">
        <f t="array" aca="1" ref="E174" ca="1">_xlfn.SWITCH($B$4,"Normal MLE",EXP(_xlfn.NORM.INV(C174,LN($C$10),$E$10/$C$10)),"Uniforme",$B$10+($D$10-$B$10)*C174,"Triangular",IF(C174&lt;=($C$10-$B$10)/($D$10-$B$10),$B$10+SQRT(C174*($D$10-$B$10)*($C$10-$B$10)),$D$10-SQRT((1-C174)*($D$10-$B$10)*($D$10-$C$10))),"PERT",_xlfn.BETA.INV(C174,1+$B$6*($C$10-$B$10)/($D$10-$B$10),1+$B$6*($D$10-$C$10)/($D$10-$B$10),$B$10,$D$10))</f>
        <v>5422.3024897071264</v>
      </c>
      <c r="F174" s="88">
        <f t="shared" ca="1" si="7"/>
        <v>0.56231443961001915</v>
      </c>
      <c r="G174" s="89">
        <f t="shared" ca="1" si="8"/>
        <v>1.4689066884477102E-4</v>
      </c>
    </row>
    <row r="175" spans="1:7" x14ac:dyDescent="0.35">
      <c r="A175" s="84">
        <v>160</v>
      </c>
      <c r="B175" s="84">
        <f t="shared" ca="1" si="6"/>
        <v>6.6236189797183376E-2</v>
      </c>
      <c r="C175" s="84">
        <f t="shared" ca="1" si="6"/>
        <v>0.58759098517022368</v>
      </c>
      <c r="D175" s="93" cm="1">
        <f t="array" aca="1" ref="D175" ca="1">_xlfn.SWITCH($B$4,"Normal MLE",EXP(_xlfn.NORM.INV(B175,LN($C$9),$E$9/$C$9)),"Uniforme",$B$9+($D$9-$B$9)*B175,"Triangular",IF(B175&lt;=($C$9-$B$9)/($D$9-$B$9),$B$9+SQRT(B175*($D$9-$B$9)*($C$9-$B$9)),$D$9-SQRT((1-B175)*($D$9-$B$9)*($D$9-$C$9))),"PERT",_xlfn.BETA.INV(B175,1+$B$6*($C$9-$B$9)/($D$9-$B$9),1+$B$6*($D$9-$C$9)/($D$9-$B$9),$B$9,$D$9))</f>
        <v>1.7518915007418077</v>
      </c>
      <c r="E175" s="94" cm="1">
        <f t="array" aca="1" ref="E175" ca="1">_xlfn.SWITCH($B$4,"Normal MLE",EXP(_xlfn.NORM.INV(C175,LN($C$10),$E$10/$C$10)),"Uniforme",$B$10+($D$10-$B$10)*C175,"Triangular",IF(C175&lt;=($C$10-$B$10)/($D$10-$B$10),$B$10+SQRT(C175*($D$10-$B$10)*($C$10-$B$10)),$D$10-SQRT((1-C175)*($D$10-$B$10)*($D$10-$C$10))),"PERT",_xlfn.BETA.INV(C175,1+$B$6*($C$10-$B$10)/($D$10-$B$10),1+$B$6*($D$10-$C$10)/($D$10-$B$10),$B$10,$D$10))</f>
        <v>5152.5775967486943</v>
      </c>
      <c r="F175" s="88">
        <f t="shared" ca="1" si="7"/>
        <v>0.52637967620386417</v>
      </c>
      <c r="G175" s="89">
        <f t="shared" ca="1" si="8"/>
        <v>1.4794502554739752E-4</v>
      </c>
    </row>
    <row r="176" spans="1:7" x14ac:dyDescent="0.35">
      <c r="A176" s="84">
        <v>161</v>
      </c>
      <c r="B176" s="84">
        <f t="shared" ca="1" si="6"/>
        <v>0.27691530251681451</v>
      </c>
      <c r="C176" s="84">
        <f t="shared" ca="1" si="6"/>
        <v>0.98404247028432901</v>
      </c>
      <c r="D176" s="93" cm="1">
        <f t="array" aca="1" ref="D176" ca="1">_xlfn.SWITCH($B$4,"Normal MLE",EXP(_xlfn.NORM.INV(B176,LN($C$9),$E$9/$C$9)),"Uniforme",$B$9+($D$9-$B$9)*B176,"Triangular",IF(B176&lt;=($C$9-$B$9)/($D$9-$B$9),$B$9+SQRT(B176*($D$9-$B$9)*($C$9-$B$9)),$D$9-SQRT((1-B176)*($D$9-$B$9)*($D$9-$C$9))),"PERT",_xlfn.BETA.INV(B176,1+$B$6*($C$9-$B$9)/($D$9-$B$9),1+$B$6*($D$9-$C$9)/($D$9-$B$9),$B$9,$D$9))</f>
        <v>1.8681457067193941</v>
      </c>
      <c r="E176" s="94" cm="1">
        <f t="array" aca="1" ref="E176" ca="1">_xlfn.SWITCH($B$4,"Normal MLE",EXP(_xlfn.NORM.INV(C176,LN($C$10),$E$10/$C$10)),"Uniforme",$B$10+($D$10-$B$10)*C176,"Triangular",IF(C176&lt;=($C$10-$B$10)/($D$10-$B$10),$B$10+SQRT(C176*($D$10-$B$10)*($C$10-$B$10)),$D$10-SQRT((1-C176)*($D$10-$B$10)*($D$10-$C$10))),"PERT",_xlfn.BETA.INV(C176,1+$B$6*($C$10-$B$10)/($D$10-$B$10),1+$B$6*($D$10-$C$10)/($D$10-$B$10),$B$10,$D$10))</f>
        <v>5635.2115422070501</v>
      </c>
      <c r="F176" s="88">
        <f t="shared" ca="1" si="7"/>
        <v>0.59029071424697732</v>
      </c>
      <c r="G176" s="89">
        <f t="shared" ca="1" si="8"/>
        <v>1.4532582046766906E-4</v>
      </c>
    </row>
    <row r="177" spans="1:7" x14ac:dyDescent="0.35">
      <c r="A177" s="84">
        <v>162</v>
      </c>
      <c r="B177" s="84">
        <f t="shared" ca="1" si="6"/>
        <v>0.54013674825523639</v>
      </c>
      <c r="C177" s="84">
        <f t="shared" ca="1" si="6"/>
        <v>0.66840160201885535</v>
      </c>
      <c r="D177" s="93" cm="1">
        <f t="array" aca="1" ref="D177" ca="1">_xlfn.SWITCH($B$4,"Normal MLE",EXP(_xlfn.NORM.INV(B177,LN($C$9),$E$9/$C$9)),"Uniforme",$B$9+($D$9-$B$9)*B177,"Triangular",IF(B177&lt;=($C$9-$B$9)/($D$9-$B$9),$B$9+SQRT(B177*($D$9-$B$9)*($C$9-$B$9)),$D$9-SQRT((1-B177)*($D$9-$B$9)*($D$9-$C$9))),"PERT",_xlfn.BETA.INV(B177,1+$B$6*($C$9-$B$9)/($D$9-$B$9),1+$B$6*($D$9-$C$9)/($D$9-$B$9),$B$9,$D$9))</f>
        <v>1.9615471411316183</v>
      </c>
      <c r="E177" s="94" cm="1">
        <f t="array" aca="1" ref="E177" ca="1">_xlfn.SWITCH($B$4,"Normal MLE",EXP(_xlfn.NORM.INV(C177,LN($C$10),$E$10/$C$10)),"Uniforme",$B$10+($D$10-$B$10)*C177,"Triangular",IF(C177&lt;=($C$10-$B$10)/($D$10-$B$10),$B$10+SQRT(C177*($D$10-$B$10)*($C$10-$B$10)),$D$10-SQRT((1-C177)*($D$10-$B$10)*($D$10-$C$10))),"PERT",_xlfn.BETA.INV(C177,1+$B$6*($C$10-$B$10)/($D$10-$B$10),1+$B$6*($D$10-$C$10)/($D$10-$B$10),$B$10,$D$10))</f>
        <v>5204.1817053367195</v>
      </c>
      <c r="F177" s="88">
        <f t="shared" ca="1" si="7"/>
        <v>0.55058491778625518</v>
      </c>
      <c r="G177" s="89">
        <f t="shared" ca="1" si="8"/>
        <v>1.6112874343185849E-4</v>
      </c>
    </row>
    <row r="178" spans="1:7" x14ac:dyDescent="0.35">
      <c r="A178" s="84">
        <v>163</v>
      </c>
      <c r="B178" s="84">
        <f t="shared" ca="1" si="6"/>
        <v>0.49000059472654922</v>
      </c>
      <c r="C178" s="84">
        <f t="shared" ca="1" si="6"/>
        <v>0.45167741354973856</v>
      </c>
      <c r="D178" s="93" cm="1">
        <f t="array" aca="1" ref="D178" ca="1">_xlfn.SWITCH($B$4,"Normal MLE",EXP(_xlfn.NORM.INV(B178,LN($C$9),$E$9/$C$9)),"Uniforme",$B$9+($D$9-$B$9)*B178,"Triangular",IF(B178&lt;=($C$9-$B$9)/($D$9-$B$9),$B$9+SQRT(B178*($D$9-$B$9)*($C$9-$B$9)),$D$9-SQRT((1-B178)*($D$9-$B$9)*($D$9-$C$9))),"PERT",_xlfn.BETA.INV(B178,1+$B$6*($C$9-$B$9)/($D$9-$B$9),1+$B$6*($D$9-$C$9)/($D$9-$B$9),$B$9,$D$9))</f>
        <v>1.9442407378049806</v>
      </c>
      <c r="E178" s="94" cm="1">
        <f t="array" aca="1" ref="E178" ca="1">_xlfn.SWITCH($B$4,"Normal MLE",EXP(_xlfn.NORM.INV(C178,LN($C$10),$E$10/$C$10)),"Uniforme",$B$10+($D$10-$B$10)*C178,"Triangular",IF(C178&lt;=($C$10-$B$10)/($D$10-$B$10),$B$10+SQRT(C178*($D$10-$B$10)*($C$10-$B$10)),$D$10-SQRT((1-C178)*($D$10-$B$10)*($D$10-$C$10))),"PERT",_xlfn.BETA.INV(C178,1+$B$6*($C$10-$B$10)/($D$10-$B$10),1+$B$6*($D$10-$C$10)/($D$10-$B$10),$B$10,$D$10))</f>
        <v>5071.0414499149128</v>
      </c>
      <c r="F178" s="88">
        <f t="shared" ca="1" si="7"/>
        <v>0.53233650898157003</v>
      </c>
      <c r="G178" s="89">
        <f t="shared" ca="1" si="8"/>
        <v>1.6313503404402727E-4</v>
      </c>
    </row>
    <row r="179" spans="1:7" x14ac:dyDescent="0.35">
      <c r="A179" s="84">
        <v>164</v>
      </c>
      <c r="B179" s="84">
        <f t="shared" ca="1" si="6"/>
        <v>0.54603323405120008</v>
      </c>
      <c r="C179" s="84">
        <f t="shared" ca="1" si="6"/>
        <v>0.68556699405170574</v>
      </c>
      <c r="D179" s="93" cm="1">
        <f t="array" aca="1" ref="D179" ca="1">_xlfn.SWITCH($B$4,"Normal MLE",EXP(_xlfn.NORM.INV(B179,LN($C$9),$E$9/$C$9)),"Uniforme",$B$9+($D$9-$B$9)*B179,"Triangular",IF(B179&lt;=($C$9-$B$9)/($D$9-$B$9),$B$9+SQRT(B179*($D$9-$B$9)*($C$9-$B$9)),$D$9-SQRT((1-B179)*($D$9-$B$9)*($D$9-$C$9))),"PERT",_xlfn.BETA.INV(B179,1+$B$6*($C$9-$B$9)/($D$9-$B$9),1+$B$6*($D$9-$C$9)/($D$9-$B$9),$B$9,$D$9))</f>
        <v>1.9636018428779505</v>
      </c>
      <c r="E179" s="94" cm="1">
        <f t="array" aca="1" ref="E179" ca="1">_xlfn.SWITCH($B$4,"Normal MLE",EXP(_xlfn.NORM.INV(C179,LN($C$10),$E$10/$C$10)),"Uniforme",$B$10+($D$10-$B$10)*C179,"Triangular",IF(C179&lt;=($C$10-$B$10)/($D$10-$B$10),$B$10+SQRT(C179*($D$10-$B$10)*($C$10-$B$10)),$D$10-SQRT((1-C179)*($D$10-$B$10)*($D$10-$C$10))),"PERT",_xlfn.BETA.INV(C179,1+$B$6*($C$10-$B$10)/($D$10-$B$10),1+$B$6*($D$10-$C$10)/($D$10-$B$10),$B$10,$D$10))</f>
        <v>5215.775257553044</v>
      </c>
      <c r="F179" s="88">
        <f t="shared" ca="1" si="7"/>
        <v>0.5521967044332069</v>
      </c>
      <c r="G179" s="89">
        <f t="shared" ca="1" si="8"/>
        <v>1.609773240878148E-4</v>
      </c>
    </row>
    <row r="180" spans="1:7" x14ac:dyDescent="0.35">
      <c r="A180" s="84">
        <v>165</v>
      </c>
      <c r="B180" s="84">
        <f t="shared" ca="1" si="6"/>
        <v>0.89770306159567881</v>
      </c>
      <c r="C180" s="84">
        <f t="shared" ca="1" si="6"/>
        <v>0.28697704113366074</v>
      </c>
      <c r="D180" s="93" cm="1">
        <f t="array" aca="1" ref="D180" ca="1">_xlfn.SWITCH($B$4,"Normal MLE",EXP(_xlfn.NORM.INV(B180,LN($C$9),$E$9/$C$9)),"Uniforme",$B$9+($D$9-$B$9)*B180,"Triangular",IF(B180&lt;=($C$9-$B$9)/($D$9-$B$9),$B$9+SQRT(B180*($D$9-$B$9)*($C$9-$B$9)),$D$9-SQRT((1-B180)*($D$9-$B$9)*($D$9-$C$9))),"PERT",_xlfn.BETA.INV(B180,1+$B$6*($C$9-$B$9)/($D$9-$B$9),1+$B$6*($D$9-$C$9)/($D$9-$B$9),$B$9,$D$9))</f>
        <v>2.1296740071893141</v>
      </c>
      <c r="E180" s="94" cm="1">
        <f t="array" aca="1" ref="E180" ca="1">_xlfn.SWITCH($B$4,"Normal MLE",EXP(_xlfn.NORM.INV(C180,LN($C$10),$E$10/$C$10)),"Uniforme",$B$10+($D$10-$B$10)*C180,"Triangular",IF(C180&lt;=($C$10-$B$10)/($D$10-$B$10),$B$10+SQRT(C180*($D$10-$B$10)*($C$10-$B$10)),$D$10-SQRT((1-C180)*($D$10-$B$10)*($D$10-$C$10))),"PERT",_xlfn.BETA.INV(C180,1+$B$6*($C$10-$B$10)/($D$10-$B$10),1+$B$6*($D$10-$C$10)/($D$10-$B$10),$B$10,$D$10))</f>
        <v>4968.0791533318306</v>
      </c>
      <c r="F180" s="88">
        <f t="shared" ca="1" si="7"/>
        <v>0.53244005238041725</v>
      </c>
      <c r="G180" s="89">
        <f t="shared" ca="1" si="8"/>
        <v>1.7867377130591252E-4</v>
      </c>
    </row>
    <row r="181" spans="1:7" x14ac:dyDescent="0.35">
      <c r="A181" s="84">
        <v>166</v>
      </c>
      <c r="B181" s="84">
        <f t="shared" ca="1" si="6"/>
        <v>0.58915199195268553</v>
      </c>
      <c r="C181" s="84">
        <f t="shared" ca="1" si="6"/>
        <v>3.7015898097917499E-2</v>
      </c>
      <c r="D181" s="93" cm="1">
        <f t="array" aca="1" ref="D181" ca="1">_xlfn.SWITCH($B$4,"Normal MLE",EXP(_xlfn.NORM.INV(B181,LN($C$9),$E$9/$C$9)),"Uniforme",$B$9+($D$9-$B$9)*B181,"Triangular",IF(B181&lt;=($C$9-$B$9)/($D$9-$B$9),$B$9+SQRT(B181*($D$9-$B$9)*($C$9-$B$9)),$D$9-SQRT((1-B181)*($D$9-$B$9)*($D$9-$C$9))),"PERT",_xlfn.BETA.INV(B181,1+$B$6*($C$9-$B$9)/($D$9-$B$9),1+$B$6*($D$9-$C$9)/($D$9-$B$9),$B$9,$D$9))</f>
        <v>1.9788320414869185</v>
      </c>
      <c r="E181" s="94" cm="1">
        <f t="array" aca="1" ref="E181" ca="1">_xlfn.SWITCH($B$4,"Normal MLE",EXP(_xlfn.NORM.INV(C181,LN($C$10),$E$10/$C$10)),"Uniforme",$B$10+($D$10-$B$10)*C181,"Triangular",IF(C181&lt;=($C$10-$B$10)/($D$10-$B$10),$B$10+SQRT(C181*($D$10-$B$10)*($C$10-$B$10)),$D$10-SQRT((1-C181)*($D$10-$B$10)*($D$10-$C$10))),"PERT",_xlfn.BETA.INV(C181,1+$B$6*($C$10-$B$10)/($D$10-$B$10),1+$B$6*($D$10-$C$10)/($D$10-$B$10),$B$10,$D$10))</f>
        <v>4692.9761799264579</v>
      </c>
      <c r="F181" s="88">
        <f t="shared" ca="1" si="7"/>
        <v>0.48241983315275055</v>
      </c>
      <c r="G181" s="89">
        <f t="shared" ca="1" si="8"/>
        <v>1.7396672569716207E-4</v>
      </c>
    </row>
    <row r="182" spans="1:7" x14ac:dyDescent="0.35">
      <c r="A182" s="84">
        <v>167</v>
      </c>
      <c r="B182" s="84">
        <f t="shared" ca="1" si="6"/>
        <v>0.36655532853922801</v>
      </c>
      <c r="C182" s="84">
        <f t="shared" ca="1" si="6"/>
        <v>0.3855960659571479</v>
      </c>
      <c r="D182" s="93" cm="1">
        <f t="array" aca="1" ref="D182" ca="1">_xlfn.SWITCH($B$4,"Normal MLE",EXP(_xlfn.NORM.INV(B182,LN($C$9),$E$9/$C$9)),"Uniforme",$B$9+($D$9-$B$9)*B182,"Triangular",IF(B182&lt;=($C$9-$B$9)/($D$9-$B$9),$B$9+SQRT(B182*($D$9-$B$9)*($C$9-$B$9)),$D$9-SQRT((1-B182)*($D$9-$B$9)*($D$9-$C$9))),"PERT",_xlfn.BETA.INV(B182,1+$B$6*($C$9-$B$9)/($D$9-$B$9),1+$B$6*($D$9-$C$9)/($D$9-$B$9),$B$9,$D$9))</f>
        <v>1.9014645210797398</v>
      </c>
      <c r="E182" s="94" cm="1">
        <f t="array" aca="1" ref="E182" ca="1">_xlfn.SWITCH($B$4,"Normal MLE",EXP(_xlfn.NORM.INV(C182,LN($C$10),$E$10/$C$10)),"Uniforme",$B$10+($D$10-$B$10)*C182,"Triangular",IF(C182&lt;=($C$10-$B$10)/($D$10-$B$10),$B$10+SQRT(C182*($D$10-$B$10)*($C$10-$B$10)),$D$10-SQRT((1-C182)*($D$10-$B$10)*($D$10-$C$10))),"PERT",_xlfn.BETA.INV(C182,1+$B$6*($C$10-$B$10)/($D$10-$B$10),1+$B$6*($D$10-$C$10)/($D$10-$B$10),$B$10,$D$10))</f>
        <v>5031.226042100162</v>
      </c>
      <c r="F182" s="88">
        <f t="shared" ca="1" si="7"/>
        <v>0.52386109369981304</v>
      </c>
      <c r="G182" s="89">
        <f t="shared" ca="1" si="8"/>
        <v>1.610023447829544E-4</v>
      </c>
    </row>
    <row r="183" spans="1:7" x14ac:dyDescent="0.35">
      <c r="A183" s="84">
        <v>168</v>
      </c>
      <c r="B183" s="84">
        <f t="shared" ca="1" si="6"/>
        <v>0.14104377880151442</v>
      </c>
      <c r="C183" s="84">
        <f t="shared" ca="1" si="6"/>
        <v>0.54363160412825184</v>
      </c>
      <c r="D183" s="93" cm="1">
        <f t="array" aca="1" ref="D183" ca="1">_xlfn.SWITCH($B$4,"Normal MLE",EXP(_xlfn.NORM.INV(B183,LN($C$9),$E$9/$C$9)),"Uniforme",$B$9+($D$9-$B$9)*B183,"Triangular",IF(B183&lt;=($C$9-$B$9)/($D$9-$B$9),$B$9+SQRT(B183*($D$9-$B$9)*($C$9-$B$9)),$D$9-SQRT((1-B183)*($D$9-$B$9)*($D$9-$C$9))),"PERT",_xlfn.BETA.INV(B183,1+$B$6*($C$9-$B$9)/($D$9-$B$9),1+$B$6*($D$9-$C$9)/($D$9-$B$9),$B$9,$D$9))</f>
        <v>1.8055958521471236</v>
      </c>
      <c r="E183" s="94" cm="1">
        <f t="array" aca="1" ref="E183" ca="1">_xlfn.SWITCH($B$4,"Normal MLE",EXP(_xlfn.NORM.INV(C183,LN($C$10),$E$10/$C$10)),"Uniforme",$B$10+($D$10-$B$10)*C183,"Triangular",IF(C183&lt;=($C$10-$B$10)/($D$10-$B$10),$B$10+SQRT(C183*($D$10-$B$10)*($C$10-$B$10)),$D$10-SQRT((1-C183)*($D$10-$B$10)*($D$10-$C$10))),"PERT",_xlfn.BETA.INV(C183,1+$B$6*($C$10-$B$10)/($D$10-$B$10),1+$B$6*($D$10-$C$10)/($D$10-$B$10),$B$10,$D$10))</f>
        <v>5125.8490287744344</v>
      </c>
      <c r="F183" s="88">
        <f t="shared" ca="1" si="7"/>
        <v>0.52779981847163426</v>
      </c>
      <c r="G183" s="89">
        <f t="shared" ca="1" si="8"/>
        <v>1.5224975859867292E-4</v>
      </c>
    </row>
    <row r="184" spans="1:7" x14ac:dyDescent="0.35">
      <c r="A184" s="84">
        <v>169</v>
      </c>
      <c r="B184" s="84">
        <f t="shared" ca="1" si="6"/>
        <v>0.44054890713711703</v>
      </c>
      <c r="C184" s="84">
        <f t="shared" ca="1" si="6"/>
        <v>0.17565417487799284</v>
      </c>
      <c r="D184" s="93" cm="1">
        <f t="array" aca="1" ref="D184" ca="1">_xlfn.SWITCH($B$4,"Normal MLE",EXP(_xlfn.NORM.INV(B184,LN($C$9),$E$9/$C$9)),"Uniforme",$B$9+($D$9-$B$9)*B184,"Triangular",IF(B184&lt;=($C$9-$B$9)/($D$9-$B$9),$B$9+SQRT(B184*($D$9-$B$9)*($C$9-$B$9)),$D$9-SQRT((1-B184)*($D$9-$B$9)*($D$9-$C$9))),"PERT",_xlfn.BETA.INV(B184,1+$B$6*($C$9-$B$9)/($D$9-$B$9),1+$B$6*($D$9-$C$9)/($D$9-$B$9),$B$9,$D$9))</f>
        <v>1.9272682522019275</v>
      </c>
      <c r="E184" s="94" cm="1">
        <f t="array" aca="1" ref="E184" ca="1">_xlfn.SWITCH($B$4,"Normal MLE",EXP(_xlfn.NORM.INV(C184,LN($C$10),$E$10/$C$10)),"Uniforme",$B$10+($D$10-$B$10)*C184,"Triangular",IF(C184&lt;=($C$10-$B$10)/($D$10-$B$10),$B$10+SQRT(C184*($D$10-$B$10)*($C$10-$B$10)),$D$10-SQRT((1-C184)*($D$10-$B$10)*($D$10-$C$10))),"PERT",_xlfn.BETA.INV(C184,1+$B$6*($C$10-$B$10)/($D$10-$B$10),1+$B$6*($D$10-$C$10)/($D$10-$B$10),$B$10,$D$10))</f>
        <v>4883.3141117435844</v>
      </c>
      <c r="F184" s="88">
        <f t="shared" ca="1" si="7"/>
        <v>0.50623276234939485</v>
      </c>
      <c r="G184" s="89">
        <f t="shared" ca="1" si="8"/>
        <v>1.6604493464437195E-4</v>
      </c>
    </row>
    <row r="185" spans="1:7" x14ac:dyDescent="0.35">
      <c r="A185" s="84">
        <v>170</v>
      </c>
      <c r="B185" s="84">
        <f t="shared" ca="1" si="6"/>
        <v>0.45331317629061851</v>
      </c>
      <c r="C185" s="84">
        <f t="shared" ca="1" si="6"/>
        <v>0.87325295346231713</v>
      </c>
      <c r="D185" s="93" cm="1">
        <f t="array" aca="1" ref="D185" ca="1">_xlfn.SWITCH($B$4,"Normal MLE",EXP(_xlfn.NORM.INV(B185,LN($C$9),$E$9/$C$9)),"Uniforme",$B$9+($D$9-$B$9)*B185,"Triangular",IF(B185&lt;=($C$9-$B$9)/($D$9-$B$9),$B$9+SQRT(B185*($D$9-$B$9)*($C$9-$B$9)),$D$9-SQRT((1-B185)*($D$9-$B$9)*($D$9-$C$9))),"PERT",_xlfn.BETA.INV(B185,1+$B$6*($C$9-$B$9)/($D$9-$B$9),1+$B$6*($D$9-$C$9)/($D$9-$B$9),$B$9,$D$9))</f>
        <v>1.9316545636384264</v>
      </c>
      <c r="E185" s="94" cm="1">
        <f t="array" aca="1" ref="E185" ca="1">_xlfn.SWITCH($B$4,"Normal MLE",EXP(_xlfn.NORM.INV(C185,LN($C$10),$E$10/$C$10)),"Uniforme",$B$10+($D$10-$B$10)*C185,"Triangular",IF(C185&lt;=($C$10-$B$10)/($D$10-$B$10),$B$10+SQRT(C185*($D$10-$B$10)*($C$10-$B$10)),$D$10-SQRT((1-C185)*($D$10-$B$10)*($D$10-$C$10))),"PERT",_xlfn.BETA.INV(C185,1+$B$6*($C$10-$B$10)/($D$10-$B$10),1+$B$6*($D$10-$C$10)/($D$10-$B$10),$B$10,$D$10))</f>
        <v>5378.0953984583139</v>
      </c>
      <c r="F185" s="88">
        <f t="shared" ca="1" si="7"/>
        <v>0.56865466868286563</v>
      </c>
      <c r="G185" s="89">
        <f t="shared" ca="1" si="8"/>
        <v>1.5501300400766788E-4</v>
      </c>
    </row>
    <row r="186" spans="1:7" x14ac:dyDescent="0.35">
      <c r="A186" s="84">
        <v>171</v>
      </c>
      <c r="B186" s="84">
        <f t="shared" ca="1" si="6"/>
        <v>0.60009733109693397</v>
      </c>
      <c r="C186" s="84">
        <f t="shared" ca="1" si="6"/>
        <v>0.38698686915630676</v>
      </c>
      <c r="D186" s="93" cm="1">
        <f t="array" aca="1" ref="D186" ca="1">_xlfn.SWITCH($B$4,"Normal MLE",EXP(_xlfn.NORM.INV(B186,LN($C$9),$E$9/$C$9)),"Uniforme",$B$9+($D$9-$B$9)*B186,"Triangular",IF(B186&lt;=($C$9-$B$9)/($D$9-$B$9),$B$9+SQRT(B186*($D$9-$B$9)*($C$9-$B$9)),$D$9-SQRT((1-B186)*($D$9-$B$9)*($D$9-$C$9))),"PERT",_xlfn.BETA.INV(B186,1+$B$6*($C$9-$B$9)/($D$9-$B$9),1+$B$6*($D$9-$C$9)/($D$9-$B$9),$B$9,$D$9))</f>
        <v>1.9827704431037412</v>
      </c>
      <c r="E186" s="94" cm="1">
        <f t="array" aca="1" ref="E186" ca="1">_xlfn.SWITCH($B$4,"Normal MLE",EXP(_xlfn.NORM.INV(C186,LN($C$10),$E$10/$C$10)),"Uniforme",$B$10+($D$10-$B$10)*C186,"Triangular",IF(C186&lt;=($C$10-$B$10)/($D$10-$B$10),$B$10+SQRT(C186*($D$10-$B$10)*($C$10-$B$10)),$D$10-SQRT((1-C186)*($D$10-$B$10)*($D$10-$C$10))),"PERT",_xlfn.BETA.INV(C186,1+$B$6*($C$10-$B$10)/($D$10-$B$10),1+$B$6*($D$10-$C$10)/($D$10-$B$10),$B$10,$D$10))</f>
        <v>5032.0771325607966</v>
      </c>
      <c r="F186" s="88">
        <f t="shared" ca="1" si="7"/>
        <v>0.53026919322985988</v>
      </c>
      <c r="G186" s="89">
        <f t="shared" ca="1" si="8"/>
        <v>1.6674461358199741E-4</v>
      </c>
    </row>
    <row r="187" spans="1:7" x14ac:dyDescent="0.35">
      <c r="A187" s="84">
        <v>172</v>
      </c>
      <c r="B187" s="84">
        <f t="shared" ca="1" si="6"/>
        <v>0.58271648759161276</v>
      </c>
      <c r="C187" s="84">
        <f t="shared" ca="1" si="6"/>
        <v>0.45981344720327932</v>
      </c>
      <c r="D187" s="93" cm="1">
        <f t="array" aca="1" ref="D187" ca="1">_xlfn.SWITCH($B$4,"Normal MLE",EXP(_xlfn.NORM.INV(B187,LN($C$9),$E$9/$C$9)),"Uniforme",$B$9+($D$9-$B$9)*B187,"Triangular",IF(B187&lt;=($C$9-$B$9)/($D$9-$B$9),$B$9+SQRT(B187*($D$9-$B$9)*($C$9-$B$9)),$D$9-SQRT((1-B187)*($D$9-$B$9)*($D$9-$C$9))),"PERT",_xlfn.BETA.INV(B187,1+$B$6*($C$9-$B$9)/($D$9-$B$9),1+$B$6*($D$9-$C$9)/($D$9-$B$9),$B$9,$D$9))</f>
        <v>1.9765318624071093</v>
      </c>
      <c r="E187" s="94" cm="1">
        <f t="array" aca="1" ref="E187" ca="1">_xlfn.SWITCH($B$4,"Normal MLE",EXP(_xlfn.NORM.INV(C187,LN($C$10),$E$10/$C$10)),"Uniforme",$B$10+($D$10-$B$10)*C187,"Triangular",IF(C187&lt;=($C$10-$B$10)/($D$10-$B$10),$B$10+SQRT(C187*($D$10-$B$10)*($C$10-$B$10)),$D$10-SQRT((1-C187)*($D$10-$B$10)*($D$10-$C$10))),"PERT",_xlfn.BETA.INV(C187,1+$B$6*($C$10-$B$10)/($D$10-$B$10),1+$B$6*($D$10-$C$10)/($D$10-$B$10),$B$10,$D$10))</f>
        <v>5075.8861989882325</v>
      </c>
      <c r="F187" s="88">
        <f t="shared" ca="1" si="7"/>
        <v>0.53553558728887452</v>
      </c>
      <c r="G187" s="89">
        <f t="shared" ca="1" si="8"/>
        <v>1.6525561188380244E-4</v>
      </c>
    </row>
    <row r="188" spans="1:7" x14ac:dyDescent="0.35">
      <c r="A188" s="84">
        <v>173</v>
      </c>
      <c r="B188" s="84">
        <f t="shared" ca="1" si="6"/>
        <v>0.41756080587664601</v>
      </c>
      <c r="C188" s="84">
        <f t="shared" ca="1" si="6"/>
        <v>0.54116043295288285</v>
      </c>
      <c r="D188" s="93" cm="1">
        <f t="array" aca="1" ref="D188" ca="1">_xlfn.SWITCH($B$4,"Normal MLE",EXP(_xlfn.NORM.INV(B188,LN($C$9),$E$9/$C$9)),"Uniforme",$B$9+($D$9-$B$9)*B188,"Triangular",IF(B188&lt;=($C$9-$B$9)/($D$9-$B$9),$B$9+SQRT(B188*($D$9-$B$9)*($C$9-$B$9)),$D$9-SQRT((1-B188)*($D$9-$B$9)*($D$9-$C$9))),"PERT",_xlfn.BETA.INV(B188,1+$B$6*($C$9-$B$9)/($D$9-$B$9),1+$B$6*($D$9-$C$9)/($D$9-$B$9),$B$9,$D$9))</f>
        <v>1.9193370422184035</v>
      </c>
      <c r="E188" s="94" cm="1">
        <f t="array" aca="1" ref="E188" ca="1">_xlfn.SWITCH($B$4,"Normal MLE",EXP(_xlfn.NORM.INV(C188,LN($C$10),$E$10/$C$10)),"Uniforme",$B$10+($D$10-$B$10)*C188,"Triangular",IF(C188&lt;=($C$10-$B$10)/($D$10-$B$10),$B$10+SQRT(C188*($D$10-$B$10)*($C$10-$B$10)),$D$10-SQRT((1-C188)*($D$10-$B$10)*($D$10-$C$10))),"PERT",_xlfn.BETA.INV(C188,1+$B$6*($C$10-$B$10)/($D$10-$B$10),1+$B$6*($D$10-$C$10)/($D$10-$B$10),$B$10,$D$10))</f>
        <v>5124.3633286717586</v>
      </c>
      <c r="F188" s="88">
        <f t="shared" ca="1" si="7"/>
        <v>0.53707913935067653</v>
      </c>
      <c r="G188" s="89">
        <f t="shared" ca="1" si="8"/>
        <v>1.6019442808141741E-4</v>
      </c>
    </row>
    <row r="189" spans="1:7" x14ac:dyDescent="0.35">
      <c r="A189" s="84">
        <v>174</v>
      </c>
      <c r="B189" s="84">
        <f t="shared" ca="1" si="6"/>
        <v>0.96958672260351775</v>
      </c>
      <c r="C189" s="84">
        <f t="shared" ca="1" si="6"/>
        <v>0.96230083935318678</v>
      </c>
      <c r="D189" s="93" cm="1">
        <f t="array" aca="1" ref="D189" ca="1">_xlfn.SWITCH($B$4,"Normal MLE",EXP(_xlfn.NORM.INV(B189,LN($C$9),$E$9/$C$9)),"Uniforme",$B$9+($D$9-$B$9)*B189,"Triangular",IF(B189&lt;=($C$9-$B$9)/($D$9-$B$9),$B$9+SQRT(B189*($D$9-$B$9)*($C$9-$B$9)),$D$9-SQRT((1-B189)*($D$9-$B$9)*($D$9-$C$9))),"PERT",_xlfn.BETA.INV(B189,1+$B$6*($C$9-$B$9)/($D$9-$B$9),1+$B$6*($D$9-$C$9)/($D$9-$B$9),$B$9,$D$9))</f>
        <v>2.2225517479860937</v>
      </c>
      <c r="E189" s="94" cm="1">
        <f t="array" aca="1" ref="E189" ca="1">_xlfn.SWITCH($B$4,"Normal MLE",EXP(_xlfn.NORM.INV(C189,LN($C$10),$E$10/$C$10)),"Uniforme",$B$10+($D$10-$B$10)*C189,"Triangular",IF(C189&lt;=($C$10-$B$10)/($D$10-$B$10),$B$10+SQRT(C189*($D$10-$B$10)*($C$10-$B$10)),$D$10-SQRT((1-C189)*($D$10-$B$10)*($D$10-$C$10))),"PERT",_xlfn.BETA.INV(C189,1+$B$6*($C$10-$B$10)/($D$10-$B$10),1+$B$6*($D$10-$C$10)/($D$10-$B$10),$B$10,$D$10))</f>
        <v>5539.6768235505278</v>
      </c>
      <c r="F189" s="88">
        <f t="shared" ca="1" si="7"/>
        <v>0.61574179891480618</v>
      </c>
      <c r="G189" s="89">
        <f t="shared" ca="1" si="8"/>
        <v>1.6590802534817434E-4</v>
      </c>
    </row>
    <row r="190" spans="1:7" x14ac:dyDescent="0.35">
      <c r="A190" s="84">
        <v>175</v>
      </c>
      <c r="B190" s="84">
        <f t="shared" ca="1" si="6"/>
        <v>0.13917002157421043</v>
      </c>
      <c r="C190" s="84">
        <f t="shared" ca="1" si="6"/>
        <v>0.23860753022151227</v>
      </c>
      <c r="D190" s="93" cm="1">
        <f t="array" aca="1" ref="D190" ca="1">_xlfn.SWITCH($B$4,"Normal MLE",EXP(_xlfn.NORM.INV(B190,LN($C$9),$E$9/$C$9)),"Uniforme",$B$9+($D$9-$B$9)*B190,"Triangular",IF(B190&lt;=($C$9-$B$9)/($D$9-$B$9),$B$9+SQRT(B190*($D$9-$B$9)*($C$9-$B$9)),$D$9-SQRT((1-B190)*($D$9-$B$9)*($D$9-$C$9))),"PERT",_xlfn.BETA.INV(B190,1+$B$6*($C$9-$B$9)/($D$9-$B$9),1+$B$6*($D$9-$C$9)/($D$9-$B$9),$B$9,$D$9))</f>
        <v>1.8045263114479055</v>
      </c>
      <c r="E190" s="94" cm="1">
        <f t="array" aca="1" ref="E190" ca="1">_xlfn.SWITCH($B$4,"Normal MLE",EXP(_xlfn.NORM.INV(C190,LN($C$10),$E$10/$C$10)),"Uniforme",$B$10+($D$10-$B$10)*C190,"Triangular",IF(C190&lt;=($C$10-$B$10)/($D$10-$B$10),$B$10+SQRT(C190*($D$10-$B$10)*($C$10-$B$10)),$D$10-SQRT((1-C190)*($D$10-$B$10)*($D$10-$C$10))),"PERT",_xlfn.BETA.INV(C190,1+$B$6*($C$10-$B$10)/($D$10-$B$10),1+$B$6*($D$10-$C$10)/($D$10-$B$10),$B$10,$D$10))</f>
        <v>4933.8546117443075</v>
      </c>
      <c r="F190" s="88">
        <f t="shared" ca="1" si="7"/>
        <v>0.50419396709242625</v>
      </c>
      <c r="G190" s="89">
        <f t="shared" ca="1" si="8"/>
        <v>1.5576180256206756E-4</v>
      </c>
    </row>
    <row r="191" spans="1:7" x14ac:dyDescent="0.35">
      <c r="A191" s="84">
        <v>176</v>
      </c>
      <c r="B191" s="84">
        <f t="shared" ca="1" si="6"/>
        <v>0.46017668841631998</v>
      </c>
      <c r="C191" s="84">
        <f t="shared" ca="1" si="6"/>
        <v>0.48235508069326838</v>
      </c>
      <c r="D191" s="93" cm="1">
        <f t="array" aca="1" ref="D191" ca="1">_xlfn.SWITCH($B$4,"Normal MLE",EXP(_xlfn.NORM.INV(B191,LN($C$9),$E$9/$C$9)),"Uniforme",$B$9+($D$9-$B$9)*B191,"Triangular",IF(B191&lt;=($C$9-$B$9)/($D$9-$B$9),$B$9+SQRT(B191*($D$9-$B$9)*($C$9-$B$9)),$D$9-SQRT((1-B191)*($D$9-$B$9)*($D$9-$C$9))),"PERT",_xlfn.BETA.INV(B191,1+$B$6*($C$9-$B$9)/($D$9-$B$9),1+$B$6*($D$9-$C$9)/($D$9-$B$9),$B$9,$D$9))</f>
        <v>1.9340101097180724</v>
      </c>
      <c r="E191" s="94" cm="1">
        <f t="array" aca="1" ref="E191" ca="1">_xlfn.SWITCH($B$4,"Normal MLE",EXP(_xlfn.NORM.INV(C191,LN($C$10),$E$10/$C$10)),"Uniforme",$B$10+($D$10-$B$10)*C191,"Triangular",IF(C191&lt;=($C$10-$B$10)/($D$10-$B$10),$B$10+SQRT(C191*($D$10-$B$10)*($C$10-$B$10)),$D$10-SQRT((1-C191)*($D$10-$B$10)*($D$10-$C$10))),"PERT",_xlfn.BETA.INV(C191,1+$B$6*($C$10-$B$10)/($D$10-$B$10),1+$B$6*($D$10-$C$10)/($D$10-$B$10),$B$10,$D$10))</f>
        <v>5089.2871158949156</v>
      </c>
      <c r="F191" s="88">
        <f t="shared" ca="1" si="7"/>
        <v>0.53385189492140084</v>
      </c>
      <c r="G191" s="89">
        <f t="shared" ca="1" si="8"/>
        <v>1.6200482772737638E-4</v>
      </c>
    </row>
    <row r="192" spans="1:7" x14ac:dyDescent="0.35">
      <c r="A192" s="84">
        <v>177</v>
      </c>
      <c r="B192" s="84">
        <f t="shared" ca="1" si="6"/>
        <v>0.81222658461571373</v>
      </c>
      <c r="C192" s="84">
        <f t="shared" ca="1" si="6"/>
        <v>0.76383618571407474</v>
      </c>
      <c r="D192" s="93" cm="1">
        <f t="array" aca="1" ref="D192" ca="1">_xlfn.SWITCH($B$4,"Normal MLE",EXP(_xlfn.NORM.INV(B192,LN($C$9),$E$9/$C$9)),"Uniforme",$B$9+($D$9-$B$9)*B192,"Triangular",IF(B192&lt;=($C$9-$B$9)/($D$9-$B$9),$B$9+SQRT(B192*($D$9-$B$9)*($C$9-$B$9)),$D$9-SQRT((1-B192)*($D$9-$B$9)*($D$9-$C$9))),"PERT",_xlfn.BETA.INV(B192,1+$B$6*($C$9-$B$9)/($D$9-$B$9),1+$B$6*($D$9-$C$9)/($D$9-$B$9),$B$9,$D$9))</f>
        <v>2.0730846420186921</v>
      </c>
      <c r="E192" s="94" cm="1">
        <f t="array" aca="1" ref="E192" ca="1">_xlfn.SWITCH($B$4,"Normal MLE",EXP(_xlfn.NORM.INV(C192,LN($C$10),$E$10/$C$10)),"Uniforme",$B$10+($D$10-$B$10)*C192,"Triangular",IF(C192&lt;=($C$10-$B$10)/($D$10-$B$10),$B$10+SQRT(C192*($D$10-$B$10)*($C$10-$B$10)),$D$10-SQRT((1-C192)*($D$10-$B$10)*($D$10-$C$10))),"PERT",_xlfn.BETA.INV(C192,1+$B$6*($C$10-$B$10)/($D$10-$B$10),1+$B$6*($D$10-$C$10)/($D$10-$B$10),$B$10,$D$10))</f>
        <v>5273.2173259773008</v>
      </c>
      <c r="F192" s="88">
        <f t="shared" ca="1" si="7"/>
        <v>0.5689892002480772</v>
      </c>
      <c r="G192" s="89">
        <f t="shared" ca="1" si="8"/>
        <v>1.6628704098336299E-4</v>
      </c>
    </row>
    <row r="193" spans="1:7" x14ac:dyDescent="0.35">
      <c r="A193" s="84">
        <v>178</v>
      </c>
      <c r="B193" s="84">
        <f t="shared" ca="1" si="6"/>
        <v>0.7844368295743388</v>
      </c>
      <c r="C193" s="84">
        <f t="shared" ca="1" si="6"/>
        <v>0.22524746169835597</v>
      </c>
      <c r="D193" s="93" cm="1">
        <f t="array" aca="1" ref="D193" ca="1">_xlfn.SWITCH($B$4,"Normal MLE",EXP(_xlfn.NORM.INV(B193,LN($C$9),$E$9/$C$9)),"Uniforme",$B$9+($D$9-$B$9)*B193,"Triangular",IF(B193&lt;=($C$9-$B$9)/($D$9-$B$9),$B$9+SQRT(B193*($D$9-$B$9)*($C$9-$B$9)),$D$9-SQRT((1-B193)*($D$9-$B$9)*($D$9-$C$9))),"PERT",_xlfn.BETA.INV(B193,1+$B$6*($C$9-$B$9)/($D$9-$B$9),1+$B$6*($D$9-$C$9)/($D$9-$B$9),$B$9,$D$9))</f>
        <v>2.0587018348365995</v>
      </c>
      <c r="E193" s="94" cm="1">
        <f t="array" aca="1" ref="E193" ca="1">_xlfn.SWITCH($B$4,"Normal MLE",EXP(_xlfn.NORM.INV(C193,LN($C$10),$E$10/$C$10)),"Uniforme",$B$10+($D$10-$B$10)*C193,"Triangular",IF(C193&lt;=($C$10-$B$10)/($D$10-$B$10),$B$10+SQRT(C193*($D$10-$B$10)*($C$10-$B$10)),$D$10-SQRT((1-C193)*($D$10-$B$10)*($D$10-$C$10))),"PERT",_xlfn.BETA.INV(C193,1+$B$6*($C$10-$B$10)/($D$10-$B$10),1+$B$6*($D$10-$C$10)/($D$10-$B$10),$B$10,$D$10))</f>
        <v>4923.8083682194574</v>
      </c>
      <c r="F193" s="88">
        <f t="shared" ca="1" si="7"/>
        <v>0.52102401789063391</v>
      </c>
      <c r="G193" s="89">
        <f t="shared" ca="1" si="8"/>
        <v>1.7482823826736967E-4</v>
      </c>
    </row>
    <row r="194" spans="1:7" x14ac:dyDescent="0.35">
      <c r="A194" s="84">
        <v>179</v>
      </c>
      <c r="B194" s="84">
        <f t="shared" ca="1" si="6"/>
        <v>9.2536241366601213E-2</v>
      </c>
      <c r="C194" s="84">
        <f t="shared" ca="1" si="6"/>
        <v>0.62116640647170662</v>
      </c>
      <c r="D194" s="93" cm="1">
        <f t="array" aca="1" ref="D194" ca="1">_xlfn.SWITCH($B$4,"Normal MLE",EXP(_xlfn.NORM.INV(B194,LN($C$9),$E$9/$C$9)),"Uniforme",$B$9+($D$9-$B$9)*B194,"Triangular",IF(B194&lt;=($C$9-$B$9)/($D$9-$B$9),$B$9+SQRT(B194*($D$9-$B$9)*($C$9-$B$9)),$D$9-SQRT((1-B194)*($D$9-$B$9)*($D$9-$C$9))),"PERT",_xlfn.BETA.INV(B194,1+$B$6*($C$9-$B$9)/($D$9-$B$9),1+$B$6*($D$9-$C$9)/($D$9-$B$9),$B$9,$D$9))</f>
        <v>1.7741297328895713</v>
      </c>
      <c r="E194" s="94" cm="1">
        <f t="array" aca="1" ref="E194" ca="1">_xlfn.SWITCH($B$4,"Normal MLE",EXP(_xlfn.NORM.INV(C194,LN($C$10),$E$10/$C$10)),"Uniforme",$B$10+($D$10-$B$10)*C194,"Triangular",IF(C194&lt;=($C$10-$B$10)/($D$10-$B$10),$B$10+SQRT(C194*($D$10-$B$10)*($C$10-$B$10)),$D$10-SQRT((1-C194)*($D$10-$B$10)*($D$10-$C$10))),"PERT",_xlfn.BETA.INV(C194,1+$B$6*($C$10-$B$10)/($D$10-$B$10),1+$B$6*($D$10-$C$10)/($D$10-$B$10),$B$10,$D$10))</f>
        <v>5173.5265189539059</v>
      </c>
      <c r="F194" s="88">
        <f t="shared" ca="1" si="7"/>
        <v>0.53070331781620939</v>
      </c>
      <c r="G194" s="89">
        <f t="shared" ca="1" si="8"/>
        <v>1.4912812112218539E-4</v>
      </c>
    </row>
    <row r="195" spans="1:7" x14ac:dyDescent="0.35">
      <c r="A195" s="84">
        <v>180</v>
      </c>
      <c r="B195" s="84">
        <f t="shared" ca="1" si="6"/>
        <v>0.41269426700268008</v>
      </c>
      <c r="C195" s="84">
        <f t="shared" ca="1" si="6"/>
        <v>7.8662784407922515E-2</v>
      </c>
      <c r="D195" s="93" cm="1">
        <f t="array" aca="1" ref="D195" ca="1">_xlfn.SWITCH($B$4,"Normal MLE",EXP(_xlfn.NORM.INV(B195,LN($C$9),$E$9/$C$9)),"Uniforme",$B$9+($D$9-$B$9)*B195,"Triangular",IF(B195&lt;=($C$9-$B$9)/($D$9-$B$9),$B$9+SQRT(B195*($D$9-$B$9)*($C$9-$B$9)),$D$9-SQRT((1-B195)*($D$9-$B$9)*($D$9-$C$9))),"PERT",_xlfn.BETA.INV(B195,1+$B$6*($C$9-$B$9)/($D$9-$B$9),1+$B$6*($D$9-$C$9)/($D$9-$B$9),$B$9,$D$9))</f>
        <v>1.9176507000983474</v>
      </c>
      <c r="E195" s="94" cm="1">
        <f t="array" aca="1" ref="E195" ca="1">_xlfn.SWITCH($B$4,"Normal MLE",EXP(_xlfn.NORM.INV(C195,LN($C$10),$E$10/$C$10)),"Uniforme",$B$10+($D$10-$B$10)*C195,"Triangular",IF(C195&lt;=($C$10-$B$10)/($D$10-$B$10),$B$10+SQRT(C195*($D$10-$B$10)*($C$10-$B$10)),$D$10-SQRT((1-C195)*($D$10-$B$10)*($D$10-$C$10))),"PERT",_xlfn.BETA.INV(C195,1+$B$6*($C$10-$B$10)/($D$10-$B$10),1+$B$6*($D$10-$C$10)/($D$10-$B$10),$B$10,$D$10))</f>
        <v>4774.9875041713658</v>
      </c>
      <c r="F195" s="88">
        <f t="shared" ca="1" si="7"/>
        <v>0.49063841875899356</v>
      </c>
      <c r="G195" s="89">
        <f t="shared" ca="1" si="8"/>
        <v>1.6748666604253935E-4</v>
      </c>
    </row>
    <row r="196" spans="1:7" x14ac:dyDescent="0.35">
      <c r="A196" s="84">
        <v>181</v>
      </c>
      <c r="B196" s="84">
        <f t="shared" ca="1" si="6"/>
        <v>0.48366416350748442</v>
      </c>
      <c r="C196" s="84">
        <f t="shared" ca="1" si="6"/>
        <v>0.89375511311553635</v>
      </c>
      <c r="D196" s="93" cm="1">
        <f t="array" aca="1" ref="D196" ca="1">_xlfn.SWITCH($B$4,"Normal MLE",EXP(_xlfn.NORM.INV(B196,LN($C$9),$E$9/$C$9)),"Uniforme",$B$9+($D$9-$B$9)*B196,"Triangular",IF(B196&lt;=($C$9-$B$9)/($D$9-$B$9),$B$9+SQRT(B196*($D$9-$B$9)*($C$9-$B$9)),$D$9-SQRT((1-B196)*($D$9-$B$9)*($D$9-$C$9))),"PERT",_xlfn.BETA.INV(B196,1+$B$6*($C$9-$B$9)/($D$9-$B$9),1+$B$6*($D$9-$C$9)/($D$9-$B$9),$B$9,$D$9))</f>
        <v>1.9420661561217294</v>
      </c>
      <c r="E196" s="94" cm="1">
        <f t="array" aca="1" ref="E196" ca="1">_xlfn.SWITCH($B$4,"Normal MLE",EXP(_xlfn.NORM.INV(C196,LN($C$10),$E$10/$C$10)),"Uniforme",$B$10+($D$10-$B$10)*C196,"Triangular",IF(C196&lt;=($C$10-$B$10)/($D$10-$B$10),$B$10+SQRT(C196*($D$10-$B$10)*($C$10-$B$10)),$D$10-SQRT((1-C196)*($D$10-$B$10)*($D$10-$C$10))),"PERT",_xlfn.BETA.INV(C196,1+$B$6*($C$10-$B$10)/($D$10-$B$10),1+$B$6*($D$10-$C$10)/($D$10-$B$10),$B$10,$D$10))</f>
        <v>5404.3985843226274</v>
      </c>
      <c r="F196" s="88">
        <f t="shared" ca="1" si="7"/>
        <v>0.57267445783456228</v>
      </c>
      <c r="G196" s="89">
        <f t="shared" ca="1" si="8"/>
        <v>1.5499165077284603E-4</v>
      </c>
    </row>
    <row r="197" spans="1:7" x14ac:dyDescent="0.35">
      <c r="A197" s="84">
        <v>182</v>
      </c>
      <c r="B197" s="84">
        <f t="shared" ca="1" si="6"/>
        <v>0.5221471115884373</v>
      </c>
      <c r="C197" s="84">
        <f t="shared" ca="1" si="6"/>
        <v>0.29048727950811026</v>
      </c>
      <c r="D197" s="93" cm="1">
        <f t="array" aca="1" ref="D197" ca="1">_xlfn.SWITCH($B$4,"Normal MLE",EXP(_xlfn.NORM.INV(B197,LN($C$9),$E$9/$C$9)),"Uniforme",$B$9+($D$9-$B$9)*B197,"Triangular",IF(B197&lt;=($C$9-$B$9)/($D$9-$B$9),$B$9+SQRT(B197*($D$9-$B$9)*($C$9-$B$9)),$D$9-SQRT((1-B197)*($D$9-$B$9)*($D$9-$C$9))),"PERT",_xlfn.BETA.INV(B197,1+$B$6*($C$9-$B$9)/($D$9-$B$9),1+$B$6*($D$9-$C$9)/($D$9-$B$9),$B$9,$D$9))</f>
        <v>1.955308705354712</v>
      </c>
      <c r="E197" s="94" cm="1">
        <f t="array" aca="1" ref="E197" ca="1">_xlfn.SWITCH($B$4,"Normal MLE",EXP(_xlfn.NORM.INV(C197,LN($C$10),$E$10/$C$10)),"Uniforme",$B$10+($D$10-$B$10)*C197,"Triangular",IF(C197&lt;=($C$10-$B$10)/($D$10-$B$10),$B$10+SQRT(C197*($D$10-$B$10)*($C$10-$B$10)),$D$10-SQRT((1-C197)*($D$10-$B$10)*($D$10-$C$10))),"PERT",_xlfn.BETA.INV(C197,1+$B$6*($C$10-$B$10)/($D$10-$B$10),1+$B$6*($D$10-$C$10)/($D$10-$B$10),$B$10,$D$10))</f>
        <v>4970.4553764544216</v>
      </c>
      <c r="F197" s="88">
        <f t="shared" ca="1" si="7"/>
        <v>0.5199884783824249</v>
      </c>
      <c r="G197" s="89">
        <f t="shared" ca="1" si="8"/>
        <v>1.6622360392102567E-4</v>
      </c>
    </row>
    <row r="198" spans="1:7" x14ac:dyDescent="0.35">
      <c r="A198" s="84">
        <v>183</v>
      </c>
      <c r="B198" s="84">
        <f t="shared" ca="1" si="6"/>
        <v>0.99107177707430472</v>
      </c>
      <c r="C198" s="84">
        <f t="shared" ca="1" si="6"/>
        <v>0.33272572342541185</v>
      </c>
      <c r="D198" s="93" cm="1">
        <f t="array" aca="1" ref="D198" ca="1">_xlfn.SWITCH($B$4,"Normal MLE",EXP(_xlfn.NORM.INV(B198,LN($C$9),$E$9/$C$9)),"Uniforme",$B$9+($D$9-$B$9)*B198,"Triangular",IF(B198&lt;=($C$9-$B$9)/($D$9-$B$9),$B$9+SQRT(B198*($D$9-$B$9)*($C$9-$B$9)),$D$9-SQRT((1-B198)*($D$9-$B$9)*($D$9-$C$9))),"PERT",_xlfn.BETA.INV(B198,1+$B$6*($C$9-$B$9)/($D$9-$B$9),1+$B$6*($D$9-$C$9)/($D$9-$B$9),$B$9,$D$9))</f>
        <v>2.3012007113872279</v>
      </c>
      <c r="E198" s="94" cm="1">
        <f t="array" aca="1" ref="E198" ca="1">_xlfn.SWITCH($B$4,"Normal MLE",EXP(_xlfn.NORM.INV(C198,LN($C$10),$E$10/$C$10)),"Uniforme",$B$10+($D$10-$B$10)*C198,"Triangular",IF(C198&lt;=($C$10-$B$10)/($D$10-$B$10),$B$10+SQRT(C198*($D$10-$B$10)*($C$10-$B$10)),$D$10-SQRT((1-C198)*($D$10-$B$10)*($D$10-$C$10))),"PERT",_xlfn.BETA.INV(C198,1+$B$6*($C$10-$B$10)/($D$10-$B$10),1+$B$6*($D$10-$C$10)/($D$10-$B$10),$B$10,$D$10))</f>
        <v>4998.1869156993916</v>
      </c>
      <c r="F198" s="88">
        <f t="shared" ca="1" si="7"/>
        <v>0.54941660007717141</v>
      </c>
      <c r="G198" s="89">
        <f t="shared" ca="1" si="8"/>
        <v>1.8929945300237441E-4</v>
      </c>
    </row>
    <row r="199" spans="1:7" x14ac:dyDescent="0.35">
      <c r="A199" s="84">
        <v>184</v>
      </c>
      <c r="B199" s="84">
        <f t="shared" ca="1" si="6"/>
        <v>0.1330919754533606</v>
      </c>
      <c r="C199" s="84">
        <f t="shared" ca="1" si="6"/>
        <v>0.28401294273862421</v>
      </c>
      <c r="D199" s="93" cm="1">
        <f t="array" aca="1" ref="D199" ca="1">_xlfn.SWITCH($B$4,"Normal MLE",EXP(_xlfn.NORM.INV(B199,LN($C$9),$E$9/$C$9)),"Uniforme",$B$9+($D$9-$B$9)*B199,"Triangular",IF(B199&lt;=($C$9-$B$9)/($D$9-$B$9),$B$9+SQRT(B199*($D$9-$B$9)*($C$9-$B$9)),$D$9-SQRT((1-B199)*($D$9-$B$9)*($D$9-$C$9))),"PERT",_xlfn.BETA.INV(B199,1+$B$6*($C$9-$B$9)/($D$9-$B$9),1+$B$6*($D$9-$C$9)/($D$9-$B$9),$B$9,$D$9))</f>
        <v>1.8009923407990012</v>
      </c>
      <c r="E199" s="94" cm="1">
        <f t="array" aca="1" ref="E199" ca="1">_xlfn.SWITCH($B$4,"Normal MLE",EXP(_xlfn.NORM.INV(C199,LN($C$10),$E$10/$C$10)),"Uniforme",$B$10+($D$10-$B$10)*C199,"Triangular",IF(C199&lt;=($C$10-$B$10)/($D$10-$B$10),$B$10+SQRT(C199*($D$10-$B$10)*($C$10-$B$10)),$D$10-SQRT((1-C199)*($D$10-$B$10)*($D$10-$C$10))),"PERT",_xlfn.BETA.INV(C199,1+$B$6*($C$10-$B$10)/($D$10-$B$10),1+$B$6*($D$10-$C$10)/($D$10-$B$10),$B$10,$D$10))</f>
        <v>4966.0627896108954</v>
      </c>
      <c r="F199" s="88">
        <f t="shared" ca="1" si="7"/>
        <v>0.50797743370305237</v>
      </c>
      <c r="G199" s="89">
        <f t="shared" ca="1" si="8"/>
        <v>1.5491343165027202E-4</v>
      </c>
    </row>
    <row r="200" spans="1:7" x14ac:dyDescent="0.35">
      <c r="A200" s="84">
        <v>185</v>
      </c>
      <c r="B200" s="84">
        <f t="shared" ca="1" si="6"/>
        <v>0.81623091454446961</v>
      </c>
      <c r="C200" s="84">
        <f t="shared" ca="1" si="6"/>
        <v>0.5121737305616878</v>
      </c>
      <c r="D200" s="93" cm="1">
        <f t="array" aca="1" ref="D200" ca="1">_xlfn.SWITCH($B$4,"Normal MLE",EXP(_xlfn.NORM.INV(B200,LN($C$9),$E$9/$C$9)),"Uniforme",$B$9+($D$9-$B$9)*B200,"Triangular",IF(B200&lt;=($C$9-$B$9)/($D$9-$B$9),$B$9+SQRT(B200*($D$9-$B$9)*($C$9-$B$9)),$D$9-SQRT((1-B200)*($D$9-$B$9)*($D$9-$C$9))),"PERT",_xlfn.BETA.INV(B200,1+$B$6*($C$9-$B$9)/($D$9-$B$9),1+$B$6*($D$9-$C$9)/($D$9-$B$9),$B$9,$D$9))</f>
        <v>2.0752701924167973</v>
      </c>
      <c r="E200" s="94" cm="1">
        <f t="array" aca="1" ref="E200" ca="1">_xlfn.SWITCH($B$4,"Normal MLE",EXP(_xlfn.NORM.INV(C200,LN($C$10),$E$10/$C$10)),"Uniforme",$B$10+($D$10-$B$10)*C200,"Triangular",IF(C200&lt;=($C$10-$B$10)/($D$10-$B$10),$B$10+SQRT(C200*($D$10-$B$10)*($C$10-$B$10)),$D$10-SQRT((1-C200)*($D$10-$B$10)*($D$10-$C$10))),"PERT",_xlfn.BETA.INV(C200,1+$B$6*($C$10-$B$10)/($D$10-$B$10),1+$B$6*($D$10-$C$10)/($D$10-$B$10),$B$10,$D$10))</f>
        <v>5107.0239080564197</v>
      </c>
      <c r="F200" s="88">
        <f t="shared" ca="1" si="7"/>
        <v>0.54756253261537136</v>
      </c>
      <c r="G200" s="89">
        <f t="shared" ca="1" si="8"/>
        <v>1.7109834911362932E-4</v>
      </c>
    </row>
    <row r="201" spans="1:7" x14ac:dyDescent="0.35">
      <c r="A201" s="84">
        <v>186</v>
      </c>
      <c r="B201" s="84">
        <f t="shared" ca="1" si="6"/>
        <v>6.3043421960260693E-2</v>
      </c>
      <c r="C201" s="84">
        <f t="shared" ca="1" si="6"/>
        <v>0.58924651952537144</v>
      </c>
      <c r="D201" s="93" cm="1">
        <f t="array" aca="1" ref="D201" ca="1">_xlfn.SWITCH($B$4,"Normal MLE",EXP(_xlfn.NORM.INV(B201,LN($C$9),$E$9/$C$9)),"Uniforme",$B$9+($D$9-$B$9)*B201,"Triangular",IF(B201&lt;=($C$9-$B$9)/($D$9-$B$9),$B$9+SQRT(B201*($D$9-$B$9)*($C$9-$B$9)),$D$9-SQRT((1-B201)*($D$9-$B$9)*($D$9-$C$9))),"PERT",_xlfn.BETA.INV(B201,1+$B$6*($C$9-$B$9)/($D$9-$B$9),1+$B$6*($D$9-$C$9)/($D$9-$B$9),$B$9,$D$9))</f>
        <v>1.748773901917396</v>
      </c>
      <c r="E201" s="94" cm="1">
        <f t="array" aca="1" ref="E201" ca="1">_xlfn.SWITCH($B$4,"Normal MLE",EXP(_xlfn.NORM.INV(C201,LN($C$10),$E$10/$C$10)),"Uniforme",$B$10+($D$10-$B$10)*C201,"Triangular",IF(C201&lt;=($C$10-$B$10)/($D$10-$B$10),$B$10+SQRT(C201*($D$10-$B$10)*($C$10-$B$10)),$D$10-SQRT((1-C201)*($D$10-$B$10)*($D$10-$C$10))),"PERT",_xlfn.BETA.INV(C201,1+$B$6*($C$10-$B$10)/($D$10-$B$10),1+$B$6*($D$10-$C$10)/($D$10-$B$10),$B$10,$D$10))</f>
        <v>5153.5978645475734</v>
      </c>
      <c r="F201" s="88">
        <f t="shared" ca="1" si="7"/>
        <v>0.5262299731619493</v>
      </c>
      <c r="G201" s="89">
        <f t="shared" ca="1" si="8"/>
        <v>1.4770518727296261E-4</v>
      </c>
    </row>
    <row r="202" spans="1:7" x14ac:dyDescent="0.35">
      <c r="A202" s="84">
        <v>187</v>
      </c>
      <c r="B202" s="84">
        <f t="shared" ca="1" si="6"/>
        <v>1.9985893544891553E-3</v>
      </c>
      <c r="C202" s="84">
        <f t="shared" ca="1" si="6"/>
        <v>0.7003250668549017</v>
      </c>
      <c r="D202" s="93" cm="1">
        <f t="array" aca="1" ref="D202" ca="1">_xlfn.SWITCH($B$4,"Normal MLE",EXP(_xlfn.NORM.INV(B202,LN($C$9),$E$9/$C$9)),"Uniforme",$B$9+($D$9-$B$9)*B202,"Triangular",IF(B202&lt;=($C$9-$B$9)/($D$9-$B$9),$B$9+SQRT(B202*($D$9-$B$9)*($C$9-$B$9)),$D$9-SQRT((1-B202)*($D$9-$B$9)*($D$9-$C$9))),"PERT",_xlfn.BETA.INV(B202,1+$B$6*($C$9-$B$9)/($D$9-$B$9),1+$B$6*($D$9-$C$9)/($D$9-$B$9),$B$9,$D$9))</f>
        <v>1.5903314552720702</v>
      </c>
      <c r="E202" s="94" cm="1">
        <f t="array" aca="1" ref="E202" ca="1">_xlfn.SWITCH($B$4,"Normal MLE",EXP(_xlfn.NORM.INV(C202,LN($C$10),$E$10/$C$10)),"Uniforme",$B$10+($D$10-$B$10)*C202,"Triangular",IF(C202&lt;=($C$10-$B$10)/($D$10-$B$10),$B$10+SQRT(C202*($D$10-$B$10)*($C$10-$B$10)),$D$10-SQRT((1-C202)*($D$10-$B$10)*($D$10-$C$10))),"PERT",_xlfn.BETA.INV(C202,1+$B$6*($C$10-$B$10)/($D$10-$B$10),1+$B$6*($D$10-$C$10)/($D$10-$B$10),$B$10,$D$10))</f>
        <v>5225.9820920882039</v>
      </c>
      <c r="F202" s="88">
        <f t="shared" ca="1" si="7"/>
        <v>0.52014014436123668</v>
      </c>
      <c r="G202" s="89">
        <f t="shared" ca="1" si="8"/>
        <v>1.3517548759408798E-4</v>
      </c>
    </row>
    <row r="203" spans="1:7" x14ac:dyDescent="0.35">
      <c r="A203" s="84">
        <v>188</v>
      </c>
      <c r="B203" s="84">
        <f t="shared" ca="1" si="6"/>
        <v>0.93578646396945964</v>
      </c>
      <c r="C203" s="84">
        <f t="shared" ca="1" si="6"/>
        <v>0.93038437954051145</v>
      </c>
      <c r="D203" s="93" cm="1">
        <f t="array" aca="1" ref="D203" ca="1">_xlfn.SWITCH($B$4,"Normal MLE",EXP(_xlfn.NORM.INV(B203,LN($C$9),$E$9/$C$9)),"Uniforme",$B$9+($D$9-$B$9)*B203,"Triangular",IF(B203&lt;=($C$9-$B$9)/($D$9-$B$9),$B$9+SQRT(B203*($D$9-$B$9)*($C$9-$B$9)),$D$9-SQRT((1-B203)*($D$9-$B$9)*($D$9-$C$9))),"PERT",_xlfn.BETA.INV(B203,1+$B$6*($C$9-$B$9)/($D$9-$B$9),1+$B$6*($D$9-$C$9)/($D$9-$B$9),$B$9,$D$9))</f>
        <v>2.1677676084018933</v>
      </c>
      <c r="E203" s="94" cm="1">
        <f t="array" aca="1" ref="E203" ca="1">_xlfn.SWITCH($B$4,"Normal MLE",EXP(_xlfn.NORM.INV(C203,LN($C$10),$E$10/$C$10)),"Uniforme",$B$10+($D$10-$B$10)*C203,"Triangular",IF(C203&lt;=($C$10-$B$10)/($D$10-$B$10),$B$10+SQRT(C203*($D$10-$B$10)*($C$10-$B$10)),$D$10-SQRT((1-C203)*($D$10-$B$10)*($D$10-$C$10))),"PERT",_xlfn.BETA.INV(C203,1+$B$6*($C$10-$B$10)/($D$10-$B$10),1+$B$6*($D$10-$C$10)/($D$10-$B$10),$B$10,$D$10))</f>
        <v>5463.0378263494995</v>
      </c>
      <c r="F203" s="88">
        <f t="shared" ca="1" si="7"/>
        <v>0.60122149686576221</v>
      </c>
      <c r="G203" s="89">
        <f t="shared" ca="1" si="8"/>
        <v>1.6577818891158784E-4</v>
      </c>
    </row>
    <row r="204" spans="1:7" x14ac:dyDescent="0.35">
      <c r="A204" s="84">
        <v>189</v>
      </c>
      <c r="B204" s="84">
        <f t="shared" ca="1" si="6"/>
        <v>0.22286672525416462</v>
      </c>
      <c r="C204" s="84">
        <f t="shared" ca="1" si="6"/>
        <v>0.70730741176641121</v>
      </c>
      <c r="D204" s="93" cm="1">
        <f t="array" aca="1" ref="D204" ca="1">_xlfn.SWITCH($B$4,"Normal MLE",EXP(_xlfn.NORM.INV(B204,LN($C$9),$E$9/$C$9)),"Uniforme",$B$9+($D$9-$B$9)*B204,"Triangular",IF(B204&lt;=($C$9-$B$9)/($D$9-$B$9),$B$9+SQRT(B204*($D$9-$B$9)*($C$9-$B$9)),$D$9-SQRT((1-B204)*($D$9-$B$9)*($D$9-$C$9))),"PERT",_xlfn.BETA.INV(B204,1+$B$6*($C$9-$B$9)/($D$9-$B$9),1+$B$6*($D$9-$C$9)/($D$9-$B$9),$B$9,$D$9))</f>
        <v>1.8458476289249126</v>
      </c>
      <c r="E204" s="94" cm="1">
        <f t="array" aca="1" ref="E204" ca="1">_xlfn.SWITCH($B$4,"Normal MLE",EXP(_xlfn.NORM.INV(C204,LN($C$10),$E$10/$C$10)),"Uniforme",$B$10+($D$10-$B$10)*C204,"Triangular",IF(C204&lt;=($C$10-$B$10)/($D$10-$B$10),$B$10+SQRT(C204*($D$10-$B$10)*($C$10-$B$10)),$D$10-SQRT((1-C204)*($D$10-$B$10)*($D$10-$C$10))),"PERT",_xlfn.BETA.INV(C204,1+$B$6*($C$10-$B$10)/($D$10-$B$10),1+$B$6*($D$10-$C$10)/($D$10-$B$10),$B$10,$D$10))</f>
        <v>5230.8967800740547</v>
      </c>
      <c r="F204" s="88">
        <f t="shared" ca="1" si="7"/>
        <v>0.54365678028712427</v>
      </c>
      <c r="G204" s="89">
        <f t="shared" ca="1" si="8"/>
        <v>1.5289369967028981E-4</v>
      </c>
    </row>
    <row r="205" spans="1:7" x14ac:dyDescent="0.35">
      <c r="A205" s="84">
        <v>190</v>
      </c>
      <c r="B205" s="84">
        <f t="shared" ca="1" si="6"/>
        <v>0.15614604437890023</v>
      </c>
      <c r="C205" s="84">
        <f t="shared" ca="1" si="6"/>
        <v>0.94378199672703678</v>
      </c>
      <c r="D205" s="93" cm="1">
        <f t="array" aca="1" ref="D205" ca="1">_xlfn.SWITCH($B$4,"Normal MLE",EXP(_xlfn.NORM.INV(B205,LN($C$9),$E$9/$C$9)),"Uniforme",$B$9+($D$9-$B$9)*B205,"Triangular",IF(B205&lt;=($C$9-$B$9)/($D$9-$B$9),$B$9+SQRT(B205*($D$9-$B$9)*($C$9-$B$9)),$D$9-SQRT((1-B205)*($D$9-$B$9)*($D$9-$C$9))),"PERT",_xlfn.BETA.INV(B205,1+$B$6*($C$9-$B$9)/($D$9-$B$9),1+$B$6*($D$9-$C$9)/($D$9-$B$9),$B$9,$D$9))</f>
        <v>1.8139072598263362</v>
      </c>
      <c r="E205" s="94" cm="1">
        <f t="array" aca="1" ref="E205" ca="1">_xlfn.SWITCH($B$4,"Normal MLE",EXP(_xlfn.NORM.INV(C205,LN($C$10),$E$10/$C$10)),"Uniforme",$B$10+($D$10-$B$10)*C205,"Triangular",IF(C205&lt;=($C$10-$B$10)/($D$10-$B$10),$B$10+SQRT(C205*($D$10-$B$10)*($C$10-$B$10)),$D$10-SQRT((1-C205)*($D$10-$B$10)*($D$10-$C$10))),"PERT",_xlfn.BETA.INV(C205,1+$B$6*($C$10-$B$10)/($D$10-$B$10),1+$B$6*($D$10-$C$10)/($D$10-$B$10),$B$10,$D$10))</f>
        <v>5490.7359293638683</v>
      </c>
      <c r="F205" s="88">
        <f t="shared" ca="1" si="7"/>
        <v>0.56953391558249089</v>
      </c>
      <c r="G205" s="89">
        <f t="shared" ca="1" si="8"/>
        <v>1.4538996452173857E-4</v>
      </c>
    </row>
    <row r="206" spans="1:7" x14ac:dyDescent="0.35">
      <c r="A206" s="84">
        <v>191</v>
      </c>
      <c r="B206" s="84">
        <f t="shared" ca="1" si="6"/>
        <v>0.12899125901939135</v>
      </c>
      <c r="C206" s="84">
        <f t="shared" ca="1" si="6"/>
        <v>0.53382380813050878</v>
      </c>
      <c r="D206" s="93" cm="1">
        <f t="array" aca="1" ref="D206" ca="1">_xlfn.SWITCH($B$4,"Normal MLE",EXP(_xlfn.NORM.INV(B206,LN($C$9),$E$9/$C$9)),"Uniforme",$B$9+($D$9-$B$9)*B206,"Triangular",IF(B206&lt;=($C$9-$B$9)/($D$9-$B$9),$B$9+SQRT(B206*($D$9-$B$9)*($C$9-$B$9)),$D$9-SQRT((1-B206)*($D$9-$B$9)*($D$9-$C$9))),"PERT",_xlfn.BETA.INV(B206,1+$B$6*($C$9-$B$9)/($D$9-$B$9),1+$B$6*($D$9-$C$9)/($D$9-$B$9),$B$9,$D$9))</f>
        <v>1.7985489469404865</v>
      </c>
      <c r="E206" s="94" cm="1">
        <f t="array" aca="1" ref="E206" ca="1">_xlfn.SWITCH($B$4,"Normal MLE",EXP(_xlfn.NORM.INV(C206,LN($C$10),$E$10/$C$10)),"Uniforme",$B$10+($D$10-$B$10)*C206,"Triangular",IF(C206&lt;=($C$10-$B$10)/($D$10-$B$10),$B$10+SQRT(C206*($D$10-$B$10)*($C$10-$B$10)),$D$10-SQRT((1-C206)*($D$10-$B$10)*($D$10-$C$10))),"PERT",_xlfn.BETA.INV(C206,1+$B$6*($C$10-$B$10)/($D$10-$B$10),1+$B$6*($D$10-$C$10)/($D$10-$B$10),$B$10,$D$10))</f>
        <v>5119.9603915291236</v>
      </c>
      <c r="F206" s="88">
        <f t="shared" ca="1" si="7"/>
        <v>0.52651218532546784</v>
      </c>
      <c r="G206" s="89">
        <f t="shared" ca="1" si="8"/>
        <v>1.5186383452901284E-4</v>
      </c>
    </row>
    <row r="207" spans="1:7" x14ac:dyDescent="0.35">
      <c r="A207" s="84">
        <v>192</v>
      </c>
      <c r="B207" s="84">
        <f t="shared" ca="1" si="6"/>
        <v>0.13814385360187664</v>
      </c>
      <c r="C207" s="84">
        <f t="shared" ca="1" si="6"/>
        <v>0.97144676106256178</v>
      </c>
      <c r="D207" s="93" cm="1">
        <f t="array" aca="1" ref="D207" ca="1">_xlfn.SWITCH($B$4,"Normal MLE",EXP(_xlfn.NORM.INV(B207,LN($C$9),$E$9/$C$9)),"Uniforme",$B$9+($D$9-$B$9)*B207,"Triangular",IF(B207&lt;=($C$9-$B$9)/($D$9-$B$9),$B$9+SQRT(B207*($D$9-$B$9)*($C$9-$B$9)),$D$9-SQRT((1-B207)*($D$9-$B$9)*($D$9-$C$9))),"PERT",_xlfn.BETA.INV(B207,1+$B$6*($C$9-$B$9)/($D$9-$B$9),1+$B$6*($D$9-$C$9)/($D$9-$B$9),$B$9,$D$9))</f>
        <v>1.8039366898042677</v>
      </c>
      <c r="E207" s="94" cm="1">
        <f t="array" aca="1" ref="E207" ca="1">_xlfn.SWITCH($B$4,"Normal MLE",EXP(_xlfn.NORM.INV(C207,LN($C$10),$E$10/$C$10)),"Uniforme",$B$10+($D$10-$B$10)*C207,"Triangular",IF(C207&lt;=($C$10-$B$10)/($D$10-$B$10),$B$10+SQRT(C207*($D$10-$B$10)*($C$10-$B$10)),$D$10-SQRT((1-C207)*($D$10-$B$10)*($D$10-$C$10))),"PERT",_xlfn.BETA.INV(C207,1+$B$6*($C$10-$B$10)/($D$10-$B$10),1+$B$6*($D$10-$C$10)/($D$10-$B$10),$B$10,$D$10))</f>
        <v>5571.8541574875126</v>
      </c>
      <c r="F207" s="88">
        <f t="shared" ca="1" si="7"/>
        <v>0.57696506920402324</v>
      </c>
      <c r="G207" s="89">
        <f t="shared" ca="1" si="8"/>
        <v>1.4310428126857876E-4</v>
      </c>
    </row>
    <row r="208" spans="1:7" x14ac:dyDescent="0.35">
      <c r="A208" s="84">
        <v>193</v>
      </c>
      <c r="B208" s="84">
        <f t="shared" ca="1" si="6"/>
        <v>0.48357802053481203</v>
      </c>
      <c r="C208" s="84">
        <f t="shared" ca="1" si="6"/>
        <v>0.64502356869967259</v>
      </c>
      <c r="D208" s="93" cm="1">
        <f t="array" aca="1" ref="D208" ca="1">_xlfn.SWITCH($B$4,"Normal MLE",EXP(_xlfn.NORM.INV(B208,LN($C$9),$E$9/$C$9)),"Uniforme",$B$9+($D$9-$B$9)*B208,"Triangular",IF(B208&lt;=($C$9-$B$9)/($D$9-$B$9),$B$9+SQRT(B208*($D$9-$B$9)*($C$9-$B$9)),$D$9-SQRT((1-B208)*($D$9-$B$9)*($D$9-$C$9))),"PERT",_xlfn.BETA.INV(B208,1+$B$6*($C$9-$B$9)/($D$9-$B$9),1+$B$6*($D$9-$C$9)/($D$9-$B$9),$B$9,$D$9))</f>
        <v>1.9420366012203538</v>
      </c>
      <c r="E208" s="94" cm="1">
        <f t="array" aca="1" ref="E208" ca="1">_xlfn.SWITCH($B$4,"Normal MLE",EXP(_xlfn.NORM.INV(C208,LN($C$10),$E$10/$C$10)),"Uniforme",$B$10+($D$10-$B$10)*C208,"Triangular",IF(C208&lt;=($C$10-$B$10)/($D$10-$B$10),$B$10+SQRT(C208*($D$10-$B$10)*($C$10-$B$10)),$D$10-SQRT((1-C208)*($D$10-$B$10)*($D$10-$C$10))),"PERT",_xlfn.BETA.INV(C208,1+$B$6*($C$10-$B$10)/($D$10-$B$10),1+$B$6*($D$10-$C$10)/($D$10-$B$10),$B$10,$D$10))</f>
        <v>5188.8060465893195</v>
      </c>
      <c r="F208" s="88">
        <f t="shared" ca="1" si="7"/>
        <v>0.54700196355373221</v>
      </c>
      <c r="G208" s="89">
        <f t="shared" ca="1" si="8"/>
        <v>1.6022183752123655E-4</v>
      </c>
    </row>
    <row r="209" spans="1:7" x14ac:dyDescent="0.35">
      <c r="A209" s="84">
        <v>194</v>
      </c>
      <c r="B209" s="84">
        <f t="shared" ref="B209:C272" ca="1" si="9">RAND()</f>
        <v>4.444140761730031E-2</v>
      </c>
      <c r="C209" s="84">
        <f t="shared" ca="1" si="9"/>
        <v>0.37901313340195719</v>
      </c>
      <c r="D209" s="93" cm="1">
        <f t="array" aca="1" ref="D209" ca="1">_xlfn.SWITCH($B$4,"Normal MLE",EXP(_xlfn.NORM.INV(B209,LN($C$9),$E$9/$C$9)),"Uniforme",$B$9+($D$9-$B$9)*B209,"Triangular",IF(B209&lt;=($C$9-$B$9)/($D$9-$B$9),$B$9+SQRT(B209*($D$9-$B$9)*($C$9-$B$9)),$D$9-SQRT((1-B209)*($D$9-$B$9)*($D$9-$C$9))),"PERT",_xlfn.BETA.INV(B209,1+$B$6*($C$9-$B$9)/($D$9-$B$9),1+$B$6*($D$9-$C$9)/($D$9-$B$9),$B$9,$D$9))</f>
        <v>1.7277684632815897</v>
      </c>
      <c r="E209" s="94" cm="1">
        <f t="array" aca="1" ref="E209" ca="1">_xlfn.SWITCH($B$4,"Normal MLE",EXP(_xlfn.NORM.INV(C209,LN($C$10),$E$10/$C$10)),"Uniforme",$B$10+($D$10-$B$10)*C209,"Triangular",IF(C209&lt;=($C$10-$B$10)/($D$10-$B$10),$B$10+SQRT(C209*($D$10-$B$10)*($C$10-$B$10)),$D$10-SQRT((1-C209)*($D$10-$B$10)*($D$10-$C$10))),"PERT",_xlfn.BETA.INV(C209,1+$B$6*($C$10-$B$10)/($D$10-$B$10),1+$B$6*($D$10-$C$10)/($D$10-$B$10),$B$10,$D$10))</f>
        <v>5027.1871909215488</v>
      </c>
      <c r="F209" s="88">
        <f t="shared" ref="F209:F272" ca="1" si="10">EXP(-POWER($B$12/E209,D209))</f>
        <v>0.50979787314870761</v>
      </c>
      <c r="G209" s="89">
        <f t="shared" ref="G209:G272" ca="1" si="11">(D209/E209)*POWER($B$12/E209,D209-1)*EXP(-POWER($B$12/E209,D209))</f>
        <v>1.4835989625289309E-4</v>
      </c>
    </row>
    <row r="210" spans="1:7" x14ac:dyDescent="0.35">
      <c r="A210" s="84">
        <v>195</v>
      </c>
      <c r="B210" s="84">
        <f t="shared" ca="1" si="9"/>
        <v>0.56740756773002732</v>
      </c>
      <c r="C210" s="84">
        <f t="shared" ca="1" si="9"/>
        <v>8.245786316324788E-2</v>
      </c>
      <c r="D210" s="93" cm="1">
        <f t="array" aca="1" ref="D210" ca="1">_xlfn.SWITCH($B$4,"Normal MLE",EXP(_xlfn.NORM.INV(B210,LN($C$9),$E$9/$C$9)),"Uniforme",$B$9+($D$9-$B$9)*B210,"Triangular",IF(B210&lt;=($C$9-$B$9)/($D$9-$B$9),$B$9+SQRT(B210*($D$9-$B$9)*($C$9-$B$9)),$D$9-SQRT((1-B210)*($D$9-$B$9)*($D$9-$C$9))),"PERT",_xlfn.BETA.INV(B210,1+$B$6*($C$9-$B$9)/($D$9-$B$9),1+$B$6*($D$9-$C$9)/($D$9-$B$9),$B$9,$D$9))</f>
        <v>1.9711013246535811</v>
      </c>
      <c r="E210" s="94" cm="1">
        <f t="array" aca="1" ref="E210" ca="1">_xlfn.SWITCH($B$4,"Normal MLE",EXP(_xlfn.NORM.INV(C210,LN($C$10),$E$10/$C$10)),"Uniforme",$B$10+($D$10-$B$10)*C210,"Triangular",IF(C210&lt;=($C$10-$B$10)/($D$10-$B$10),$B$10+SQRT(C210*($D$10-$B$10)*($C$10-$B$10)),$D$10-SQRT((1-C210)*($D$10-$B$10)*($D$10-$C$10))),"PERT",_xlfn.BETA.INV(C210,1+$B$6*($C$10-$B$10)/($D$10-$B$10),1+$B$6*($D$10-$C$10)/($D$10-$B$10),$B$10,$D$10))</f>
        <v>4780.6339773960208</v>
      </c>
      <c r="F210" s="88">
        <f t="shared" ca="1" si="10"/>
        <v>0.49475218409974803</v>
      </c>
      <c r="G210" s="89">
        <f t="shared" ca="1" si="11"/>
        <v>1.7156281678916177E-4</v>
      </c>
    </row>
    <row r="211" spans="1:7" x14ac:dyDescent="0.35">
      <c r="A211" s="84">
        <v>196</v>
      </c>
      <c r="B211" s="84">
        <f t="shared" ca="1" si="9"/>
        <v>0.30270603140093666</v>
      </c>
      <c r="C211" s="84">
        <f t="shared" ca="1" si="9"/>
        <v>0.59208183266016956</v>
      </c>
      <c r="D211" s="93" cm="1">
        <f t="array" aca="1" ref="D211" ca="1">_xlfn.SWITCH($B$4,"Normal MLE",EXP(_xlfn.NORM.INV(B211,LN($C$9),$E$9/$C$9)),"Uniforme",$B$9+($D$9-$B$9)*B211,"Triangular",IF(B211&lt;=($C$9-$B$9)/($D$9-$B$9),$B$9+SQRT(B211*($D$9-$B$9)*($C$9-$B$9)),$D$9-SQRT((1-B211)*($D$9-$B$9)*($D$9-$C$9))),"PERT",_xlfn.BETA.INV(B211,1+$B$6*($C$9-$B$9)/($D$9-$B$9),1+$B$6*($D$9-$C$9)/($D$9-$B$9),$B$9,$D$9))</f>
        <v>1.8780907697715925</v>
      </c>
      <c r="E211" s="94" cm="1">
        <f t="array" aca="1" ref="E211" ca="1">_xlfn.SWITCH($B$4,"Normal MLE",EXP(_xlfn.NORM.INV(C211,LN($C$10),$E$10/$C$10)),"Uniforme",$B$10+($D$10-$B$10)*C211,"Triangular",IF(C211&lt;=($C$10-$B$10)/($D$10-$B$10),$B$10+SQRT(C211*($D$10-$B$10)*($C$10-$B$10)),$D$10-SQRT((1-C211)*($D$10-$B$10)*($D$10-$C$10))),"PERT",_xlfn.BETA.INV(C211,1+$B$6*($C$10-$B$10)/($D$10-$B$10),1+$B$6*($D$10-$C$10)/($D$10-$B$10),$B$10,$D$10))</f>
        <v>5155.3479615891156</v>
      </c>
      <c r="F211" s="88">
        <f t="shared" ca="1" si="10"/>
        <v>0.53744782040552985</v>
      </c>
      <c r="G211" s="89">
        <f t="shared" ca="1" si="11"/>
        <v>1.5668631294110259E-4</v>
      </c>
    </row>
    <row r="212" spans="1:7" x14ac:dyDescent="0.35">
      <c r="A212" s="84">
        <v>197</v>
      </c>
      <c r="B212" s="84">
        <f t="shared" ca="1" si="9"/>
        <v>2.0057684417301824E-2</v>
      </c>
      <c r="C212" s="84">
        <f t="shared" ca="1" si="9"/>
        <v>0.59468667297718325</v>
      </c>
      <c r="D212" s="93" cm="1">
        <f t="array" aca="1" ref="D212" ca="1">_xlfn.SWITCH($B$4,"Normal MLE",EXP(_xlfn.NORM.INV(B212,LN($C$9),$E$9/$C$9)),"Uniforme",$B$9+($D$9-$B$9)*B212,"Triangular",IF(B212&lt;=($C$9-$B$9)/($D$9-$B$9),$B$9+SQRT(B212*($D$9-$B$9)*($C$9-$B$9)),$D$9-SQRT((1-B212)*($D$9-$B$9)*($D$9-$C$9))),"PERT",_xlfn.BETA.INV(B212,1+$B$6*($C$9-$B$9)/($D$9-$B$9),1+$B$6*($D$9-$C$9)/($D$9-$B$9),$B$9,$D$9))</f>
        <v>1.685557959868119</v>
      </c>
      <c r="E212" s="94" cm="1">
        <f t="array" aca="1" ref="E212" ca="1">_xlfn.SWITCH($B$4,"Normal MLE",EXP(_xlfn.NORM.INV(C212,LN($C$10),$E$10/$C$10)),"Uniforme",$B$10+($D$10-$B$10)*C212,"Triangular",IF(C212&lt;=($C$10-$B$10)/($D$10-$B$10),$B$10+SQRT(C212*($D$10-$B$10)*($C$10-$B$10)),$D$10-SQRT((1-C212)*($D$10-$B$10)*($D$10-$C$10))),"PERT",_xlfn.BETA.INV(C212,1+$B$6*($C$10-$B$10)/($D$10-$B$10),1+$B$6*($D$10-$C$10)/($D$10-$B$10),$B$10,$D$10))</f>
        <v>5156.9589475891207</v>
      </c>
      <c r="F212" s="88">
        <f t="shared" ca="1" si="10"/>
        <v>0.5211758967759299</v>
      </c>
      <c r="G212" s="89">
        <f t="shared" ca="1" si="11"/>
        <v>1.4311798217875123E-4</v>
      </c>
    </row>
    <row r="213" spans="1:7" x14ac:dyDescent="0.35">
      <c r="A213" s="84">
        <v>198</v>
      </c>
      <c r="B213" s="84">
        <f t="shared" ca="1" si="9"/>
        <v>0.84759066980427611</v>
      </c>
      <c r="C213" s="84">
        <f t="shared" ca="1" si="9"/>
        <v>0.11663120650793701</v>
      </c>
      <c r="D213" s="93" cm="1">
        <f t="array" aca="1" ref="D213" ca="1">_xlfn.SWITCH($B$4,"Normal MLE",EXP(_xlfn.NORM.INV(B213,LN($C$9),$E$9/$C$9)),"Uniforme",$B$9+($D$9-$B$9)*B213,"Triangular",IF(B213&lt;=($C$9-$B$9)/($D$9-$B$9),$B$9+SQRT(B213*($D$9-$B$9)*($C$9-$B$9)),$D$9-SQRT((1-B213)*($D$9-$B$9)*($D$9-$C$9))),"PERT",_xlfn.BETA.INV(B213,1+$B$6*($C$9-$B$9)/($D$9-$B$9),1+$B$6*($D$9-$C$9)/($D$9-$B$9),$B$9,$D$9))</f>
        <v>2.0936271620088363</v>
      </c>
      <c r="E213" s="94" cm="1">
        <f t="array" aca="1" ref="E213" ca="1">_xlfn.SWITCH($B$4,"Normal MLE",EXP(_xlfn.NORM.INV(C213,LN($C$10),$E$10/$C$10)),"Uniforme",$B$10+($D$10-$B$10)*C213,"Triangular",IF(C213&lt;=($C$10-$B$10)/($D$10-$B$10),$B$10+SQRT(C213*($D$10-$B$10)*($C$10-$B$10)),$D$10-SQRT((1-C213)*($D$10-$B$10)*($D$10-$C$10))),"PERT",_xlfn.BETA.INV(C213,1+$B$6*($C$10-$B$10)/($D$10-$B$10),1+$B$6*($D$10-$C$10)/($D$10-$B$10),$B$10,$D$10))</f>
        <v>4824.6001879646992</v>
      </c>
      <c r="F213" s="88">
        <f t="shared" ca="1" si="10"/>
        <v>0.50894101218763188</v>
      </c>
      <c r="G213" s="89">
        <f t="shared" ca="1" si="11"/>
        <v>1.7992137005387111E-4</v>
      </c>
    </row>
    <row r="214" spans="1:7" x14ac:dyDescent="0.35">
      <c r="A214" s="84">
        <v>199</v>
      </c>
      <c r="B214" s="84">
        <f t="shared" ca="1" si="9"/>
        <v>2.1685152650205541E-2</v>
      </c>
      <c r="C214" s="84">
        <f t="shared" ca="1" si="9"/>
        <v>0.72854729454809597</v>
      </c>
      <c r="D214" s="93" cm="1">
        <f t="array" aca="1" ref="D214" ca="1">_xlfn.SWITCH($B$4,"Normal MLE",EXP(_xlfn.NORM.INV(B214,LN($C$9),$E$9/$C$9)),"Uniforme",$B$9+($D$9-$B$9)*B214,"Triangular",IF(B214&lt;=($C$9-$B$9)/($D$9-$B$9),$B$9+SQRT(B214*($D$9-$B$9)*($C$9-$B$9)),$D$9-SQRT((1-B214)*($D$9-$B$9)*($D$9-$C$9))),"PERT",_xlfn.BETA.INV(B214,1+$B$6*($C$9-$B$9)/($D$9-$B$9),1+$B$6*($D$9-$C$9)/($D$9-$B$9),$B$9,$D$9))</f>
        <v>1.6894120120672169</v>
      </c>
      <c r="E214" s="94" cm="1">
        <f t="array" aca="1" ref="E214" ca="1">_xlfn.SWITCH($B$4,"Normal MLE",EXP(_xlfn.NORM.INV(C214,LN($C$10),$E$10/$C$10)),"Uniforme",$B$10+($D$10-$B$10)*C214,"Triangular",IF(C214&lt;=($C$10-$B$10)/($D$10-$B$10),$B$10+SQRT(C214*($D$10-$B$10)*($C$10-$B$10)),$D$10-SQRT((1-C214)*($D$10-$B$10)*($D$10-$C$10))),"PERT",_xlfn.BETA.INV(C214,1+$B$6*($C$10-$B$10)/($D$10-$B$10),1+$B$6*($D$10-$C$10)/($D$10-$B$10),$B$10,$D$10))</f>
        <v>5246.2275681039537</v>
      </c>
      <c r="F214" s="88">
        <f t="shared" ca="1" si="10"/>
        <v>0.53130185255114037</v>
      </c>
      <c r="G214" s="89">
        <f t="shared" ca="1" si="11"/>
        <v>1.4191422104377829E-4</v>
      </c>
    </row>
    <row r="215" spans="1:7" x14ac:dyDescent="0.35">
      <c r="A215" s="84">
        <v>200</v>
      </c>
      <c r="B215" s="84">
        <f t="shared" ca="1" si="9"/>
        <v>0.39302209616968042</v>
      </c>
      <c r="C215" s="84">
        <f t="shared" ca="1" si="9"/>
        <v>2.8178750706717715E-3</v>
      </c>
      <c r="D215" s="93" cm="1">
        <f t="array" aca="1" ref="D215" ca="1">_xlfn.SWITCH($B$4,"Normal MLE",EXP(_xlfn.NORM.INV(B215,LN($C$9),$E$9/$C$9)),"Uniforme",$B$9+($D$9-$B$9)*B215,"Triangular",IF(B215&lt;=($C$9-$B$9)/($D$9-$B$9),$B$9+SQRT(B215*($D$9-$B$9)*($C$9-$B$9)),$D$9-SQRT((1-B215)*($D$9-$B$9)*($D$9-$C$9))),"PERT",_xlfn.BETA.INV(B215,1+$B$6*($C$9-$B$9)/($D$9-$B$9),1+$B$6*($D$9-$C$9)/($D$9-$B$9),$B$9,$D$9))</f>
        <v>1.9107987207675974</v>
      </c>
      <c r="E215" s="94" cm="1">
        <f t="array" aca="1" ref="E215" ca="1">_xlfn.SWITCH($B$4,"Normal MLE",EXP(_xlfn.NORM.INV(C215,LN($C$10),$E$10/$C$10)),"Uniforme",$B$10+($D$10-$B$10)*C215,"Triangular",IF(C215&lt;=($C$10-$B$10)/($D$10-$B$10),$B$10+SQRT(C215*($D$10-$B$10)*($C$10-$B$10)),$D$10-SQRT((1-C215)*($D$10-$B$10)*($D$10-$C$10))),"PERT",_xlfn.BETA.INV(C215,1+$B$6*($C$10-$B$10)/($D$10-$B$10),1+$B$6*($D$10-$C$10)/($D$10-$B$10),$B$10,$D$10))</f>
        <v>4483.3828099951788</v>
      </c>
      <c r="F215" s="88">
        <f t="shared" ca="1" si="10"/>
        <v>0.44747571619015397</v>
      </c>
      <c r="G215" s="89">
        <f t="shared" ca="1" si="11"/>
        <v>1.7189067294870897E-4</v>
      </c>
    </row>
    <row r="216" spans="1:7" x14ac:dyDescent="0.35">
      <c r="A216" s="84">
        <v>201</v>
      </c>
      <c r="B216" s="84">
        <f t="shared" ca="1" si="9"/>
        <v>0.61710935566122782</v>
      </c>
      <c r="C216" s="84">
        <f t="shared" ca="1" si="9"/>
        <v>0.78119123980149896</v>
      </c>
      <c r="D216" s="93" cm="1">
        <f t="array" aca="1" ref="D216" ca="1">_xlfn.SWITCH($B$4,"Normal MLE",EXP(_xlfn.NORM.INV(B216,LN($C$9),$E$9/$C$9)),"Uniforme",$B$9+($D$9-$B$9)*B216,"Triangular",IF(B216&lt;=($C$9-$B$9)/($D$9-$B$9),$B$9+SQRT(B216*($D$9-$B$9)*($C$9-$B$9)),$D$9-SQRT((1-B216)*($D$9-$B$9)*($D$9-$C$9))),"PERT",_xlfn.BETA.INV(B216,1+$B$6*($C$9-$B$9)/($D$9-$B$9),1+$B$6*($D$9-$C$9)/($D$9-$B$9),$B$9,$D$9))</f>
        <v>1.9889653214942038</v>
      </c>
      <c r="E216" s="94" cm="1">
        <f t="array" aca="1" ref="E216" ca="1">_xlfn.SWITCH($B$4,"Normal MLE",EXP(_xlfn.NORM.INV(C216,LN($C$10),$E$10/$C$10)),"Uniforme",$B$10+($D$10-$B$10)*C216,"Triangular",IF(C216&lt;=($C$10-$B$10)/($D$10-$B$10),$B$10+SQRT(C216*($D$10-$B$10)*($C$10-$B$10)),$D$10-SQRT((1-C216)*($D$10-$B$10)*($D$10-$C$10))),"PERT",_xlfn.BETA.INV(C216,1+$B$6*($C$10-$B$10)/($D$10-$B$10),1+$B$6*($D$10-$C$10)/($D$10-$B$10),$B$10,$D$10))</f>
        <v>5287.3521995438896</v>
      </c>
      <c r="F216" s="88">
        <f t="shared" ca="1" si="10"/>
        <v>0.56321665499227602</v>
      </c>
      <c r="G216" s="89">
        <f t="shared" ca="1" si="11"/>
        <v>1.6077679738440482E-4</v>
      </c>
    </row>
    <row r="217" spans="1:7" x14ac:dyDescent="0.35">
      <c r="A217" s="84">
        <v>202</v>
      </c>
      <c r="B217" s="84">
        <f t="shared" ca="1" si="9"/>
        <v>0.88621556564774018</v>
      </c>
      <c r="C217" s="84">
        <f t="shared" ca="1" si="9"/>
        <v>0.50925546576695802</v>
      </c>
      <c r="D217" s="93" cm="1">
        <f t="array" aca="1" ref="D217" ca="1">_xlfn.SWITCH($B$4,"Normal MLE",EXP(_xlfn.NORM.INV(B217,LN($C$9),$E$9/$C$9)),"Uniforme",$B$9+($D$9-$B$9)*B217,"Triangular",IF(B217&lt;=($C$9-$B$9)/($D$9-$B$9),$B$9+SQRT(B217*($D$9-$B$9)*($C$9-$B$9)),$D$9-SQRT((1-B217)*($D$9-$B$9)*($D$9-$C$9))),"PERT",_xlfn.BETA.INV(B217,1+$B$6*($C$9-$B$9)/($D$9-$B$9),1+$B$6*($D$9-$C$9)/($D$9-$B$9),$B$9,$D$9))</f>
        <v>2.1204070614840278</v>
      </c>
      <c r="E217" s="94" cm="1">
        <f t="array" aca="1" ref="E217" ca="1">_xlfn.SWITCH($B$4,"Normal MLE",EXP(_xlfn.NORM.INV(C217,LN($C$10),$E$10/$C$10)),"Uniforme",$B$10+($D$10-$B$10)*C217,"Triangular",IF(C217&lt;=($C$10-$B$10)/($D$10-$B$10),$B$10+SQRT(C217*($D$10-$B$10)*($C$10-$B$10)),$D$10-SQRT((1-C217)*($D$10-$B$10)*($D$10-$C$10))),"PERT",_xlfn.BETA.INV(C217,1+$B$6*($C$10-$B$10)/($D$10-$B$10),1+$B$6*($D$10-$C$10)/($D$10-$B$10),$B$10,$D$10))</f>
        <v>5105.2851490560788</v>
      </c>
      <c r="F217" s="88">
        <f t="shared" ca="1" si="10"/>
        <v>0.55095427571744182</v>
      </c>
      <c r="G217" s="89">
        <f t="shared" ca="1" si="11"/>
        <v>1.7409906915416421E-4</v>
      </c>
    </row>
    <row r="218" spans="1:7" x14ac:dyDescent="0.35">
      <c r="A218" s="84">
        <v>203</v>
      </c>
      <c r="B218" s="84">
        <f t="shared" ca="1" si="9"/>
        <v>0.41649605859370464</v>
      </c>
      <c r="C218" s="84">
        <f t="shared" ca="1" si="9"/>
        <v>0.92318399621334901</v>
      </c>
      <c r="D218" s="93" cm="1">
        <f t="array" aca="1" ref="D218" ca="1">_xlfn.SWITCH($B$4,"Normal MLE",EXP(_xlfn.NORM.INV(B218,LN($C$9),$E$9/$C$9)),"Uniforme",$B$9+($D$9-$B$9)*B218,"Triangular",IF(B218&lt;=($C$9-$B$9)/($D$9-$B$9),$B$9+SQRT(B218*($D$9-$B$9)*($C$9-$B$9)),$D$9-SQRT((1-B218)*($D$9-$B$9)*($D$9-$C$9))),"PERT",_xlfn.BETA.INV(B218,1+$B$6*($C$9-$B$9)/($D$9-$B$9),1+$B$6*($D$9-$C$9)/($D$9-$B$9),$B$9,$D$9))</f>
        <v>1.9189683451320387</v>
      </c>
      <c r="E218" s="94" cm="1">
        <f t="array" aca="1" ref="E218" ca="1">_xlfn.SWITCH($B$4,"Normal MLE",EXP(_xlfn.NORM.INV(C218,LN($C$10),$E$10/$C$10)),"Uniforme",$B$10+($D$10-$B$10)*C218,"Triangular",IF(C218&lt;=($C$10-$B$10)/($D$10-$B$10),$B$10+SQRT(C218*($D$10-$B$10)*($C$10-$B$10)),$D$10-SQRT((1-C218)*($D$10-$B$10)*($D$10-$C$10))),"PERT",_xlfn.BETA.INV(C218,1+$B$6*($C$10-$B$10)/($D$10-$B$10),1+$B$6*($D$10-$C$10)/($D$10-$B$10),$B$10,$D$10))</f>
        <v>5449.874850696403</v>
      </c>
      <c r="F218" s="88">
        <f t="shared" ca="1" si="10"/>
        <v>0.5755829294052992</v>
      </c>
      <c r="G218" s="89">
        <f t="shared" ca="1" si="11"/>
        <v>1.5252721839091341E-4</v>
      </c>
    </row>
    <row r="219" spans="1:7" x14ac:dyDescent="0.35">
      <c r="A219" s="84">
        <v>204</v>
      </c>
      <c r="B219" s="84">
        <f t="shared" ca="1" si="9"/>
        <v>0.52587798321272017</v>
      </c>
      <c r="C219" s="84">
        <f t="shared" ca="1" si="9"/>
        <v>0.57407105070679465</v>
      </c>
      <c r="D219" s="93" cm="1">
        <f t="array" aca="1" ref="D219" ca="1">_xlfn.SWITCH($B$4,"Normal MLE",EXP(_xlfn.NORM.INV(B219,LN($C$9),$E$9/$C$9)),"Uniforme",$B$9+($D$9-$B$9)*B219,"Triangular",IF(B219&lt;=($C$9-$B$9)/($D$9-$B$9),$B$9+SQRT(B219*($D$9-$B$9)*($C$9-$B$9)),$D$9-SQRT((1-B219)*($D$9-$B$9)*($D$9-$C$9))),"PERT",_xlfn.BETA.INV(B219,1+$B$6*($C$9-$B$9)/($D$9-$B$9),1+$B$6*($D$9-$C$9)/($D$9-$B$9),$B$9,$D$9))</f>
        <v>1.9565991544689179</v>
      </c>
      <c r="E219" s="94" cm="1">
        <f t="array" aca="1" ref="E219" ca="1">_xlfn.SWITCH($B$4,"Normal MLE",EXP(_xlfn.NORM.INV(C219,LN($C$10),$E$10/$C$10)),"Uniforme",$B$10+($D$10-$B$10)*C219,"Triangular",IF(C219&lt;=($C$10-$B$10)/($D$10-$B$10),$B$10+SQRT(C219*($D$10-$B$10)*($C$10-$B$10)),$D$10-SQRT((1-C219)*($D$10-$B$10)*($D$10-$C$10))),"PERT",_xlfn.BETA.INV(C219,1+$B$6*($C$10-$B$10)/($D$10-$B$10),1+$B$6*($D$10-$C$10)/($D$10-$B$10),$B$10,$D$10))</f>
        <v>5144.2872128051431</v>
      </c>
      <c r="F219" s="88">
        <f t="shared" ca="1" si="10"/>
        <v>0.54267752952276882</v>
      </c>
      <c r="G219" s="89">
        <f t="shared" ca="1" si="11"/>
        <v>1.6225402503592949E-4</v>
      </c>
    </row>
    <row r="220" spans="1:7" x14ac:dyDescent="0.35">
      <c r="A220" s="84">
        <v>205</v>
      </c>
      <c r="B220" s="84">
        <f t="shared" ca="1" si="9"/>
        <v>0.16426833724556733</v>
      </c>
      <c r="C220" s="84">
        <f t="shared" ca="1" si="9"/>
        <v>0.99768587911384932</v>
      </c>
      <c r="D220" s="93" cm="1">
        <f t="array" aca="1" ref="D220" ca="1">_xlfn.SWITCH($B$4,"Normal MLE",EXP(_xlfn.NORM.INV(B220,LN($C$9),$E$9/$C$9)),"Uniforme",$B$9+($D$9-$B$9)*B220,"Triangular",IF(B220&lt;=($C$9-$B$9)/($D$9-$B$9),$B$9+SQRT(B220*($D$9-$B$9)*($C$9-$B$9)),$D$9-SQRT((1-B220)*($D$9-$B$9)*($D$9-$C$9))),"PERT",_xlfn.BETA.INV(B220,1+$B$6*($C$9-$B$9)/($D$9-$B$9),1+$B$6*($D$9-$C$9)/($D$9-$B$9),$B$9,$D$9))</f>
        <v>1.8181733111959513</v>
      </c>
      <c r="E220" s="94" cm="1">
        <f t="array" aca="1" ref="E220" ca="1">_xlfn.SWITCH($B$4,"Normal MLE",EXP(_xlfn.NORM.INV(C220,LN($C$10),$E$10/$C$10)),"Uniforme",$B$10+($D$10-$B$10)*C220,"Triangular",IF(C220&lt;=($C$10-$B$10)/($D$10-$B$10),$B$10+SQRT(C220*($D$10-$B$10)*($C$10-$B$10)),$D$10-SQRT((1-C220)*($D$10-$B$10)*($D$10-$C$10))),"PERT",_xlfn.BETA.INV(C220,1+$B$6*($C$10-$B$10)/($D$10-$B$10),1+$B$6*($D$10-$C$10)/($D$10-$B$10),$B$10,$D$10))</f>
        <v>5818.1005666897154</v>
      </c>
      <c r="F220" s="88">
        <f t="shared" ca="1" si="10"/>
        <v>0.60290652921179355</v>
      </c>
      <c r="G220" s="89">
        <f t="shared" ca="1" si="11"/>
        <v>1.386659630457465E-4</v>
      </c>
    </row>
    <row r="221" spans="1:7" x14ac:dyDescent="0.35">
      <c r="A221" s="84">
        <v>206</v>
      </c>
      <c r="B221" s="84">
        <f t="shared" ca="1" si="9"/>
        <v>6.6500276658293389E-2</v>
      </c>
      <c r="C221" s="84">
        <f t="shared" ca="1" si="9"/>
        <v>0.13467551956116208</v>
      </c>
      <c r="D221" s="93" cm="1">
        <f t="array" aca="1" ref="D221" ca="1">_xlfn.SWITCH($B$4,"Normal MLE",EXP(_xlfn.NORM.INV(B221,LN($C$9),$E$9/$C$9)),"Uniforme",$B$9+($D$9-$B$9)*B221,"Triangular",IF(B221&lt;=($C$9-$B$9)/($D$9-$B$9),$B$9+SQRT(B221*($D$9-$B$9)*($C$9-$B$9)),$D$9-SQRT((1-B221)*($D$9-$B$9)*($D$9-$C$9))),"PERT",_xlfn.BETA.INV(B221,1+$B$6*($C$9-$B$9)/($D$9-$B$9),1+$B$6*($D$9-$C$9)/($D$9-$B$9),$B$9,$D$9))</f>
        <v>1.752144352404637</v>
      </c>
      <c r="E221" s="94" cm="1">
        <f t="array" aca="1" ref="E221" ca="1">_xlfn.SWITCH($B$4,"Normal MLE",EXP(_xlfn.NORM.INV(C221,LN($C$10),$E$10/$C$10)),"Uniforme",$B$10+($D$10-$B$10)*C221,"Triangular",IF(C221&lt;=($C$10-$B$10)/($D$10-$B$10),$B$10+SQRT(C221*($D$10-$B$10)*($C$10-$B$10)),$D$10-SQRT((1-C221)*($D$10-$B$10)*($D$10-$C$10))),"PERT",_xlfn.BETA.INV(C221,1+$B$6*($C$10-$B$10)/($D$10-$B$10),1+$B$6*($D$10-$C$10)/($D$10-$B$10),$B$10,$D$10))</f>
        <v>4844.2709992263071</v>
      </c>
      <c r="F221" s="88">
        <f t="shared" ca="1" si="10"/>
        <v>0.48921559072942361</v>
      </c>
      <c r="G221" s="89">
        <f t="shared" ca="1" si="11"/>
        <v>1.5320998490806099E-4</v>
      </c>
    </row>
    <row r="222" spans="1:7" x14ac:dyDescent="0.35">
      <c r="A222" s="84">
        <v>207</v>
      </c>
      <c r="B222" s="84">
        <f t="shared" ca="1" si="9"/>
        <v>2.7012931362115578E-2</v>
      </c>
      <c r="C222" s="84">
        <f t="shared" ca="1" si="9"/>
        <v>0.3519034803114871</v>
      </c>
      <c r="D222" s="93" cm="1">
        <f t="array" aca="1" ref="D222" ca="1">_xlfn.SWITCH($B$4,"Normal MLE",EXP(_xlfn.NORM.INV(B222,LN($C$9),$E$9/$C$9)),"Uniforme",$B$9+($D$9-$B$9)*B222,"Triangular",IF(B222&lt;=($C$9-$B$9)/($D$9-$B$9),$B$9+SQRT(B222*($D$9-$B$9)*($C$9-$B$9)),$D$9-SQRT((1-B222)*($D$9-$B$9)*($D$9-$C$9))),"PERT",_xlfn.BETA.INV(B222,1+$B$6*($C$9-$B$9)/($D$9-$B$9),1+$B$6*($D$9-$C$9)/($D$9-$B$9),$B$9,$D$9))</f>
        <v>1.7005718129963372</v>
      </c>
      <c r="E222" s="94" cm="1">
        <f t="array" aca="1" ref="E222" ca="1">_xlfn.SWITCH($B$4,"Normal MLE",EXP(_xlfn.NORM.INV(C222,LN($C$10),$E$10/$C$10)),"Uniforme",$B$10+($D$10-$B$10)*C222,"Triangular",IF(C222&lt;=($C$10-$B$10)/($D$10-$B$10),$B$10+SQRT(C222*($D$10-$B$10)*($C$10-$B$10)),$D$10-SQRT((1-C222)*($D$10-$B$10)*($D$10-$C$10))),"PERT",_xlfn.BETA.INV(C222,1+$B$6*($C$10-$B$10)/($D$10-$B$10),1+$B$6*($D$10-$C$10)/($D$10-$B$10),$B$10,$D$10))</f>
        <v>5010.3456289732694</v>
      </c>
      <c r="F222" s="88">
        <f t="shared" ca="1" si="10"/>
        <v>0.50569479144233709</v>
      </c>
      <c r="G222" s="89">
        <f t="shared" ca="1" si="11"/>
        <v>1.4658666257697458E-4</v>
      </c>
    </row>
    <row r="223" spans="1:7" x14ac:dyDescent="0.35">
      <c r="A223" s="84">
        <v>208</v>
      </c>
      <c r="B223" s="84">
        <f t="shared" ca="1" si="9"/>
        <v>0.67029639553529508</v>
      </c>
      <c r="C223" s="84">
        <f t="shared" ca="1" si="9"/>
        <v>6.6036642350329022E-2</v>
      </c>
      <c r="D223" s="93" cm="1">
        <f t="array" aca="1" ref="D223" ca="1">_xlfn.SWITCH($B$4,"Normal MLE",EXP(_xlfn.NORM.INV(B223,LN($C$9),$E$9/$C$9)),"Uniforme",$B$9+($D$9-$B$9)*B223,"Triangular",IF(B223&lt;=($C$9-$B$9)/($D$9-$B$9),$B$9+SQRT(B223*($D$9-$B$9)*($C$9-$B$9)),$D$9-SQRT((1-B223)*($D$9-$B$9)*($D$9-$C$9))),"PERT",_xlfn.BETA.INV(B223,1+$B$6*($C$9-$B$9)/($D$9-$B$9),1+$B$6*($D$9-$C$9)/($D$9-$B$9),$B$9,$D$9))</f>
        <v>2.0090718867145001</v>
      </c>
      <c r="E223" s="94" cm="1">
        <f t="array" aca="1" ref="E223" ca="1">_xlfn.SWITCH($B$4,"Normal MLE",EXP(_xlfn.NORM.INV(C223,LN($C$10),$E$10/$C$10)),"Uniforme",$B$10+($D$10-$B$10)*C223,"Triangular",IF(C223&lt;=($C$10-$B$10)/($D$10-$B$10),$B$10+SQRT(C223*($D$10-$B$10)*($C$10-$B$10)),$D$10-SQRT((1-C223)*($D$10-$B$10)*($D$10-$C$10))),"PERT",_xlfn.BETA.INV(C223,1+$B$6*($C$10-$B$10)/($D$10-$B$10),1+$B$6*($D$10-$C$10)/($D$10-$B$10),$B$10,$D$10))</f>
        <v>4754.6213851570501</v>
      </c>
      <c r="F223" s="88">
        <f t="shared" ca="1" si="10"/>
        <v>0.49329168658510553</v>
      </c>
      <c r="G223" s="89">
        <f t="shared" ca="1" si="11"/>
        <v>1.7508401064534958E-4</v>
      </c>
    </row>
    <row r="224" spans="1:7" x14ac:dyDescent="0.35">
      <c r="A224" s="84">
        <v>209</v>
      </c>
      <c r="B224" s="84">
        <f t="shared" ca="1" si="9"/>
        <v>0.19440231793776441</v>
      </c>
      <c r="C224" s="84">
        <f t="shared" ca="1" si="9"/>
        <v>2.9645668130580893E-2</v>
      </c>
      <c r="D224" s="93" cm="1">
        <f t="array" aca="1" ref="D224" ca="1">_xlfn.SWITCH($B$4,"Normal MLE",EXP(_xlfn.NORM.INV(B224,LN($C$9),$E$9/$C$9)),"Uniforme",$B$9+($D$9-$B$9)*B224,"Triangular",IF(B224&lt;=($C$9-$B$9)/($D$9-$B$9),$B$9+SQRT(B224*($D$9-$B$9)*($C$9-$B$9)),$D$9-SQRT((1-B224)*($D$9-$B$9)*($D$9-$C$9))),"PERT",_xlfn.BETA.INV(B224,1+$B$6*($C$9-$B$9)/($D$9-$B$9),1+$B$6*($D$9-$C$9)/($D$9-$B$9),$B$9,$D$9))</f>
        <v>1.8329930320005021</v>
      </c>
      <c r="E224" s="94" cm="1">
        <f t="array" aca="1" ref="E224" ca="1">_xlfn.SWITCH($B$4,"Normal MLE",EXP(_xlfn.NORM.INV(C224,LN($C$10),$E$10/$C$10)),"Uniforme",$B$10+($D$10-$B$10)*C224,"Triangular",IF(C224&lt;=($C$10-$B$10)/($D$10-$B$10),$B$10+SQRT(C224*($D$10-$B$10)*($C$10-$B$10)),$D$10-SQRT((1-C224)*($D$10-$B$10)*($D$10-$C$10))),"PERT",_xlfn.BETA.INV(C224,1+$B$6*($C$10-$B$10)/($D$10-$B$10),1+$B$6*($D$10-$C$10)/($D$10-$B$10),$B$10,$D$10))</f>
        <v>4671.2732432891307</v>
      </c>
      <c r="F224" s="88">
        <f t="shared" ca="1" si="10"/>
        <v>0.47119113129214624</v>
      </c>
      <c r="G224" s="89">
        <f t="shared" ca="1" si="11"/>
        <v>1.6247985043896883E-4</v>
      </c>
    </row>
    <row r="225" spans="1:7" x14ac:dyDescent="0.35">
      <c r="A225" s="84">
        <v>210</v>
      </c>
      <c r="B225" s="84">
        <f t="shared" ca="1" si="9"/>
        <v>0.50901612146284114</v>
      </c>
      <c r="C225" s="84">
        <f t="shared" ca="1" si="9"/>
        <v>0.71422071635029494</v>
      </c>
      <c r="D225" s="93" cm="1">
        <f t="array" aca="1" ref="D225" ca="1">_xlfn.SWITCH($B$4,"Normal MLE",EXP(_xlfn.NORM.INV(B225,LN($C$9),$E$9/$C$9)),"Uniforme",$B$9+($D$9-$B$9)*B225,"Triangular",IF(B225&lt;=($C$9-$B$9)/($D$9-$B$9),$B$9+SQRT(B225*($D$9-$B$9)*($C$9-$B$9)),$D$9-SQRT((1-B225)*($D$9-$B$9)*($D$9-$C$9))),"PERT",_xlfn.BETA.INV(B225,1+$B$6*($C$9-$B$9)/($D$9-$B$9),1+$B$6*($D$9-$C$9)/($D$9-$B$9),$B$9,$D$9))</f>
        <v>1.9507782377936551</v>
      </c>
      <c r="E225" s="94" cm="1">
        <f t="array" aca="1" ref="E225" ca="1">_xlfn.SWITCH($B$4,"Normal MLE",EXP(_xlfn.NORM.INV(C225,LN($C$10),$E$10/$C$10)),"Uniforme",$B$10+($D$10-$B$10)*C225,"Triangular",IF(C225&lt;=($C$10-$B$10)/($D$10-$B$10),$B$10+SQRT(C225*($D$10-$B$10)*($C$10-$B$10)),$D$10-SQRT((1-C225)*($D$10-$B$10)*($D$10-$C$10))),"PERT",_xlfn.BETA.INV(C225,1+$B$6*($C$10-$B$10)/($D$10-$B$10),1+$B$6*($D$10-$C$10)/($D$10-$B$10),$B$10,$D$10))</f>
        <v>5235.8214501732091</v>
      </c>
      <c r="F225" s="88">
        <f t="shared" ca="1" si="10"/>
        <v>0.55353348746053821</v>
      </c>
      <c r="G225" s="89">
        <f t="shared" ca="1" si="11"/>
        <v>1.5966046277482296E-4</v>
      </c>
    </row>
    <row r="226" spans="1:7" x14ac:dyDescent="0.35">
      <c r="A226" s="84">
        <v>211</v>
      </c>
      <c r="B226" s="84">
        <f t="shared" ca="1" si="9"/>
        <v>0.36618070857959584</v>
      </c>
      <c r="C226" s="84">
        <f t="shared" ca="1" si="9"/>
        <v>0.44531521492292592</v>
      </c>
      <c r="D226" s="93" cm="1">
        <f t="array" aca="1" ref="D226" ca="1">_xlfn.SWITCH($B$4,"Normal MLE",EXP(_xlfn.NORM.INV(B226,LN($C$9),$E$9/$C$9)),"Uniforme",$B$9+($D$9-$B$9)*B226,"Triangular",IF(B226&lt;=($C$9-$B$9)/($D$9-$B$9),$B$9+SQRT(B226*($D$9-$B$9)*($C$9-$B$9)),$D$9-SQRT((1-B226)*($D$9-$B$9)*($D$9-$C$9))),"PERT",_xlfn.BETA.INV(B226,1+$B$6*($C$9-$B$9)/($D$9-$B$9),1+$B$6*($D$9-$C$9)/($D$9-$B$9),$B$9,$D$9))</f>
        <v>1.9013312398110327</v>
      </c>
      <c r="E226" s="94" cm="1">
        <f t="array" aca="1" ref="E226" ca="1">_xlfn.SWITCH($B$4,"Normal MLE",EXP(_xlfn.NORM.INV(C226,LN($C$10),$E$10/$C$10)),"Uniforme",$B$10+($D$10-$B$10)*C226,"Triangular",IF(C226&lt;=($C$10-$B$10)/($D$10-$B$10),$B$10+SQRT(C226*($D$10-$B$10)*($C$10-$B$10)),$D$10-SQRT((1-C226)*($D$10-$B$10)*($D$10-$C$10))),"PERT",_xlfn.BETA.INV(C226,1+$B$6*($C$10-$B$10)/($D$10-$B$10),1+$B$6*($D$10-$C$10)/($D$10-$B$10),$B$10,$D$10))</f>
        <v>5067.2478697380147</v>
      </c>
      <c r="F226" s="88">
        <f t="shared" ca="1" si="10"/>
        <v>0.52843383656010368</v>
      </c>
      <c r="G226" s="89">
        <f t="shared" ca="1" si="11"/>
        <v>1.602133042432644E-4</v>
      </c>
    </row>
    <row r="227" spans="1:7" x14ac:dyDescent="0.35">
      <c r="A227" s="84">
        <v>212</v>
      </c>
      <c r="B227" s="84">
        <f t="shared" ca="1" si="9"/>
        <v>8.9514279010605713E-2</v>
      </c>
      <c r="C227" s="84">
        <f t="shared" ca="1" si="9"/>
        <v>0.58694592576276161</v>
      </c>
      <c r="D227" s="93" cm="1">
        <f t="array" aca="1" ref="D227" ca="1">_xlfn.SWITCH($B$4,"Normal MLE",EXP(_xlfn.NORM.INV(B227,LN($C$9),$E$9/$C$9)),"Uniforme",$B$9+($D$9-$B$9)*B227,"Triangular",IF(B227&lt;=($C$9-$B$9)/($D$9-$B$9),$B$9+SQRT(B227*($D$9-$B$9)*($C$9-$B$9)),$D$9-SQRT((1-B227)*($D$9-$B$9)*($D$9-$C$9))),"PERT",_xlfn.BETA.INV(B227,1+$B$6*($C$9-$B$9)/($D$9-$B$9),1+$B$6*($D$9-$C$9)/($D$9-$B$9),$B$9,$D$9))</f>
        <v>1.771825640123504</v>
      </c>
      <c r="E227" s="94" cm="1">
        <f t="array" aca="1" ref="E227" ca="1">_xlfn.SWITCH($B$4,"Normal MLE",EXP(_xlfn.NORM.INV(C227,LN($C$10),$E$10/$C$10)),"Uniforme",$B$10+($D$10-$B$10)*C227,"Triangular",IF(C227&lt;=($C$10-$B$10)/($D$10-$B$10),$B$10+SQRT(C227*($D$10-$B$10)*($C$10-$B$10)),$D$10-SQRT((1-C227)*($D$10-$B$10)*($D$10-$C$10))),"PERT",_xlfn.BETA.INV(C227,1+$B$6*($C$10-$B$10)/($D$10-$B$10),1+$B$6*($D$10-$C$10)/($D$10-$B$10),$B$10,$D$10))</f>
        <v>5152.1803771006635</v>
      </c>
      <c r="F227" s="88">
        <f t="shared" ca="1" si="10"/>
        <v>0.5280370504568791</v>
      </c>
      <c r="G227" s="89">
        <f t="shared" ca="1" si="11"/>
        <v>1.4936426376306781E-4</v>
      </c>
    </row>
    <row r="228" spans="1:7" x14ac:dyDescent="0.35">
      <c r="A228" s="84">
        <v>213</v>
      </c>
      <c r="B228" s="84">
        <f t="shared" ca="1" si="9"/>
        <v>0.62391301017314471</v>
      </c>
      <c r="C228" s="84">
        <f t="shared" ca="1" si="9"/>
        <v>0.65843443246602207</v>
      </c>
      <c r="D228" s="93" cm="1">
        <f t="array" aca="1" ref="D228" ca="1">_xlfn.SWITCH($B$4,"Normal MLE",EXP(_xlfn.NORM.INV(B228,LN($C$9),$E$9/$C$9)),"Uniforme",$B$9+($D$9-$B$9)*B228,"Triangular",IF(B228&lt;=($C$9-$B$9)/($D$9-$B$9),$B$9+SQRT(B228*($D$9-$B$9)*($C$9-$B$9)),$D$9-SQRT((1-B228)*($D$9-$B$9)*($D$9-$C$9))),"PERT",_xlfn.BETA.INV(B228,1+$B$6*($C$9-$B$9)/($D$9-$B$9),1+$B$6*($D$9-$C$9)/($D$9-$B$9),$B$9,$D$9))</f>
        <v>1.9914707085975687</v>
      </c>
      <c r="E228" s="94" cm="1">
        <f t="array" aca="1" ref="E228" ca="1">_xlfn.SWITCH($B$4,"Normal MLE",EXP(_xlfn.NORM.INV(C228,LN($C$10),$E$10/$C$10)),"Uniforme",$B$10+($D$10-$B$10)*C228,"Triangular",IF(C228&lt;=($C$10-$B$10)/($D$10-$B$10),$B$10+SQRT(C228*($D$10-$B$10)*($C$10-$B$10)),$D$10-SQRT((1-C228)*($D$10-$B$10)*($D$10-$C$10))),"PERT",_xlfn.BETA.INV(C228,1+$B$6*($C$10-$B$10)/($D$10-$B$10),1+$B$6*($D$10-$C$10)/($D$10-$B$10),$B$10,$D$10))</f>
        <v>5197.5722550371174</v>
      </c>
      <c r="F228" s="88">
        <f t="shared" ca="1" si="10"/>
        <v>0.55233895895145502</v>
      </c>
      <c r="G228" s="89">
        <f t="shared" ca="1" si="11"/>
        <v>1.6323325717702158E-4</v>
      </c>
    </row>
    <row r="229" spans="1:7" x14ac:dyDescent="0.35">
      <c r="A229" s="84">
        <v>214</v>
      </c>
      <c r="B229" s="84">
        <f t="shared" ca="1" si="9"/>
        <v>0.62726660577017945</v>
      </c>
      <c r="C229" s="84">
        <f t="shared" ca="1" si="9"/>
        <v>0.99475988655897596</v>
      </c>
      <c r="D229" s="93" cm="1">
        <f t="array" aca="1" ref="D229" ca="1">_xlfn.SWITCH($B$4,"Normal MLE",EXP(_xlfn.NORM.INV(B229,LN($C$9),$E$9/$C$9)),"Uniforme",$B$9+($D$9-$B$9)*B229,"Triangular",IF(B229&lt;=($C$9-$B$9)/($D$9-$B$9),$B$9+SQRT(B229*($D$9-$B$9)*($C$9-$B$9)),$D$9-SQRT((1-B229)*($D$9-$B$9)*($D$9-$C$9))),"PERT",_xlfn.BETA.INV(B229,1+$B$6*($C$9-$B$9)/($D$9-$B$9),1+$B$6*($D$9-$C$9)/($D$9-$B$9),$B$9,$D$9))</f>
        <v>1.9927119817456087</v>
      </c>
      <c r="E229" s="94" cm="1">
        <f t="array" aca="1" ref="E229" ca="1">_xlfn.SWITCH($B$4,"Normal MLE",EXP(_xlfn.NORM.INV(C229,LN($C$10),$E$10/$C$10)),"Uniforme",$B$10+($D$10-$B$10)*C229,"Triangular",IF(C229&lt;=($C$10-$B$10)/($D$10-$B$10),$B$10+SQRT(C229*($D$10-$B$10)*($C$10-$B$10)),$D$10-SQRT((1-C229)*($D$10-$B$10)*($D$10-$C$10))),"PERT",_xlfn.BETA.INV(C229,1+$B$6*($C$10-$B$10)/($D$10-$B$10),1+$B$6*($D$10-$C$10)/($D$10-$B$10),$B$10,$D$10))</f>
        <v>5744.8530205163952</v>
      </c>
      <c r="F229" s="88">
        <f t="shared" ca="1" si="10"/>
        <v>0.61503246435079539</v>
      </c>
      <c r="G229" s="89">
        <f t="shared" ca="1" si="11"/>
        <v>1.489328617384825E-4</v>
      </c>
    </row>
    <row r="230" spans="1:7" x14ac:dyDescent="0.35">
      <c r="A230" s="84">
        <v>215</v>
      </c>
      <c r="B230" s="84">
        <f t="shared" ca="1" si="9"/>
        <v>0.74119941769532249</v>
      </c>
      <c r="C230" s="84">
        <f t="shared" ca="1" si="9"/>
        <v>0.92476005324129762</v>
      </c>
      <c r="D230" s="93" cm="1">
        <f t="array" aca="1" ref="D230" ca="1">_xlfn.SWITCH($B$4,"Normal MLE",EXP(_xlfn.NORM.INV(B230,LN($C$9),$E$9/$C$9)),"Uniforme",$B$9+($D$9-$B$9)*B230,"Triangular",IF(B230&lt;=($C$9-$B$9)/($D$9-$B$9),$B$9+SQRT(B230*($D$9-$B$9)*($C$9-$B$9)),$D$9-SQRT((1-B230)*($D$9-$B$9)*($D$9-$C$9))),"PERT",_xlfn.BETA.INV(B230,1+$B$6*($C$9-$B$9)/($D$9-$B$9),1+$B$6*($D$9-$C$9)/($D$9-$B$9),$B$9,$D$9))</f>
        <v>2.0384740606808913</v>
      </c>
      <c r="E230" s="94" cm="1">
        <f t="array" aca="1" ref="E230" ca="1">_xlfn.SWITCH($B$4,"Normal MLE",EXP(_xlfn.NORM.INV(C230,LN($C$10),$E$10/$C$10)),"Uniforme",$B$10+($D$10-$B$10)*C230,"Triangular",IF(C230&lt;=($C$10-$B$10)/($D$10-$B$10),$B$10+SQRT(C230*($D$10-$B$10)*($C$10-$B$10)),$D$10-SQRT((1-C230)*($D$10-$B$10)*($D$10-$C$10))),"PERT",_xlfn.BETA.INV(C230,1+$B$6*($C$10-$B$10)/($D$10-$B$10),1+$B$6*($D$10-$C$10)/($D$10-$B$10),$B$10,$D$10))</f>
        <v>5452.6701124424089</v>
      </c>
      <c r="F230" s="88">
        <f t="shared" ca="1" si="10"/>
        <v>0.58756330684757851</v>
      </c>
      <c r="G230" s="89">
        <f t="shared" ca="1" si="11"/>
        <v>1.5922994486290194E-4</v>
      </c>
    </row>
    <row r="231" spans="1:7" x14ac:dyDescent="0.35">
      <c r="A231" s="84">
        <v>216</v>
      </c>
      <c r="B231" s="84">
        <f t="shared" ca="1" si="9"/>
        <v>0.77707291811913903</v>
      </c>
      <c r="C231" s="84">
        <f t="shared" ca="1" si="9"/>
        <v>0.81880910577127641</v>
      </c>
      <c r="D231" s="93" cm="1">
        <f t="array" aca="1" ref="D231" ca="1">_xlfn.SWITCH($B$4,"Normal MLE",EXP(_xlfn.NORM.INV(B231,LN($C$9),$E$9/$C$9)),"Uniforme",$B$9+($D$9-$B$9)*B231,"Triangular",IF(B231&lt;=($C$9-$B$9)/($D$9-$B$9),$B$9+SQRT(B231*($D$9-$B$9)*($C$9-$B$9)),$D$9-SQRT((1-B231)*($D$9-$B$9)*($D$9-$C$9))),"PERT",_xlfn.BETA.INV(B231,1+$B$6*($C$9-$B$9)/($D$9-$B$9),1+$B$6*($D$9-$C$9)/($D$9-$B$9),$B$9,$D$9))</f>
        <v>2.0550921711018639</v>
      </c>
      <c r="E231" s="94" cm="1">
        <f t="array" aca="1" ref="E231" ca="1">_xlfn.SWITCH($B$4,"Normal MLE",EXP(_xlfn.NORM.INV(C231,LN($C$10),$E$10/$C$10)),"Uniforme",$B$10+($D$10-$B$10)*C231,"Triangular",IF(C231&lt;=($C$10-$B$10)/($D$10-$B$10),$B$10+SQRT(C231*($D$10-$B$10)*($C$10-$B$10)),$D$10-SQRT((1-C231)*($D$10-$B$10)*($D$10-$C$10))),"PERT",_xlfn.BETA.INV(C231,1+$B$6*($C$10-$B$10)/($D$10-$B$10),1+$B$6*($D$10-$C$10)/($D$10-$B$10),$B$10,$D$10))</f>
        <v>5320.5768507184339</v>
      </c>
      <c r="F231" s="88">
        <f t="shared" ca="1" si="10"/>
        <v>0.57327678243161706</v>
      </c>
      <c r="G231" s="89">
        <f t="shared" ca="1" si="11"/>
        <v>1.6387486931320611E-4</v>
      </c>
    </row>
    <row r="232" spans="1:7" x14ac:dyDescent="0.35">
      <c r="A232" s="84">
        <v>217</v>
      </c>
      <c r="B232" s="84">
        <f t="shared" ca="1" si="9"/>
        <v>0.20749059118313451</v>
      </c>
      <c r="C232" s="84">
        <f t="shared" ca="1" si="9"/>
        <v>0.39378338001520208</v>
      </c>
      <c r="D232" s="93" cm="1">
        <f t="array" aca="1" ref="D232" ca="1">_xlfn.SWITCH($B$4,"Normal MLE",EXP(_xlfn.NORM.INV(B232,LN($C$9),$E$9/$C$9)),"Uniforme",$B$9+($D$9-$B$9)*B232,"Triangular",IF(B232&lt;=($C$9-$B$9)/($D$9-$B$9),$B$9+SQRT(B232*($D$9-$B$9)*($C$9-$B$9)),$D$9-SQRT((1-B232)*($D$9-$B$9)*($D$9-$C$9))),"PERT",_xlfn.BETA.INV(B232,1+$B$6*($C$9-$B$9)/($D$9-$B$9),1+$B$6*($D$9-$C$9)/($D$9-$B$9),$B$9,$D$9))</f>
        <v>1.8390215891672583</v>
      </c>
      <c r="E232" s="94" cm="1">
        <f t="array" aca="1" ref="E232" ca="1">_xlfn.SWITCH($B$4,"Normal MLE",EXP(_xlfn.NORM.INV(C232,LN($C$10),$E$10/$C$10)),"Uniforme",$B$10+($D$10-$B$10)*C232,"Triangular",IF(C232&lt;=($C$10-$B$10)/($D$10-$B$10),$B$10+SQRT(C232*($D$10-$B$10)*($C$10-$B$10)),$D$10-SQRT((1-C232)*($D$10-$B$10)*($D$10-$C$10))),"PERT",_xlfn.BETA.INV(C232,1+$B$6*($C$10-$B$10)/($D$10-$B$10),1+$B$6*($D$10-$C$10)/($D$10-$B$10),$B$10,$D$10))</f>
        <v>5036.2257370542047</v>
      </c>
      <c r="F232" s="88">
        <f t="shared" ca="1" si="10"/>
        <v>0.519619551149887</v>
      </c>
      <c r="G232" s="89">
        <f t="shared" ca="1" si="11"/>
        <v>1.5639650476823429E-4</v>
      </c>
    </row>
    <row r="233" spans="1:7" x14ac:dyDescent="0.35">
      <c r="A233" s="84">
        <v>218</v>
      </c>
      <c r="B233" s="84">
        <f t="shared" ca="1" si="9"/>
        <v>0.27322724087273043</v>
      </c>
      <c r="C233" s="84">
        <f t="shared" ca="1" si="9"/>
        <v>0.2595202846689687</v>
      </c>
      <c r="D233" s="93" cm="1">
        <f t="array" aca="1" ref="D233" ca="1">_xlfn.SWITCH($B$4,"Normal MLE",EXP(_xlfn.NORM.INV(B233,LN($C$9),$E$9/$C$9)),"Uniforme",$B$9+($D$9-$B$9)*B233,"Triangular",IF(B233&lt;=($C$9-$B$9)/($D$9-$B$9),$B$9+SQRT(B233*($D$9-$B$9)*($C$9-$B$9)),$D$9-SQRT((1-B233)*($D$9-$B$9)*($D$9-$C$9))),"PERT",_xlfn.BETA.INV(B233,1+$B$6*($C$9-$B$9)/($D$9-$B$9),1+$B$6*($D$9-$C$9)/($D$9-$B$9),$B$9,$D$9))</f>
        <v>1.8666923860830822</v>
      </c>
      <c r="E233" s="94" cm="1">
        <f t="array" aca="1" ref="E233" ca="1">_xlfn.SWITCH($B$4,"Normal MLE",EXP(_xlfn.NORM.INV(C233,LN($C$10),$E$10/$C$10)),"Uniforme",$B$10+($D$10-$B$10)*C233,"Triangular",IF(C233&lt;=($C$10-$B$10)/($D$10-$B$10),$B$10+SQRT(C233*($D$10-$B$10)*($C$10-$B$10)),$D$10-SQRT((1-C233)*($D$10-$B$10)*($D$10-$C$10))),"PERT",_xlfn.BETA.INV(C233,1+$B$6*($C$10-$B$10)/($D$10-$B$10),1+$B$6*($D$10-$C$10)/($D$10-$B$10),$B$10,$D$10))</f>
        <v>4949.0227492966815</v>
      </c>
      <c r="F233" s="88">
        <f t="shared" ca="1" si="10"/>
        <v>0.51065666161409684</v>
      </c>
      <c r="G233" s="89">
        <f t="shared" ca="1" si="11"/>
        <v>1.6015791216836815E-4</v>
      </c>
    </row>
    <row r="234" spans="1:7" x14ac:dyDescent="0.35">
      <c r="A234" s="84">
        <v>219</v>
      </c>
      <c r="B234" s="84">
        <f t="shared" ca="1" si="9"/>
        <v>0.50142246327297191</v>
      </c>
      <c r="C234" s="84">
        <f t="shared" ca="1" si="9"/>
        <v>0.81960067426497418</v>
      </c>
      <c r="D234" s="93" cm="1">
        <f t="array" aca="1" ref="D234" ca="1">_xlfn.SWITCH($B$4,"Normal MLE",EXP(_xlfn.NORM.INV(B234,LN($C$9),$E$9/$C$9)),"Uniforme",$B$9+($D$9-$B$9)*B234,"Triangular",IF(B234&lt;=($C$9-$B$9)/($D$9-$B$9),$B$9+SQRT(B234*($D$9-$B$9)*($C$9-$B$9)),$D$9-SQRT((1-B234)*($D$9-$B$9)*($D$9-$C$9))),"PERT",_xlfn.BETA.INV(B234,1+$B$6*($C$9-$B$9)/($D$9-$B$9),1+$B$6*($D$9-$C$9)/($D$9-$B$9),$B$9,$D$9))</f>
        <v>1.9481649073153298</v>
      </c>
      <c r="E234" s="94" cm="1">
        <f t="array" aca="1" ref="E234" ca="1">_xlfn.SWITCH($B$4,"Normal MLE",EXP(_xlfn.NORM.INV(C234,LN($C$10),$E$10/$C$10)),"Uniforme",$B$10+($D$10-$B$10)*C234,"Triangular",IF(C234&lt;=($C$10-$B$10)/($D$10-$B$10),$B$10+SQRT(C234*($D$10-$B$10)*($C$10-$B$10)),$D$10-SQRT((1-C234)*($D$10-$B$10)*($D$10-$C$10))),"PERT",_xlfn.BETA.INV(C234,1+$B$6*($C$10-$B$10)/($D$10-$B$10),1+$B$6*($D$10-$C$10)/($D$10-$B$10),$B$10,$D$10))</f>
        <v>5321.3217309036663</v>
      </c>
      <c r="F234" s="88">
        <f t="shared" ca="1" si="10"/>
        <v>0.56356966783983808</v>
      </c>
      <c r="G234" s="89">
        <f t="shared" ca="1" si="11"/>
        <v>1.5740543962264658E-4</v>
      </c>
    </row>
    <row r="235" spans="1:7" x14ac:dyDescent="0.35">
      <c r="A235" s="84">
        <v>220</v>
      </c>
      <c r="B235" s="84">
        <f t="shared" ca="1" si="9"/>
        <v>5.7804472842534205E-3</v>
      </c>
      <c r="C235" s="84">
        <f t="shared" ca="1" si="9"/>
        <v>0.80423663048411842</v>
      </c>
      <c r="D235" s="93" cm="1">
        <f t="array" aca="1" ref="D235" ca="1">_xlfn.SWITCH($B$4,"Normal MLE",EXP(_xlfn.NORM.INV(B235,LN($C$9),$E$9/$C$9)),"Uniforme",$B$9+($D$9-$B$9)*B235,"Triangular",IF(B235&lt;=($C$9-$B$9)/($D$9-$B$9),$B$9+SQRT(B235*($D$9-$B$9)*($C$9-$B$9)),$D$9-SQRT((1-B235)*($D$9-$B$9)*($D$9-$C$9))),"PERT",_xlfn.BETA.INV(B235,1+$B$6*($C$9-$B$9)/($D$9-$B$9),1+$B$6*($D$9-$C$9)/($D$9-$B$9),$B$9,$D$9))</f>
        <v>1.6303724364455776</v>
      </c>
      <c r="E235" s="94" cm="1">
        <f t="array" aca="1" ref="E235" ca="1">_xlfn.SWITCH($B$4,"Normal MLE",EXP(_xlfn.NORM.INV(C235,LN($C$10),$E$10/$C$10)),"Uniforme",$B$10+($D$10-$B$10)*C235,"Triangular",IF(C235&lt;=($C$10-$B$10)/($D$10-$B$10),$B$10+SQRT(C235*($D$10-$B$10)*($C$10-$B$10)),$D$10-SQRT((1-C235)*($D$10-$B$10)*($D$10-$C$10))),"PERT",_xlfn.BETA.INV(C235,1+$B$6*($C$10-$B$10)/($D$10-$B$10),1+$B$6*($D$10-$C$10)/($D$10-$B$10),$B$10,$D$10))</f>
        <v>5307.2277374076521</v>
      </c>
      <c r="F235" s="88">
        <f t="shared" ca="1" si="10"/>
        <v>0.53225403139190308</v>
      </c>
      <c r="G235" s="89">
        <f t="shared" ca="1" si="11"/>
        <v>1.3681176646237212E-4</v>
      </c>
    </row>
    <row r="236" spans="1:7" x14ac:dyDescent="0.35">
      <c r="A236" s="84">
        <v>221</v>
      </c>
      <c r="B236" s="84">
        <f t="shared" ca="1" si="9"/>
        <v>0.62453720541553637</v>
      </c>
      <c r="C236" s="84">
        <f t="shared" ca="1" si="9"/>
        <v>0.83453055414180144</v>
      </c>
      <c r="D236" s="93" cm="1">
        <f t="array" aca="1" ref="D236" ca="1">_xlfn.SWITCH($B$4,"Normal MLE",EXP(_xlfn.NORM.INV(B236,LN($C$9),$E$9/$C$9)),"Uniforme",$B$9+($D$9-$B$9)*B236,"Triangular",IF(B236&lt;=($C$9-$B$9)/($D$9-$B$9),$B$9+SQRT(B236*($D$9-$B$9)*($C$9-$B$9)),$D$9-SQRT((1-B236)*($D$9-$B$9)*($D$9-$C$9))),"PERT",_xlfn.BETA.INV(B236,1+$B$6*($C$9-$B$9)/($D$9-$B$9),1+$B$6*($D$9-$C$9)/($D$9-$B$9),$B$9,$D$9))</f>
        <v>1.9917014192806406</v>
      </c>
      <c r="E236" s="94" cm="1">
        <f t="array" aca="1" ref="E236" ca="1">_xlfn.SWITCH($B$4,"Normal MLE",EXP(_xlfn.NORM.INV(C236,LN($C$10),$E$10/$C$10)),"Uniforme",$B$10+($D$10-$B$10)*C236,"Triangular",IF(C236&lt;=($C$10-$B$10)/($D$10-$B$10),$B$10+SQRT(C236*($D$10-$B$10)*($C$10-$B$10)),$D$10-SQRT((1-C236)*($D$10-$B$10)*($D$10-$C$10))),"PERT",_xlfn.BETA.INV(C236,1+$B$6*($C$10-$B$10)/($D$10-$B$10),1+$B$6*($D$10-$C$10)/($D$10-$B$10),$B$10,$D$10))</f>
        <v>5335.7977074697874</v>
      </c>
      <c r="F236" s="88">
        <f t="shared" ca="1" si="10"/>
        <v>0.56931241296359114</v>
      </c>
      <c r="G236" s="89">
        <f t="shared" ca="1" si="11"/>
        <v>1.5968886867059518E-4</v>
      </c>
    </row>
    <row r="237" spans="1:7" x14ac:dyDescent="0.35">
      <c r="A237" s="84">
        <v>222</v>
      </c>
      <c r="B237" s="84">
        <f t="shared" ca="1" si="9"/>
        <v>0.7540894297926769</v>
      </c>
      <c r="C237" s="84">
        <f t="shared" ca="1" si="9"/>
        <v>0.45038828217856808</v>
      </c>
      <c r="D237" s="93" cm="1">
        <f t="array" aca="1" ref="D237" ca="1">_xlfn.SWITCH($B$4,"Normal MLE",EXP(_xlfn.NORM.INV(B237,LN($C$9),$E$9/$C$9)),"Uniforme",$B$9+($D$9-$B$9)*B237,"Triangular",IF(B237&lt;=($C$9-$B$9)/($D$9-$B$9),$B$9+SQRT(B237*($D$9-$B$9)*($C$9-$B$9)),$D$9-SQRT((1-B237)*($D$9-$B$9)*($D$9-$C$9))),"PERT",_xlfn.BETA.INV(B237,1+$B$6*($C$9-$B$9)/($D$9-$B$9),1+$B$6*($D$9-$C$9)/($D$9-$B$9),$B$9,$D$9))</f>
        <v>2.0442770058465554</v>
      </c>
      <c r="E237" s="94" cm="1">
        <f t="array" aca="1" ref="E237" ca="1">_xlfn.SWITCH($B$4,"Normal MLE",EXP(_xlfn.NORM.INV(C237,LN($C$10),$E$10/$C$10)),"Uniforme",$B$10+($D$10-$B$10)*C237,"Triangular",IF(C237&lt;=($C$10-$B$10)/($D$10-$B$10),$B$10+SQRT(C237*($D$10-$B$10)*($C$10-$B$10)),$D$10-SQRT((1-C237)*($D$10-$B$10)*($D$10-$C$10))),"PERT",_xlfn.BETA.INV(C237,1+$B$6*($C$10-$B$10)/($D$10-$B$10),1+$B$6*($D$10-$C$10)/($D$10-$B$10),$B$10,$D$10))</f>
        <v>5070.273181900021</v>
      </c>
      <c r="F237" s="88">
        <f t="shared" ca="1" si="10"/>
        <v>0.54016388597009668</v>
      </c>
      <c r="G237" s="89">
        <f t="shared" ca="1" si="11"/>
        <v>1.7002128624285016E-4</v>
      </c>
    </row>
    <row r="238" spans="1:7" x14ac:dyDescent="0.35">
      <c r="A238" s="84">
        <v>223</v>
      </c>
      <c r="B238" s="84">
        <f t="shared" ca="1" si="9"/>
        <v>0.33755971226388892</v>
      </c>
      <c r="C238" s="84">
        <f t="shared" ca="1" si="9"/>
        <v>0.12058585597663496</v>
      </c>
      <c r="D238" s="93" cm="1">
        <f t="array" aca="1" ref="D238" ca="1">_xlfn.SWITCH($B$4,"Normal MLE",EXP(_xlfn.NORM.INV(B238,LN($C$9),$E$9/$C$9)),"Uniforme",$B$9+($D$9-$B$9)*B238,"Triangular",IF(B238&lt;=($C$9-$B$9)/($D$9-$B$9),$B$9+SQRT(B238*($D$9-$B$9)*($C$9-$B$9)),$D$9-SQRT((1-B238)*($D$9-$B$9)*($D$9-$C$9))),"PERT",_xlfn.BETA.INV(B238,1+$B$6*($C$9-$B$9)/($D$9-$B$9),1+$B$6*($D$9-$C$9)/($D$9-$B$9),$B$9,$D$9))</f>
        <v>1.8910300684339065</v>
      </c>
      <c r="E238" s="94" cm="1">
        <f t="array" aca="1" ref="E238" ca="1">_xlfn.SWITCH($B$4,"Normal MLE",EXP(_xlfn.NORM.INV(C238,LN($C$10),$E$10/$C$10)),"Uniforme",$B$10+($D$10-$B$10)*C238,"Triangular",IF(C238&lt;=($C$10-$B$10)/($D$10-$B$10),$B$10+SQRT(C238*($D$10-$B$10)*($C$10-$B$10)),$D$10-SQRT((1-C238)*($D$10-$B$10)*($D$10-$C$10))),"PERT",_xlfn.BETA.INV(C238,1+$B$6*($C$10-$B$10)/($D$10-$B$10),1+$B$6*($D$10-$C$10)/($D$10-$B$10),$B$10,$D$10))</f>
        <v>4829.0776104488205</v>
      </c>
      <c r="F238" s="88">
        <f t="shared" ca="1" si="10"/>
        <v>0.49641899285878882</v>
      </c>
      <c r="G238" s="89">
        <f t="shared" ca="1" si="11"/>
        <v>1.6435867893262112E-4</v>
      </c>
    </row>
    <row r="239" spans="1:7" x14ac:dyDescent="0.35">
      <c r="A239" s="84">
        <v>224</v>
      </c>
      <c r="B239" s="84">
        <f t="shared" ca="1" si="9"/>
        <v>0.55281347446273321</v>
      </c>
      <c r="C239" s="84">
        <f t="shared" ca="1" si="9"/>
        <v>0.11719184385830794</v>
      </c>
      <c r="D239" s="93" cm="1">
        <f t="array" aca="1" ref="D239" ca="1">_xlfn.SWITCH($B$4,"Normal MLE",EXP(_xlfn.NORM.INV(B239,LN($C$9),$E$9/$C$9)),"Uniforme",$B$9+($D$9-$B$9)*B239,"Triangular",IF(B239&lt;=($C$9-$B$9)/($D$9-$B$9),$B$9+SQRT(B239*($D$9-$B$9)*($C$9-$B$9)),$D$9-SQRT((1-B239)*($D$9-$B$9)*($D$9-$C$9))),"PERT",_xlfn.BETA.INV(B239,1+$B$6*($C$9-$B$9)/($D$9-$B$9),1+$B$6*($D$9-$C$9)/($D$9-$B$9),$B$9,$D$9))</f>
        <v>1.9659715710129424</v>
      </c>
      <c r="E239" s="94" cm="1">
        <f t="array" aca="1" ref="E239" ca="1">_xlfn.SWITCH($B$4,"Normal MLE",EXP(_xlfn.NORM.INV(C239,LN($C$10),$E$10/$C$10)),"Uniforme",$B$10+($D$10-$B$10)*C239,"Triangular",IF(C239&lt;=($C$10-$B$10)/($D$10-$B$10),$B$10+SQRT(C239*($D$10-$B$10)*($C$10-$B$10)),$D$10-SQRT((1-C239)*($D$10-$B$10)*($D$10-$C$10))),"PERT",_xlfn.BETA.INV(C239,1+$B$6*($C$10-$B$10)/($D$10-$B$10),1+$B$6*($D$10-$C$10)/($D$10-$B$10),$B$10,$D$10))</f>
        <v>4825.2411494336775</v>
      </c>
      <c r="F239" s="88">
        <f t="shared" ca="1" si="10"/>
        <v>0.50077508593884745</v>
      </c>
      <c r="G239" s="89">
        <f t="shared" ca="1" si="11"/>
        <v>1.7022126597728533E-4</v>
      </c>
    </row>
    <row r="240" spans="1:7" x14ac:dyDescent="0.35">
      <c r="A240" s="84">
        <v>225</v>
      </c>
      <c r="B240" s="84">
        <f t="shared" ca="1" si="9"/>
        <v>0.66232774296952357</v>
      </c>
      <c r="C240" s="84">
        <f t="shared" ca="1" si="9"/>
        <v>0.61790522945588555</v>
      </c>
      <c r="D240" s="93" cm="1">
        <f t="array" aca="1" ref="D240" ca="1">_xlfn.SWITCH($B$4,"Normal MLE",EXP(_xlfn.NORM.INV(B240,LN($C$9),$E$9/$C$9)),"Uniforme",$B$9+($D$9-$B$9)*B240,"Triangular",IF(B240&lt;=($C$9-$B$9)/($D$9-$B$9),$B$9+SQRT(B240*($D$9-$B$9)*($C$9-$B$9)),$D$9-SQRT((1-B240)*($D$9-$B$9)*($D$9-$C$9))),"PERT",_xlfn.BETA.INV(B240,1+$B$6*($C$9-$B$9)/($D$9-$B$9),1+$B$6*($D$9-$C$9)/($D$9-$B$9),$B$9,$D$9))</f>
        <v>2.0059748646320177</v>
      </c>
      <c r="E240" s="94" cm="1">
        <f t="array" aca="1" ref="E240" ca="1">_xlfn.SWITCH($B$4,"Normal MLE",EXP(_xlfn.NORM.INV(C240,LN($C$10),$E$10/$C$10)),"Uniforme",$B$10+($D$10-$B$10)*C240,"Triangular",IF(C240&lt;=($C$10-$B$10)/($D$10-$B$10),$B$10+SQRT(C240*($D$10-$B$10)*($C$10-$B$10)),$D$10-SQRT((1-C240)*($D$10-$B$10)*($D$10-$C$10))),"PERT",_xlfn.BETA.INV(C240,1+$B$6*($C$10-$B$10)/($D$10-$B$10),1+$B$6*($D$10-$C$10)/($D$10-$B$10),$B$10,$D$10))</f>
        <v>5171.465691232409</v>
      </c>
      <c r="F240" s="88">
        <f t="shared" ca="1" si="10"/>
        <v>0.55026995842353787</v>
      </c>
      <c r="G240" s="89">
        <f t="shared" ca="1" si="11"/>
        <v>1.6484184550808888E-4</v>
      </c>
    </row>
    <row r="241" spans="1:7" x14ac:dyDescent="0.35">
      <c r="A241" s="84">
        <v>226</v>
      </c>
      <c r="B241" s="84">
        <f t="shared" ca="1" si="9"/>
        <v>0.30706063034516862</v>
      </c>
      <c r="C241" s="84">
        <f t="shared" ca="1" si="9"/>
        <v>0.90660765582797131</v>
      </c>
      <c r="D241" s="93" cm="1">
        <f t="array" aca="1" ref="D241" ca="1">_xlfn.SWITCH($B$4,"Normal MLE",EXP(_xlfn.NORM.INV(B241,LN($C$9),$E$9/$C$9)),"Uniforme",$B$9+($D$9-$B$9)*B241,"Triangular",IF(B241&lt;=($C$9-$B$9)/($D$9-$B$9),$B$9+SQRT(B241*($D$9-$B$9)*($C$9-$B$9)),$D$9-SQRT((1-B241)*($D$9-$B$9)*($D$9-$C$9))),"PERT",_xlfn.BETA.INV(B241,1+$B$6*($C$9-$B$9)/($D$9-$B$9),1+$B$6*($D$9-$C$9)/($D$9-$B$9),$B$9,$D$9))</f>
        <v>1.8797359441801131</v>
      </c>
      <c r="E241" s="94" cm="1">
        <f t="array" aca="1" ref="E241" ca="1">_xlfn.SWITCH($B$4,"Normal MLE",EXP(_xlfn.NORM.INV(C241,LN($C$10),$E$10/$C$10)),"Uniforme",$B$10+($D$10-$B$10)*C241,"Triangular",IF(C241&lt;=($C$10-$B$10)/($D$10-$B$10),$B$10+SQRT(C241*($D$10-$B$10)*($C$10-$B$10)),$D$10-SQRT((1-C241)*($D$10-$B$10)*($D$10-$C$10))),"PERT",_xlfn.BETA.INV(C241,1+$B$6*($C$10-$B$10)/($D$10-$B$10),1+$B$6*($D$10-$C$10)/($D$10-$B$10),$B$10,$D$10))</f>
        <v>5422.8901044149125</v>
      </c>
      <c r="F241" s="88">
        <f t="shared" ca="1" si="10"/>
        <v>0.56872582522128101</v>
      </c>
      <c r="G241" s="89">
        <f t="shared" ca="1" si="11"/>
        <v>1.5083203060933326E-4</v>
      </c>
    </row>
    <row r="242" spans="1:7" x14ac:dyDescent="0.35">
      <c r="A242" s="84">
        <v>227</v>
      </c>
      <c r="B242" s="84">
        <f t="shared" ca="1" si="9"/>
        <v>0.11924387178450579</v>
      </c>
      <c r="C242" s="84">
        <f t="shared" ca="1" si="9"/>
        <v>0.26957392679328085</v>
      </c>
      <c r="D242" s="93" cm="1">
        <f t="array" aca="1" ref="D242" ca="1">_xlfn.SWITCH($B$4,"Normal MLE",EXP(_xlfn.NORM.INV(B242,LN($C$9),$E$9/$C$9)),"Uniforme",$B$9+($D$9-$B$9)*B242,"Triangular",IF(B242&lt;=($C$9-$B$9)/($D$9-$B$9),$B$9+SQRT(B242*($D$9-$B$9)*($C$9-$B$9)),$D$9-SQRT((1-B242)*($D$9-$B$9)*($D$9-$C$9))),"PERT",_xlfn.BETA.INV(B242,1+$B$6*($C$9-$B$9)/($D$9-$B$9),1+$B$6*($D$9-$C$9)/($D$9-$B$9),$B$9,$D$9))</f>
        <v>1.7925300280266494</v>
      </c>
      <c r="E242" s="94" cm="1">
        <f t="array" aca="1" ref="E242" ca="1">_xlfn.SWITCH($B$4,"Normal MLE",EXP(_xlfn.NORM.INV(C242,LN($C$10),$E$10/$C$10)),"Uniforme",$B$10+($D$10-$B$10)*C242,"Triangular",IF(C242&lt;=($C$10-$B$10)/($D$10-$B$10),$B$10+SQRT(C242*($D$10-$B$10)*($C$10-$B$10)),$D$10-SQRT((1-C242)*($D$10-$B$10)*($D$10-$C$10))),"PERT",_xlfn.BETA.INV(C242,1+$B$6*($C$10-$B$10)/($D$10-$B$10),1+$B$6*($D$10-$C$10)/($D$10-$B$10),$B$10,$D$10))</f>
        <v>4956.103279968991</v>
      </c>
      <c r="F242" s="88">
        <f t="shared" ca="1" si="10"/>
        <v>0.50610780836164582</v>
      </c>
      <c r="G242" s="89">
        <f t="shared" ca="1" si="11"/>
        <v>1.5445435266092303E-4</v>
      </c>
    </row>
    <row r="243" spans="1:7" x14ac:dyDescent="0.35">
      <c r="A243" s="84">
        <v>228</v>
      </c>
      <c r="B243" s="84">
        <f t="shared" ca="1" si="9"/>
        <v>2.4778817642023832E-4</v>
      </c>
      <c r="C243" s="84">
        <f t="shared" ca="1" si="9"/>
        <v>0.56031977191497817</v>
      </c>
      <c r="D243" s="93" cm="1">
        <f t="array" aca="1" ref="D243" ca="1">_xlfn.SWITCH($B$4,"Normal MLE",EXP(_xlfn.NORM.INV(B243,LN($C$9),$E$9/$C$9)),"Uniforme",$B$9+($D$9-$B$9)*B243,"Triangular",IF(B243&lt;=($C$9-$B$9)/($D$9-$B$9),$B$9+SQRT(B243*($D$9-$B$9)*($C$9-$B$9)),$D$9-SQRT((1-B243)*($D$9-$B$9)*($D$9-$C$9))),"PERT",_xlfn.BETA.INV(B243,1+$B$6*($C$9-$B$9)/($D$9-$B$9),1+$B$6*($D$9-$C$9)/($D$9-$B$9),$B$9,$D$9))</f>
        <v>1.5240269681036855</v>
      </c>
      <c r="E243" s="94" cm="1">
        <f t="array" aca="1" ref="E243" ca="1">_xlfn.SWITCH($B$4,"Normal MLE",EXP(_xlfn.NORM.INV(C243,LN($C$10),$E$10/$C$10)),"Uniforme",$B$10+($D$10-$B$10)*C243,"Triangular",IF(C243&lt;=($C$10-$B$10)/($D$10-$B$10),$B$10+SQRT(C243*($D$10-$B$10)*($C$10-$B$10)),$D$10-SQRT((1-C243)*($D$10-$B$10)*($D$10-$C$10))),"PERT",_xlfn.BETA.INV(C243,1+$B$6*($C$10-$B$10)/($D$10-$B$10),1+$B$6*($D$10-$C$10)/($D$10-$B$10),$B$10,$D$10))</f>
        <v>5135.9230796234251</v>
      </c>
      <c r="F243" s="88">
        <f t="shared" ca="1" si="10"/>
        <v>0.50499361777978147</v>
      </c>
      <c r="G243" s="89">
        <f t="shared" ca="1" si="11"/>
        <v>1.3145358630893428E-4</v>
      </c>
    </row>
    <row r="244" spans="1:7" x14ac:dyDescent="0.35">
      <c r="A244" s="84">
        <v>229</v>
      </c>
      <c r="B244" s="84">
        <f t="shared" ca="1" si="9"/>
        <v>0.72033815470969242</v>
      </c>
      <c r="C244" s="84">
        <f t="shared" ca="1" si="9"/>
        <v>4.5586669340943797E-2</v>
      </c>
      <c r="D244" s="93" cm="1">
        <f t="array" aca="1" ref="D244" ca="1">_xlfn.SWITCH($B$4,"Normal MLE",EXP(_xlfn.NORM.INV(B244,LN($C$9),$E$9/$C$9)),"Uniforme",$B$9+($D$9-$B$9)*B244,"Triangular",IF(B244&lt;=($C$9-$B$9)/($D$9-$B$9),$B$9+SQRT(B244*($D$9-$B$9)*($C$9-$B$9)),$D$9-SQRT((1-B244)*($D$9-$B$9)*($D$9-$C$9))),"PERT",_xlfn.BETA.INV(B244,1+$B$6*($C$9-$B$9)/($D$9-$B$9),1+$B$6*($D$9-$C$9)/($D$9-$B$9),$B$9,$D$9))</f>
        <v>2.0294217955015168</v>
      </c>
      <c r="E244" s="94" cm="1">
        <f t="array" aca="1" ref="E244" ca="1">_xlfn.SWITCH($B$4,"Normal MLE",EXP(_xlfn.NORM.INV(C244,LN($C$10),$E$10/$C$10)),"Uniforme",$B$10+($D$10-$B$10)*C244,"Triangular",IF(C244&lt;=($C$10-$B$10)/($D$10-$B$10),$B$10+SQRT(C244*($D$10-$B$10)*($C$10-$B$10)),$D$10-SQRT((1-C244)*($D$10-$B$10)*($D$10-$C$10))),"PERT",_xlfn.BETA.INV(C244,1+$B$6*($C$10-$B$10)/($D$10-$B$10),1+$B$6*($D$10-$C$10)/($D$10-$B$10),$B$10,$D$10))</f>
        <v>4714.2460066189515</v>
      </c>
      <c r="F244" s="88">
        <f t="shared" ca="1" si="10"/>
        <v>0.48847499653218057</v>
      </c>
      <c r="G244" s="89">
        <f t="shared" ca="1" si="11"/>
        <v>1.7756233809018433E-4</v>
      </c>
    </row>
    <row r="245" spans="1:7" x14ac:dyDescent="0.35">
      <c r="A245" s="84">
        <v>230</v>
      </c>
      <c r="B245" s="84">
        <f t="shared" ca="1" si="9"/>
        <v>0.63397133464417466</v>
      </c>
      <c r="C245" s="84">
        <f t="shared" ca="1" si="9"/>
        <v>0.40800627252469135</v>
      </c>
      <c r="D245" s="93" cm="1">
        <f t="array" aca="1" ref="D245" ca="1">_xlfn.SWITCH($B$4,"Normal MLE",EXP(_xlfn.NORM.INV(B245,LN($C$9),$E$9/$C$9)),"Uniforme",$B$9+($D$9-$B$9)*B245,"Triangular",IF(B245&lt;=($C$9-$B$9)/($D$9-$B$9),$B$9+SQRT(B245*($D$9-$B$9)*($C$9-$B$9)),$D$9-SQRT((1-B245)*($D$9-$B$9)*($D$9-$C$9))),"PERT",_xlfn.BETA.INV(B245,1+$B$6*($C$9-$B$9)/($D$9-$B$9),1+$B$6*($D$9-$C$9)/($D$9-$B$9),$B$9,$D$9))</f>
        <v>1.9952067935290616</v>
      </c>
      <c r="E245" s="94" cm="1">
        <f t="array" aca="1" ref="E245" ca="1">_xlfn.SWITCH($B$4,"Normal MLE",EXP(_xlfn.NORM.INV(C245,LN($C$10),$E$10/$C$10)),"Uniforme",$B$10+($D$10-$B$10)*C245,"Triangular",IF(C245&lt;=($C$10-$B$10)/($D$10-$B$10),$B$10+SQRT(C245*($D$10-$B$10)*($C$10-$B$10)),$D$10-SQRT((1-C245)*($D$10-$B$10)*($D$10-$C$10))),"PERT",_xlfn.BETA.INV(C245,1+$B$6*($C$10-$B$10)/($D$10-$B$10),1+$B$6*($D$10-$C$10)/($D$10-$B$10),$B$10,$D$10))</f>
        <v>5044.8563095979453</v>
      </c>
      <c r="F245" s="88">
        <f t="shared" ca="1" si="10"/>
        <v>0.53292786842894557</v>
      </c>
      <c r="G245" s="89">
        <f t="shared" ca="1" si="11"/>
        <v>1.6730227143152415E-4</v>
      </c>
    </row>
    <row r="246" spans="1:7" x14ac:dyDescent="0.35">
      <c r="A246" s="84">
        <v>231</v>
      </c>
      <c r="B246" s="84">
        <f t="shared" ca="1" si="9"/>
        <v>0.67734032359962337</v>
      </c>
      <c r="C246" s="84">
        <f t="shared" ca="1" si="9"/>
        <v>0.21842613382207643</v>
      </c>
      <c r="D246" s="93" cm="1">
        <f t="array" aca="1" ref="D246" ca="1">_xlfn.SWITCH($B$4,"Normal MLE",EXP(_xlfn.NORM.INV(B246,LN($C$9),$E$9/$C$9)),"Uniforme",$B$9+($D$9-$B$9)*B246,"Triangular",IF(B246&lt;=($C$9-$B$9)/($D$9-$B$9),$B$9+SQRT(B246*($D$9-$B$9)*($C$9-$B$9)),$D$9-SQRT((1-B246)*($D$9-$B$9)*($D$9-$C$9))),"PERT",_xlfn.BETA.INV(B246,1+$B$6*($C$9-$B$9)/($D$9-$B$9),1+$B$6*($D$9-$C$9)/($D$9-$B$9),$B$9,$D$9))</f>
        <v>2.0118386255112712</v>
      </c>
      <c r="E246" s="94" cm="1">
        <f t="array" aca="1" ref="E246" ca="1">_xlfn.SWITCH($B$4,"Normal MLE",EXP(_xlfn.NORM.INV(C246,LN($C$10),$E$10/$C$10)),"Uniforme",$B$10+($D$10-$B$10)*C246,"Triangular",IF(C246&lt;=($C$10-$B$10)/($D$10-$B$10),$B$10+SQRT(C246*($D$10-$B$10)*($C$10-$B$10)),$D$10-SQRT((1-C246)*($D$10-$B$10)*($D$10-$C$10))),"PERT",_xlfn.BETA.INV(C246,1+$B$6*($C$10-$B$10)/($D$10-$B$10),1+$B$6*($D$10-$C$10)/($D$10-$B$10),$B$10,$D$10))</f>
        <v>4918.5574393821098</v>
      </c>
      <c r="F246" s="88">
        <f t="shared" ca="1" si="10"/>
        <v>0.51697880147585906</v>
      </c>
      <c r="G246" s="89">
        <f t="shared" ca="1" si="11"/>
        <v>1.7154873837217522E-4</v>
      </c>
    </row>
    <row r="247" spans="1:7" x14ac:dyDescent="0.35">
      <c r="A247" s="84">
        <v>232</v>
      </c>
      <c r="B247" s="84">
        <f t="shared" ca="1" si="9"/>
        <v>0.32227513607691338</v>
      </c>
      <c r="C247" s="84">
        <f t="shared" ca="1" si="9"/>
        <v>0.75023867641956854</v>
      </c>
      <c r="D247" s="93" cm="1">
        <f t="array" aca="1" ref="D247" ca="1">_xlfn.SWITCH($B$4,"Normal MLE",EXP(_xlfn.NORM.INV(B247,LN($C$9),$E$9/$C$9)),"Uniforme",$B$9+($D$9-$B$9)*B247,"Triangular",IF(B247&lt;=($C$9-$B$9)/($D$9-$B$9),$B$9+SQRT(B247*($D$9-$B$9)*($C$9-$B$9)),$D$9-SQRT((1-B247)*($D$9-$B$9)*($D$9-$C$9))),"PERT",_xlfn.BETA.INV(B247,1+$B$6*($C$9-$B$9)/($D$9-$B$9),1+$B$6*($D$9-$C$9)/($D$9-$B$9),$B$9,$D$9))</f>
        <v>1.8854169961214278</v>
      </c>
      <c r="E247" s="94" cm="1">
        <f t="array" aca="1" ref="E247" ca="1">_xlfn.SWITCH($B$4,"Normal MLE",EXP(_xlfn.NORM.INV(C247,LN($C$10),$E$10/$C$10)),"Uniforme",$B$10+($D$10-$B$10)*C247,"Triangular",IF(C247&lt;=($C$10-$B$10)/($D$10-$B$10),$B$10+SQRT(C247*($D$10-$B$10)*($C$10-$B$10)),$D$10-SQRT((1-C247)*($D$10-$B$10)*($D$10-$C$10))),"PERT",_xlfn.BETA.INV(C247,1+$B$6*($C$10-$B$10)/($D$10-$B$10),1+$B$6*($D$10-$C$10)/($D$10-$B$10),$B$10,$D$10))</f>
        <v>5262.5646338491279</v>
      </c>
      <c r="F247" s="88">
        <f t="shared" ca="1" si="10"/>
        <v>0.55091299721054776</v>
      </c>
      <c r="G247" s="89">
        <f t="shared" ca="1" si="11"/>
        <v>1.5481272992369844E-4</v>
      </c>
    </row>
    <row r="248" spans="1:7" x14ac:dyDescent="0.35">
      <c r="A248" s="84">
        <v>233</v>
      </c>
      <c r="B248" s="84">
        <f t="shared" ca="1" si="9"/>
        <v>0.66727010973457401</v>
      </c>
      <c r="C248" s="84">
        <f t="shared" ca="1" si="9"/>
        <v>0.95718982431830046</v>
      </c>
      <c r="D248" s="93" cm="1">
        <f t="array" aca="1" ref="D248" ca="1">_xlfn.SWITCH($B$4,"Normal MLE",EXP(_xlfn.NORM.INV(B248,LN($C$9),$E$9/$C$9)),"Uniforme",$B$9+($D$9-$B$9)*B248,"Triangular",IF(B248&lt;=($C$9-$B$9)/($D$9-$B$9),$B$9+SQRT(B248*($D$9-$B$9)*($C$9-$B$9)),$D$9-SQRT((1-B248)*($D$9-$B$9)*($D$9-$C$9))),"PERT",_xlfn.BETA.INV(B248,1+$B$6*($C$9-$B$9)/($D$9-$B$9),1+$B$6*($D$9-$C$9)/($D$9-$B$9),$B$9,$D$9))</f>
        <v>2.00789171167433</v>
      </c>
      <c r="E248" s="94" cm="1">
        <f t="array" aca="1" ref="E248" ca="1">_xlfn.SWITCH($B$4,"Normal MLE",EXP(_xlfn.NORM.INV(C248,LN($C$10),$E$10/$C$10)),"Uniforme",$B$10+($D$10-$B$10)*C248,"Triangular",IF(C248&lt;=($C$10-$B$10)/($D$10-$B$10),$B$10+SQRT(C248*($D$10-$B$10)*($C$10-$B$10)),$D$10-SQRT((1-C248)*($D$10-$B$10)*($D$10-$C$10))),"PERT",_xlfn.BETA.INV(C248,1+$B$6*($C$10-$B$10)/($D$10-$B$10),1+$B$6*($D$10-$C$10)/($D$10-$B$10),$B$10,$D$10))</f>
        <v>5524.4712661745552</v>
      </c>
      <c r="F248" s="88">
        <f t="shared" ca="1" si="10"/>
        <v>0.59278948431814693</v>
      </c>
      <c r="G248" s="89">
        <f t="shared" ca="1" si="11"/>
        <v>1.5560110280785053E-4</v>
      </c>
    </row>
    <row r="249" spans="1:7" x14ac:dyDescent="0.35">
      <c r="A249" s="84">
        <v>234</v>
      </c>
      <c r="B249" s="84">
        <f t="shared" ca="1" si="9"/>
        <v>0.33668023228568289</v>
      </c>
      <c r="C249" s="84">
        <f t="shared" ca="1" si="9"/>
        <v>8.5881144776733365E-2</v>
      </c>
      <c r="D249" s="93" cm="1">
        <f t="array" aca="1" ref="D249" ca="1">_xlfn.SWITCH($B$4,"Normal MLE",EXP(_xlfn.NORM.INV(B249,LN($C$9),$E$9/$C$9)),"Uniforme",$B$9+($D$9-$B$9)*B249,"Triangular",IF(B249&lt;=($C$9-$B$9)/($D$9-$B$9),$B$9+SQRT(B249*($D$9-$B$9)*($C$9-$B$9)),$D$9-SQRT((1-B249)*($D$9-$B$9)*($D$9-$C$9))),"PERT",_xlfn.BETA.INV(B249,1+$B$6*($C$9-$B$9)/($D$9-$B$9),1+$B$6*($D$9-$C$9)/($D$9-$B$9),$B$9,$D$9))</f>
        <v>1.8907094145301599</v>
      </c>
      <c r="E249" s="94" cm="1">
        <f t="array" aca="1" ref="E249" ca="1">_xlfn.SWITCH($B$4,"Normal MLE",EXP(_xlfn.NORM.INV(C249,LN($C$10),$E$10/$C$10)),"Uniforme",$B$10+($D$10-$B$10)*C249,"Triangular",IF(C249&lt;=($C$10-$B$10)/($D$10-$B$10),$B$10+SQRT(C249*($D$10-$B$10)*($C$10-$B$10)),$D$10-SQRT((1-C249)*($D$10-$B$10)*($D$10-$C$10))),"PERT",_xlfn.BETA.INV(C249,1+$B$6*($C$10-$B$10)/($D$10-$B$10),1+$B$6*($D$10-$C$10)/($D$10-$B$10),$B$10,$D$10))</f>
        <v>4785.5672180978117</v>
      </c>
      <c r="F249" s="88">
        <f t="shared" ca="1" si="10"/>
        <v>0.49043343332728639</v>
      </c>
      <c r="G249" s="89">
        <f t="shared" ca="1" si="11"/>
        <v>1.6516150746210973E-4</v>
      </c>
    </row>
    <row r="250" spans="1:7" x14ac:dyDescent="0.35">
      <c r="A250" s="84">
        <v>235</v>
      </c>
      <c r="B250" s="84">
        <f t="shared" ca="1" si="9"/>
        <v>0.73090076618498745</v>
      </c>
      <c r="C250" s="84">
        <f t="shared" ca="1" si="9"/>
        <v>0.44201399910303918</v>
      </c>
      <c r="D250" s="93" cm="1">
        <f t="array" aca="1" ref="D250" ca="1">_xlfn.SWITCH($B$4,"Normal MLE",EXP(_xlfn.NORM.INV(B250,LN($C$9),$E$9/$C$9)),"Uniforme",$B$9+($D$9-$B$9)*B250,"Triangular",IF(B250&lt;=($C$9-$B$9)/($D$9-$B$9),$B$9+SQRT(B250*($D$9-$B$9)*($C$9-$B$9)),$D$9-SQRT((1-B250)*($D$9-$B$9)*($D$9-$C$9))),"PERT",_xlfn.BETA.INV(B250,1+$B$6*($C$9-$B$9)/($D$9-$B$9),1+$B$6*($D$9-$C$9)/($D$9-$B$9),$B$9,$D$9))</f>
        <v>2.0339561526286758</v>
      </c>
      <c r="E250" s="94" cm="1">
        <f t="array" aca="1" ref="E250" ca="1">_xlfn.SWITCH($B$4,"Normal MLE",EXP(_xlfn.NORM.INV(C250,LN($C$10),$E$10/$C$10)),"Uniforme",$B$10+($D$10-$B$10)*C250,"Triangular",IF(C250&lt;=($C$10-$B$10)/($D$10-$B$10),$B$10+SQRT(C250*($D$10-$B$10)*($C$10-$B$10)),$D$10-SQRT((1-C250)*($D$10-$B$10)*($D$10-$C$10))),"PERT",_xlfn.BETA.INV(C250,1+$B$6*($C$10-$B$10)/($D$10-$B$10),1+$B$6*($D$10-$C$10)/($D$10-$B$10),$B$10,$D$10))</f>
        <v>5065.2773302165315</v>
      </c>
      <c r="F250" s="88">
        <f t="shared" ca="1" si="10"/>
        <v>0.53868148543369998</v>
      </c>
      <c r="G250" s="89">
        <f t="shared" ca="1" si="11"/>
        <v>1.6945141347212374E-4</v>
      </c>
    </row>
    <row r="251" spans="1:7" x14ac:dyDescent="0.35">
      <c r="A251" s="84">
        <v>236</v>
      </c>
      <c r="B251" s="84">
        <f t="shared" ca="1" si="9"/>
        <v>0.9377669063916847</v>
      </c>
      <c r="C251" s="84">
        <f t="shared" ca="1" si="9"/>
        <v>0.71110707786194494</v>
      </c>
      <c r="D251" s="93" cm="1">
        <f t="array" aca="1" ref="D251" ca="1">_xlfn.SWITCH($B$4,"Normal MLE",EXP(_xlfn.NORM.INV(B251,LN($C$9),$E$9/$C$9)),"Uniforme",$B$9+($D$9-$B$9)*B251,"Triangular",IF(B251&lt;=($C$9-$B$9)/($D$9-$B$9),$B$9+SQRT(B251*($D$9-$B$9)*($C$9-$B$9)),$D$9-SQRT((1-B251)*($D$9-$B$9)*($D$9-$C$9))),"PERT",_xlfn.BETA.INV(B251,1+$B$6*($C$9-$B$9)/($D$9-$B$9),1+$B$6*($D$9-$C$9)/($D$9-$B$9),$B$9,$D$9))</f>
        <v>2.170205396746907</v>
      </c>
      <c r="E251" s="94" cm="1">
        <f t="array" aca="1" ref="E251" ca="1">_xlfn.SWITCH($B$4,"Normal MLE",EXP(_xlfn.NORM.INV(C251,LN($C$10),$E$10/$C$10)),"Uniforme",$B$10+($D$10-$B$10)*C251,"Triangular",IF(C251&lt;=($C$10-$B$10)/($D$10-$B$10),$B$10+SQRT(C251*($D$10-$B$10)*($C$10-$B$10)),$D$10-SQRT((1-C251)*($D$10-$B$10)*($D$10-$C$10))),"PERT",_xlfn.BETA.INV(C251,1+$B$6*($C$10-$B$10)/($D$10-$B$10),1+$B$6*($D$10-$C$10)/($D$10-$B$10),$B$10,$D$10))</f>
        <v>5233.5960307854839</v>
      </c>
      <c r="F251" s="88">
        <f t="shared" ca="1" si="10"/>
        <v>0.57234117087955449</v>
      </c>
      <c r="G251" s="89">
        <f t="shared" ca="1" si="11"/>
        <v>1.7327887121764188E-4</v>
      </c>
    </row>
    <row r="252" spans="1:7" x14ac:dyDescent="0.35">
      <c r="A252" s="84">
        <v>237</v>
      </c>
      <c r="B252" s="84">
        <f t="shared" ca="1" si="9"/>
        <v>0.26639732336981603</v>
      </c>
      <c r="C252" s="84">
        <f t="shared" ca="1" si="9"/>
        <v>0.25868061326940817</v>
      </c>
      <c r="D252" s="93" cm="1">
        <f t="array" aca="1" ref="D252" ca="1">_xlfn.SWITCH($B$4,"Normal MLE",EXP(_xlfn.NORM.INV(B252,LN($C$9),$E$9/$C$9)),"Uniforme",$B$9+($D$9-$B$9)*B252,"Triangular",IF(B252&lt;=($C$9-$B$9)/($D$9-$B$9),$B$9+SQRT(B252*($D$9-$B$9)*($C$9-$B$9)),$D$9-SQRT((1-B252)*($D$9-$B$9)*($D$9-$C$9))),"PERT",_xlfn.BETA.INV(B252,1+$B$6*($C$9-$B$9)/($D$9-$B$9),1+$B$6*($D$9-$C$9)/($D$9-$B$9),$B$9,$D$9))</f>
        <v>1.8639780279700613</v>
      </c>
      <c r="E252" s="94" cm="1">
        <f t="array" aca="1" ref="E252" ca="1">_xlfn.SWITCH($B$4,"Normal MLE",EXP(_xlfn.NORM.INV(C252,LN($C$10),$E$10/$C$10)),"Uniforme",$B$10+($D$10-$B$10)*C252,"Triangular",IF(C252&lt;=($C$10-$B$10)/($D$10-$B$10),$B$10+SQRT(C252*($D$10-$B$10)*($C$10-$B$10)),$D$10-SQRT((1-C252)*($D$10-$B$10)*($D$10-$C$10))),"PERT",_xlfn.BETA.INV(C252,1+$B$6*($C$10-$B$10)/($D$10-$B$10),1+$B$6*($D$10-$C$10)/($D$10-$B$10),$B$10,$D$10))</f>
        <v>4948.4255504724133</v>
      </c>
      <c r="F252" s="88">
        <f t="shared" ca="1" si="10"/>
        <v>0.51038110655283686</v>
      </c>
      <c r="G252" s="89">
        <f t="shared" ca="1" si="11"/>
        <v>1.5996710195627156E-4</v>
      </c>
    </row>
    <row r="253" spans="1:7" x14ac:dyDescent="0.35">
      <c r="A253" s="84">
        <v>238</v>
      </c>
      <c r="B253" s="84">
        <f t="shared" ca="1" si="9"/>
        <v>0.9965688104236966</v>
      </c>
      <c r="C253" s="84">
        <f t="shared" ca="1" si="9"/>
        <v>0.58396233243589724</v>
      </c>
      <c r="D253" s="93" cm="1">
        <f t="array" aca="1" ref="D253" ca="1">_xlfn.SWITCH($B$4,"Normal MLE",EXP(_xlfn.NORM.INV(B253,LN($C$9),$E$9/$C$9)),"Uniforme",$B$9+($D$9-$B$9)*B253,"Triangular",IF(B253&lt;=($C$9-$B$9)/($D$9-$B$9),$B$9+SQRT(B253*($D$9-$B$9)*($C$9-$B$9)),$D$9-SQRT((1-B253)*($D$9-$B$9)*($D$9-$C$9))),"PERT",_xlfn.BETA.INV(B253,1+$B$6*($C$9-$B$9)/($D$9-$B$9),1+$B$6*($D$9-$C$9)/($D$9-$B$9),$B$9,$D$9))</f>
        <v>2.356110797593463</v>
      </c>
      <c r="E253" s="94" cm="1">
        <f t="array" aca="1" ref="E253" ca="1">_xlfn.SWITCH($B$4,"Normal MLE",EXP(_xlfn.NORM.INV(C253,LN($C$10),$E$10/$C$10)),"Uniforme",$B$10+($D$10-$B$10)*C253,"Triangular",IF(C253&lt;=($C$10-$B$10)/($D$10-$B$10),$B$10+SQRT(C253*($D$10-$B$10)*($C$10-$B$10)),$D$10-SQRT((1-C253)*($D$10-$B$10)*($D$10-$C$10))),"PERT",_xlfn.BETA.INV(C253,1+$B$6*($C$10-$B$10)/($D$10-$B$10),1+$B$6*($D$10-$C$10)/($D$10-$B$10),$B$10,$D$10))</f>
        <v>5150.3453760854018</v>
      </c>
      <c r="F253" s="88">
        <f t="shared" ca="1" si="10"/>
        <v>0.57622459321796338</v>
      </c>
      <c r="G253" s="89">
        <f t="shared" ca="1" si="11"/>
        <v>1.8710363997322016E-4</v>
      </c>
    </row>
    <row r="254" spans="1:7" x14ac:dyDescent="0.35">
      <c r="A254" s="84">
        <v>239</v>
      </c>
      <c r="B254" s="84">
        <f t="shared" ca="1" si="9"/>
        <v>0.93819449337716476</v>
      </c>
      <c r="C254" s="84">
        <f t="shared" ca="1" si="9"/>
        <v>0.80513127241067173</v>
      </c>
      <c r="D254" s="93" cm="1">
        <f t="array" aca="1" ref="D254" ca="1">_xlfn.SWITCH($B$4,"Normal MLE",EXP(_xlfn.NORM.INV(B254,LN($C$9),$E$9/$C$9)),"Uniforme",$B$9+($D$9-$B$9)*B254,"Triangular",IF(B254&lt;=($C$9-$B$9)/($D$9-$B$9),$B$9+SQRT(B254*($D$9-$B$9)*($C$9-$B$9)),$D$9-SQRT((1-B254)*($D$9-$B$9)*($D$9-$C$9))),"PERT",_xlfn.BETA.INV(B254,1+$B$6*($C$9-$B$9)/($D$9-$B$9),1+$B$6*($D$9-$C$9)/($D$9-$B$9),$B$9,$D$9))</f>
        <v>2.1707400100838417</v>
      </c>
      <c r="E254" s="94" cm="1">
        <f t="array" aca="1" ref="E254" ca="1">_xlfn.SWITCH($B$4,"Normal MLE",EXP(_xlfn.NORM.INV(C254,LN($C$10),$E$10/$C$10)),"Uniforme",$B$10+($D$10-$B$10)*C254,"Triangular",IF(C254&lt;=($C$10-$B$10)/($D$10-$B$10),$B$10+SQRT(C254*($D$10-$B$10)*($C$10-$B$10)),$D$10-SQRT((1-C254)*($D$10-$B$10)*($D$10-$C$10))),"PERT",_xlfn.BETA.INV(C254,1+$B$6*($C$10-$B$10)/($D$10-$B$10),1+$B$6*($D$10-$C$10)/($D$10-$B$10),$B$10,$D$10))</f>
        <v>5308.0283917577108</v>
      </c>
      <c r="F254" s="88">
        <f t="shared" ca="1" si="10"/>
        <v>0.58211005113884073</v>
      </c>
      <c r="G254" s="89">
        <f t="shared" ca="1" si="11"/>
        <v>1.7093344558762036E-4</v>
      </c>
    </row>
    <row r="255" spans="1:7" x14ac:dyDescent="0.35">
      <c r="A255" s="84">
        <v>240</v>
      </c>
      <c r="B255" s="84">
        <f t="shared" ca="1" si="9"/>
        <v>0.13691312130656164</v>
      </c>
      <c r="C255" s="84">
        <f t="shared" ca="1" si="9"/>
        <v>0.38082544693616138</v>
      </c>
      <c r="D255" s="93" cm="1">
        <f t="array" aca="1" ref="D255" ca="1">_xlfn.SWITCH($B$4,"Normal MLE",EXP(_xlfn.NORM.INV(B255,LN($C$9),$E$9/$C$9)),"Uniforme",$B$9+($D$9-$B$9)*B255,"Triangular",IF(B255&lt;=($C$9-$B$9)/($D$9-$B$9),$B$9+SQRT(B255*($D$9-$B$9)*($C$9-$B$9)),$D$9-SQRT((1-B255)*($D$9-$B$9)*($D$9-$C$9))),"PERT",_xlfn.BETA.INV(B255,1+$B$6*($C$9-$B$9)/($D$9-$B$9),1+$B$6*($D$9-$C$9)/($D$9-$B$9),$B$9,$D$9))</f>
        <v>1.8032258319261034</v>
      </c>
      <c r="E255" s="94" cm="1">
        <f t="array" aca="1" ref="E255" ca="1">_xlfn.SWITCH($B$4,"Normal MLE",EXP(_xlfn.NORM.INV(C255,LN($C$10),$E$10/$C$10)),"Uniforme",$B$10+($D$10-$B$10)*C255,"Triangular",IF(C255&lt;=($C$10-$B$10)/($D$10-$B$10),$B$10+SQRT(C255*($D$10-$B$10)*($C$10-$B$10)),$D$10-SQRT((1-C255)*($D$10-$B$10)*($D$10-$C$10))),"PERT",_xlfn.BETA.INV(C255,1+$B$6*($C$10-$B$10)/($D$10-$B$10),1+$B$6*($D$10-$C$10)/($D$10-$B$10),$B$10,$D$10))</f>
        <v>5028.3008751554553</v>
      </c>
      <c r="F255" s="88">
        <f t="shared" ca="1" si="10"/>
        <v>0.51584130068447342</v>
      </c>
      <c r="G255" s="89">
        <f t="shared" ca="1" si="11"/>
        <v>1.5393431373279985E-4</v>
      </c>
    </row>
    <row r="256" spans="1:7" x14ac:dyDescent="0.35">
      <c r="A256" s="84">
        <v>241</v>
      </c>
      <c r="B256" s="84">
        <f t="shared" ca="1" si="9"/>
        <v>0.35918186060584822</v>
      </c>
      <c r="C256" s="84">
        <f t="shared" ca="1" si="9"/>
        <v>0.16642037340633775</v>
      </c>
      <c r="D256" s="93" cm="1">
        <f t="array" aca="1" ref="D256" ca="1">_xlfn.SWITCH($B$4,"Normal MLE",EXP(_xlfn.NORM.INV(B256,LN($C$9),$E$9/$C$9)),"Uniforme",$B$9+($D$9-$B$9)*B256,"Triangular",IF(B256&lt;=($C$9-$B$9)/($D$9-$B$9),$B$9+SQRT(B256*($D$9-$B$9)*($C$9-$B$9)),$D$9-SQRT((1-B256)*($D$9-$B$9)*($D$9-$C$9))),"PERT",_xlfn.BETA.INV(B256,1+$B$6*($C$9-$B$9)/($D$9-$B$9),1+$B$6*($D$9-$C$9)/($D$9-$B$9),$B$9,$D$9))</f>
        <v>1.8988344139102065</v>
      </c>
      <c r="E256" s="94" cm="1">
        <f t="array" aca="1" ref="E256" ca="1">_xlfn.SWITCH($B$4,"Normal MLE",EXP(_xlfn.NORM.INV(C256,LN($C$10),$E$10/$C$10)),"Uniforme",$B$10+($D$10-$B$10)*C256,"Triangular",IF(C256&lt;=($C$10-$B$10)/($D$10-$B$10),$B$10+SQRT(C256*($D$10-$B$10)*($C$10-$B$10)),$D$10-SQRT((1-C256)*($D$10-$B$10)*($D$10-$C$10))),"PERT",_xlfn.BETA.INV(C256,1+$B$6*($C$10-$B$10)/($D$10-$B$10),1+$B$6*($D$10-$C$10)/($D$10-$B$10),$B$10,$D$10))</f>
        <v>4875.0601187428947</v>
      </c>
      <c r="F256" s="88">
        <f t="shared" ca="1" si="10"/>
        <v>0.50316626415007282</v>
      </c>
      <c r="G256" s="89">
        <f t="shared" ca="1" si="11"/>
        <v>1.6405549999610238E-4</v>
      </c>
    </row>
    <row r="257" spans="1:7" x14ac:dyDescent="0.35">
      <c r="A257" s="84">
        <v>242</v>
      </c>
      <c r="B257" s="84">
        <f t="shared" ca="1" si="9"/>
        <v>0.72799176315824443</v>
      </c>
      <c r="C257" s="84">
        <f t="shared" ca="1" si="9"/>
        <v>0.91201072790783388</v>
      </c>
      <c r="D257" s="93" cm="1">
        <f t="array" aca="1" ref="D257" ca="1">_xlfn.SWITCH($B$4,"Normal MLE",EXP(_xlfn.NORM.INV(B257,LN($C$9),$E$9/$C$9)),"Uniforme",$B$9+($D$9-$B$9)*B257,"Triangular",IF(B257&lt;=($C$9-$B$9)/($D$9-$B$9),$B$9+SQRT(B257*($D$9-$B$9)*($C$9-$B$9)),$D$9-SQRT((1-B257)*($D$9-$B$9)*($D$9-$C$9))),"PERT",_xlfn.BETA.INV(B257,1+$B$6*($C$9-$B$9)/($D$9-$B$9),1+$B$6*($D$9-$C$9)/($D$9-$B$9),$B$9,$D$9))</f>
        <v>2.0326976935987804</v>
      </c>
      <c r="E257" s="94" cm="1">
        <f t="array" aca="1" ref="E257" ca="1">_xlfn.SWITCH($B$4,"Normal MLE",EXP(_xlfn.NORM.INV(C257,LN($C$10),$E$10/$C$10)),"Uniforme",$B$10+($D$10-$B$10)*C257,"Triangular",IF(C257&lt;=($C$10-$B$10)/($D$10-$B$10),$B$10+SQRT(C257*($D$10-$B$10)*($C$10-$B$10)),$D$10-SQRT((1-C257)*($D$10-$B$10)*($D$10-$C$10))),"PERT",_xlfn.BETA.INV(C257,1+$B$6*($C$10-$B$10)/($D$10-$B$10),1+$B$6*($D$10-$C$10)/($D$10-$B$10),$B$10,$D$10))</f>
        <v>5431.2469562539154</v>
      </c>
      <c r="F257" s="88">
        <f t="shared" ca="1" si="10"/>
        <v>0.58449691857038621</v>
      </c>
      <c r="G257" s="89">
        <f t="shared" ca="1" si="11"/>
        <v>1.5950428830267417E-4</v>
      </c>
    </row>
    <row r="258" spans="1:7" x14ac:dyDescent="0.35">
      <c r="A258" s="84">
        <v>243</v>
      </c>
      <c r="B258" s="84">
        <f t="shared" ca="1" si="9"/>
        <v>0.37973733371655205</v>
      </c>
      <c r="C258" s="84">
        <f t="shared" ca="1" si="9"/>
        <v>0.11065924090784607</v>
      </c>
      <c r="D258" s="93" cm="1">
        <f t="array" aca="1" ref="D258" ca="1">_xlfn.SWITCH($B$4,"Normal MLE",EXP(_xlfn.NORM.INV(B258,LN($C$9),$E$9/$C$9)),"Uniforme",$B$9+($D$9-$B$9)*B258,"Triangular",IF(B258&lt;=($C$9-$B$9)/($D$9-$B$9),$B$9+SQRT(B258*($D$9-$B$9)*($C$9-$B$9)),$D$9-SQRT((1-B258)*($D$9-$B$9)*($D$9-$C$9))),"PERT",_xlfn.BETA.INV(B258,1+$B$6*($C$9-$B$9)/($D$9-$B$9),1+$B$6*($D$9-$C$9)/($D$9-$B$9),$B$9,$D$9))</f>
        <v>1.9061326291219953</v>
      </c>
      <c r="E258" s="94" cm="1">
        <f t="array" aca="1" ref="E258" ca="1">_xlfn.SWITCH($B$4,"Normal MLE",EXP(_xlfn.NORM.INV(C258,LN($C$10),$E$10/$C$10)),"Uniforme",$B$10+($D$10-$B$10)*C258,"Triangular",IF(C258&lt;=($C$10-$B$10)/($D$10-$B$10),$B$10+SQRT(C258*($D$10-$B$10)*($C$10-$B$10)),$D$10-SQRT((1-C258)*($D$10-$B$10)*($D$10-$C$10))),"PERT",_xlfn.BETA.INV(C258,1+$B$6*($C$10-$B$10)/($D$10-$B$10),1+$B$6*($D$10-$C$10)/($D$10-$B$10),$B$10,$D$10))</f>
        <v>4817.6380904229018</v>
      </c>
      <c r="F258" s="88">
        <f t="shared" ca="1" si="10"/>
        <v>0.49583615995150909</v>
      </c>
      <c r="G258" s="89">
        <f t="shared" ca="1" si="11"/>
        <v>1.657543820233774E-4</v>
      </c>
    </row>
    <row r="259" spans="1:7" x14ac:dyDescent="0.35">
      <c r="A259" s="84">
        <v>244</v>
      </c>
      <c r="B259" s="84">
        <f t="shared" ca="1" si="9"/>
        <v>0.78755502526394416</v>
      </c>
      <c r="C259" s="84">
        <f t="shared" ca="1" si="9"/>
        <v>0.2199540684339375</v>
      </c>
      <c r="D259" s="93" cm="1">
        <f t="array" aca="1" ref="D259" ca="1">_xlfn.SWITCH($B$4,"Normal MLE",EXP(_xlfn.NORM.INV(B259,LN($C$9),$E$9/$C$9)),"Uniforme",$B$9+($D$9-$B$9)*B259,"Triangular",IF(B259&lt;=($C$9-$B$9)/($D$9-$B$9),$B$9+SQRT(B259*($D$9-$B$9)*($C$9-$B$9)),$D$9-SQRT((1-B259)*($D$9-$B$9)*($D$9-$C$9))),"PERT",_xlfn.BETA.INV(B259,1+$B$6*($C$9-$B$9)/($D$9-$B$9),1+$B$6*($D$9-$C$9)/($D$9-$B$9),$B$9,$D$9))</f>
        <v>2.0602537378857191</v>
      </c>
      <c r="E259" s="94" cm="1">
        <f t="array" aca="1" ref="E259" ca="1">_xlfn.SWITCH($B$4,"Normal MLE",EXP(_xlfn.NORM.INV(C259,LN($C$10),$E$10/$C$10)),"Uniforme",$B$10+($D$10-$B$10)*C259,"Triangular",IF(C259&lt;=($C$10-$B$10)/($D$10-$B$10),$B$10+SQRT(C259*($D$10-$B$10)*($C$10-$B$10)),$D$10-SQRT((1-C259)*($D$10-$B$10)*($D$10-$C$10))),"PERT",_xlfn.BETA.INV(C259,1+$B$6*($C$10-$B$10)/($D$10-$B$10),1+$B$6*($D$10-$C$10)/($D$10-$B$10),$B$10,$D$10))</f>
        <v>4919.741189160618</v>
      </c>
      <c r="F259" s="88">
        <f t="shared" ca="1" si="10"/>
        <v>0.52055512000587068</v>
      </c>
      <c r="G259" s="89">
        <f t="shared" ca="1" si="11"/>
        <v>1.7504397573652131E-4</v>
      </c>
    </row>
    <row r="260" spans="1:7" x14ac:dyDescent="0.35">
      <c r="A260" s="84">
        <v>245</v>
      </c>
      <c r="B260" s="84">
        <f t="shared" ca="1" si="9"/>
        <v>0.30513090084916228</v>
      </c>
      <c r="C260" s="84">
        <f t="shared" ca="1" si="9"/>
        <v>0.46600796039869619</v>
      </c>
      <c r="D260" s="93" cm="1">
        <f t="array" aca="1" ref="D260" ca="1">_xlfn.SWITCH($B$4,"Normal MLE",EXP(_xlfn.NORM.INV(B260,LN($C$9),$E$9/$C$9)),"Uniforme",$B$9+($D$9-$B$9)*B260,"Triangular",IF(B260&lt;=($C$9-$B$9)/($D$9-$B$9),$B$9+SQRT(B260*($D$9-$B$9)*($C$9-$B$9)),$D$9-SQRT((1-B260)*($D$9-$B$9)*($D$9-$C$9))),"PERT",_xlfn.BETA.INV(B260,1+$B$6*($C$9-$B$9)/($D$9-$B$9),1+$B$6*($D$9-$C$9)/($D$9-$B$9),$B$9,$D$9))</f>
        <v>1.8790079989851385</v>
      </c>
      <c r="E260" s="94" cm="1">
        <f t="array" aca="1" ref="E260" ca="1">_xlfn.SWITCH($B$4,"Normal MLE",EXP(_xlfn.NORM.INV(C260,LN($C$10),$E$10/$C$10)),"Uniforme",$B$10+($D$10-$B$10)*C260,"Triangular",IF(C260&lt;=($C$10-$B$10)/($D$10-$B$10),$B$10+SQRT(C260*($D$10-$B$10)*($C$10-$B$10)),$D$10-SQRT((1-C260)*($D$10-$B$10)*($D$10-$C$10))),"PERT",_xlfn.BETA.INV(C260,1+$B$6*($C$10-$B$10)/($D$10-$B$10),1+$B$6*($D$10-$C$10)/($D$10-$B$10),$B$10,$D$10))</f>
        <v>5079.5711058772849</v>
      </c>
      <c r="F260" s="88">
        <f t="shared" ca="1" si="10"/>
        <v>0.52819266286658251</v>
      </c>
      <c r="G260" s="89">
        <f t="shared" ca="1" si="11"/>
        <v>1.5837326838654883E-4</v>
      </c>
    </row>
    <row r="261" spans="1:7" x14ac:dyDescent="0.35">
      <c r="A261" s="84">
        <v>246</v>
      </c>
      <c r="B261" s="84">
        <f t="shared" ca="1" si="9"/>
        <v>0.2179214990476418</v>
      </c>
      <c r="C261" s="84">
        <f t="shared" ca="1" si="9"/>
        <v>0.95460228139529968</v>
      </c>
      <c r="D261" s="93" cm="1">
        <f t="array" aca="1" ref="D261" ca="1">_xlfn.SWITCH($B$4,"Normal MLE",EXP(_xlfn.NORM.INV(B261,LN($C$9),$E$9/$C$9)),"Uniforme",$B$9+($D$9-$B$9)*B261,"Triangular",IF(B261&lt;=($C$9-$B$9)/($D$9-$B$9),$B$9+SQRT(B261*($D$9-$B$9)*($C$9-$B$9)),$D$9-SQRT((1-B261)*($D$9-$B$9)*($D$9-$C$9))),"PERT",_xlfn.BETA.INV(B261,1+$B$6*($C$9-$B$9)/($D$9-$B$9),1+$B$6*($D$9-$C$9)/($D$9-$B$9),$B$9,$D$9))</f>
        <v>1.8436801446777751</v>
      </c>
      <c r="E261" s="94" cm="1">
        <f t="array" aca="1" ref="E261" ca="1">_xlfn.SWITCH($B$4,"Normal MLE",EXP(_xlfn.NORM.INV(C261,LN($C$10),$E$10/$C$10)),"Uniforme",$B$10+($D$10-$B$10)*C261,"Triangular",IF(C261&lt;=($C$10-$B$10)/($D$10-$B$10),$B$10+SQRT(C261*($D$10-$B$10)*($C$10-$B$10)),$D$10-SQRT((1-C261)*($D$10-$B$10)*($D$10-$C$10))),"PERT",_xlfn.BETA.INV(C261,1+$B$6*($C$10-$B$10)/($D$10-$B$10),1+$B$6*($D$10-$C$10)/($D$10-$B$10),$B$10,$D$10))</f>
        <v>5517.3418342182449</v>
      </c>
      <c r="F261" s="88">
        <f t="shared" ca="1" si="10"/>
        <v>0.57539128190872291</v>
      </c>
      <c r="G261" s="89">
        <f t="shared" ca="1" si="11"/>
        <v>1.4658253962509225E-4</v>
      </c>
    </row>
    <row r="262" spans="1:7" x14ac:dyDescent="0.35">
      <c r="A262" s="84">
        <v>247</v>
      </c>
      <c r="B262" s="84">
        <f t="shared" ca="1" si="9"/>
        <v>8.7861614686889689E-2</v>
      </c>
      <c r="C262" s="84">
        <f t="shared" ca="1" si="9"/>
        <v>0.41702928242345361</v>
      </c>
      <c r="D262" s="93" cm="1">
        <f t="array" aca="1" ref="D262" ca="1">_xlfn.SWITCH($B$4,"Normal MLE",EXP(_xlfn.NORM.INV(B262,LN($C$9),$E$9/$C$9)),"Uniforme",$B$9+($D$9-$B$9)*B262,"Triangular",IF(B262&lt;=($C$9-$B$9)/($D$9-$B$9),$B$9+SQRT(B262*($D$9-$B$9)*($C$9-$B$9)),$D$9-SQRT((1-B262)*($D$9-$B$9)*($D$9-$C$9))),"PERT",_xlfn.BETA.INV(B262,1+$B$6*($C$9-$B$9)/($D$9-$B$9),1+$B$6*($D$9-$C$9)/($D$9-$B$9),$B$9,$D$9))</f>
        <v>1.7705423238953235</v>
      </c>
      <c r="E262" s="94" cm="1">
        <f t="array" aca="1" ref="E262" ca="1">_xlfn.SWITCH($B$4,"Normal MLE",EXP(_xlfn.NORM.INV(C262,LN($C$10),$E$10/$C$10)),"Uniforme",$B$10+($D$10-$B$10)*C262,"Triangular",IF(C262&lt;=($C$10-$B$10)/($D$10-$B$10),$B$10+SQRT(C262*($D$10-$B$10)*($C$10-$B$10)),$D$10-SQRT((1-C262)*($D$10-$B$10)*($D$10-$C$10))),"PERT",_xlfn.BETA.INV(C262,1+$B$6*($C$10-$B$10)/($D$10-$B$10),1+$B$6*($D$10-$C$10)/($D$10-$B$10),$B$10,$D$10))</f>
        <v>5050.300344913253</v>
      </c>
      <c r="F262" s="88">
        <f t="shared" ca="1" si="10"/>
        <v>0.5159273014730702</v>
      </c>
      <c r="G262" s="89">
        <f t="shared" ca="1" si="11"/>
        <v>1.5113137940390718E-4</v>
      </c>
    </row>
    <row r="263" spans="1:7" x14ac:dyDescent="0.35">
      <c r="A263" s="84">
        <v>248</v>
      </c>
      <c r="B263" s="84">
        <f t="shared" ca="1" si="9"/>
        <v>0.51067623071943613</v>
      </c>
      <c r="C263" s="84">
        <f t="shared" ca="1" si="9"/>
        <v>0.94573497157592235</v>
      </c>
      <c r="D263" s="93" cm="1">
        <f t="array" aca="1" ref="D263" ca="1">_xlfn.SWITCH($B$4,"Normal MLE",EXP(_xlfn.NORM.INV(B263,LN($C$9),$E$9/$C$9)),"Uniforme",$B$9+($D$9-$B$9)*B263,"Triangular",IF(B263&lt;=($C$9-$B$9)/($D$9-$B$9),$B$9+SQRT(B263*($D$9-$B$9)*($C$9-$B$9)),$D$9-SQRT((1-B263)*($D$9-$B$9)*($D$9-$C$9))),"PERT",_xlfn.BETA.INV(B263,1+$B$6*($C$9-$B$9)/($D$9-$B$9),1+$B$6*($D$9-$C$9)/($D$9-$B$9),$B$9,$D$9))</f>
        <v>1.9513501423514996</v>
      </c>
      <c r="E263" s="94" cm="1">
        <f t="array" aca="1" ref="E263" ca="1">_xlfn.SWITCH($B$4,"Normal MLE",EXP(_xlfn.NORM.INV(C263,LN($C$10),$E$10/$C$10)),"Uniforme",$B$10+($D$10-$B$10)*C263,"Triangular",IF(C263&lt;=($C$10-$B$10)/($D$10-$B$10),$B$10+SQRT(C263*($D$10-$B$10)*($C$10-$B$10)),$D$10-SQRT((1-C263)*($D$10-$B$10)*($D$10-$C$10))),"PERT",_xlfn.BETA.INV(C263,1+$B$6*($C$10-$B$10)/($D$10-$B$10),1+$B$6*($D$10-$C$10)/($D$10-$B$10),$B$10,$D$10))</f>
        <v>5495.2083197083639</v>
      </c>
      <c r="F263" s="88">
        <f t="shared" ca="1" si="10"/>
        <v>0.58385749591439307</v>
      </c>
      <c r="G263" s="89">
        <f t="shared" ca="1" si="11"/>
        <v>1.5326525972685358E-4</v>
      </c>
    </row>
    <row r="264" spans="1:7" x14ac:dyDescent="0.35">
      <c r="A264" s="84">
        <v>249</v>
      </c>
      <c r="B264" s="84">
        <f t="shared" ca="1" si="9"/>
        <v>0.59237095462295197</v>
      </c>
      <c r="C264" s="84">
        <f t="shared" ca="1" si="9"/>
        <v>0.22181693707661221</v>
      </c>
      <c r="D264" s="93" cm="1">
        <f t="array" aca="1" ref="D264" ca="1">_xlfn.SWITCH($B$4,"Normal MLE",EXP(_xlfn.NORM.INV(B264,LN($C$9),$E$9/$C$9)),"Uniforme",$B$9+($D$9-$B$9)*B264,"Triangular",IF(B264&lt;=($C$9-$B$9)/($D$9-$B$9),$B$9+SQRT(B264*($D$9-$B$9)*($C$9-$B$9)),$D$9-SQRT((1-B264)*($D$9-$B$9)*($D$9-$C$9))),"PERT",_xlfn.BETA.INV(B264,1+$B$6*($C$9-$B$9)/($D$9-$B$9),1+$B$6*($D$9-$C$9)/($D$9-$B$9),$B$9,$D$9))</f>
        <v>1.9799867523866355</v>
      </c>
      <c r="E264" s="94" cm="1">
        <f t="array" aca="1" ref="E264" ca="1">_xlfn.SWITCH($B$4,"Normal MLE",EXP(_xlfn.NORM.INV(C264,LN($C$10),$E$10/$C$10)),"Uniforme",$B$10+($D$10-$B$10)*C264,"Triangular",IF(C264&lt;=($C$10-$B$10)/($D$10-$B$10),$B$10+SQRT(C264*($D$10-$B$10)*($C$10-$B$10)),$D$10-SQRT((1-C264)*($D$10-$B$10)*($D$10-$C$10))),"PERT",_xlfn.BETA.INV(C264,1+$B$6*($C$10-$B$10)/($D$10-$B$10),1+$B$6*($D$10-$C$10)/($D$10-$B$10),$B$10,$D$10))</f>
        <v>4921.178444098131</v>
      </c>
      <c r="F264" s="88">
        <f t="shared" ca="1" si="10"/>
        <v>0.51509099349861742</v>
      </c>
      <c r="G264" s="89">
        <f t="shared" ca="1" si="11"/>
        <v>1.6914897905006946E-4</v>
      </c>
    </row>
    <row r="265" spans="1:7" x14ac:dyDescent="0.35">
      <c r="A265" s="84">
        <v>250</v>
      </c>
      <c r="B265" s="84">
        <f t="shared" ca="1" si="9"/>
        <v>0.8215281347620722</v>
      </c>
      <c r="C265" s="84">
        <f t="shared" ca="1" si="9"/>
        <v>0.63734552869054995</v>
      </c>
      <c r="D265" s="93" cm="1">
        <f t="array" aca="1" ref="D265" ca="1">_xlfn.SWITCH($B$4,"Normal MLE",EXP(_xlfn.NORM.INV(B265,LN($C$9),$E$9/$C$9)),"Uniforme",$B$9+($D$9-$B$9)*B265,"Triangular",IF(B265&lt;=($C$9-$B$9)/($D$9-$B$9),$B$9+SQRT(B265*($D$9-$B$9)*($C$9-$B$9)),$D$9-SQRT((1-B265)*($D$9-$B$9)*($D$9-$C$9))),"PERT",_xlfn.BETA.INV(B265,1+$B$6*($C$9-$B$9)/($D$9-$B$9),1+$B$6*($D$9-$C$9)/($D$9-$B$9),$B$9,$D$9))</f>
        <v>2.078211147117329</v>
      </c>
      <c r="E265" s="94" cm="1">
        <f t="array" aca="1" ref="E265" ca="1">_xlfn.SWITCH($B$4,"Normal MLE",EXP(_xlfn.NORM.INV(C265,LN($C$10),$E$10/$C$10)),"Uniforme",$B$10+($D$10-$B$10)*C265,"Triangular",IF(C265&lt;=($C$10-$B$10)/($D$10-$B$10),$B$10+SQRT(C265*($D$10-$B$10)*($C$10-$B$10)),$D$10-SQRT((1-C265)*($D$10-$B$10)*($D$10-$C$10))),"PERT",_xlfn.BETA.INV(C265,1+$B$6*($C$10-$B$10)/($D$10-$B$10),1+$B$6*($D$10-$C$10)/($D$10-$B$10),$B$10,$D$10))</f>
        <v>5183.8472059600354</v>
      </c>
      <c r="F265" s="88">
        <f t="shared" ca="1" si="10"/>
        <v>0.55796555618961163</v>
      </c>
      <c r="G265" s="89">
        <f t="shared" ca="1" si="11"/>
        <v>1.6914014633233768E-4</v>
      </c>
    </row>
    <row r="266" spans="1:7" x14ac:dyDescent="0.35">
      <c r="A266" s="84">
        <v>251</v>
      </c>
      <c r="B266" s="84">
        <f t="shared" ca="1" si="9"/>
        <v>0.50093965673655039</v>
      </c>
      <c r="C266" s="84">
        <f t="shared" ca="1" si="9"/>
        <v>0.6279234971548614</v>
      </c>
      <c r="D266" s="93" cm="1">
        <f t="array" aca="1" ref="D266" ca="1">_xlfn.SWITCH($B$4,"Normal MLE",EXP(_xlfn.NORM.INV(B266,LN($C$9),$E$9/$C$9)),"Uniforme",$B$9+($D$9-$B$9)*B266,"Triangular",IF(B266&lt;=($C$9-$B$9)/($D$9-$B$9),$B$9+SQRT(B266*($D$9-$B$9)*($C$9-$B$9)),$D$9-SQRT((1-B266)*($D$9-$B$9)*($D$9-$C$9))),"PERT",_xlfn.BETA.INV(B266,1+$B$6*($C$9-$B$9)/($D$9-$B$9),1+$B$6*($D$9-$C$9)/($D$9-$B$9),$B$9,$D$9))</f>
        <v>1.9479988855606902</v>
      </c>
      <c r="E266" s="94" cm="1">
        <f t="array" aca="1" ref="E266" ca="1">_xlfn.SWITCH($B$4,"Normal MLE",EXP(_xlfn.NORM.INV(C266,LN($C$10),$E$10/$C$10)),"Uniforme",$B$10+($D$10-$B$10)*C266,"Triangular",IF(C266&lt;=($C$10-$B$10)/($D$10-$B$10),$B$10+SQRT(C266*($D$10-$B$10)*($C$10-$B$10)),$D$10-SQRT((1-C266)*($D$10-$B$10)*($D$10-$C$10))),"PERT",_xlfn.BETA.INV(C266,1+$B$6*($C$10-$B$10)/($D$10-$B$10),1+$B$6*($D$10-$C$10)/($D$10-$B$10),$B$10,$D$10))</f>
        <v>5177.816722567457</v>
      </c>
      <c r="F266" s="88">
        <f t="shared" ca="1" si="10"/>
        <v>0.54615057637189435</v>
      </c>
      <c r="G266" s="89">
        <f t="shared" ca="1" si="11"/>
        <v>1.6087789552679722E-4</v>
      </c>
    </row>
    <row r="267" spans="1:7" x14ac:dyDescent="0.35">
      <c r="A267" s="84">
        <v>252</v>
      </c>
      <c r="B267" s="84">
        <f t="shared" ca="1" si="9"/>
        <v>0.39894104990035517</v>
      </c>
      <c r="C267" s="84">
        <f t="shared" ca="1" si="9"/>
        <v>0.8493321805697237</v>
      </c>
      <c r="D267" s="93" cm="1">
        <f t="array" aca="1" ref="D267" ca="1">_xlfn.SWITCH($B$4,"Normal MLE",EXP(_xlfn.NORM.INV(B267,LN($C$9),$E$9/$C$9)),"Uniforme",$B$9+($D$9-$B$9)*B267,"Triangular",IF(B267&lt;=($C$9-$B$9)/($D$9-$B$9),$B$9+SQRT(B267*($D$9-$B$9)*($C$9-$B$9)),$D$9-SQRT((1-B267)*($D$9-$B$9)*($D$9-$C$9))),"PERT",_xlfn.BETA.INV(B267,1+$B$6*($C$9-$B$9)/($D$9-$B$9),1+$B$6*($D$9-$C$9)/($D$9-$B$9),$B$9,$D$9))</f>
        <v>1.9128669060406487</v>
      </c>
      <c r="E267" s="94" cm="1">
        <f t="array" aca="1" ref="E267" ca="1">_xlfn.SWITCH($B$4,"Normal MLE",EXP(_xlfn.NORM.INV(C267,LN($C$10),$E$10/$C$10)),"Uniforme",$B$10+($D$10-$B$10)*C267,"Triangular",IF(C267&lt;=($C$10-$B$10)/($D$10-$B$10),$B$10+SQRT(C267*($D$10-$B$10)*($C$10-$B$10)),$D$10-SQRT((1-C267)*($D$10-$B$10)*($D$10-$C$10))),"PERT",_xlfn.BETA.INV(C267,1+$B$6*($C$10-$B$10)/($D$10-$B$10),1+$B$6*($D$10-$C$10)/($D$10-$B$10),$B$10,$D$10))</f>
        <v>5351.0522656072681</v>
      </c>
      <c r="F267" s="88">
        <f t="shared" ca="1" si="10"/>
        <v>0.56375791358325456</v>
      </c>
      <c r="G267" s="89">
        <f t="shared" ca="1" si="11"/>
        <v>1.5451506225251145E-4</v>
      </c>
    </row>
    <row r="268" spans="1:7" x14ac:dyDescent="0.35">
      <c r="A268" s="84">
        <v>253</v>
      </c>
      <c r="B268" s="84">
        <f t="shared" ca="1" si="9"/>
        <v>0.78757187976175647</v>
      </c>
      <c r="C268" s="84">
        <f t="shared" ca="1" si="9"/>
        <v>0.24585716682528214</v>
      </c>
      <c r="D268" s="93" cm="1">
        <f t="array" aca="1" ref="D268" ca="1">_xlfn.SWITCH($B$4,"Normal MLE",EXP(_xlfn.NORM.INV(B268,LN($C$9),$E$9/$C$9)),"Uniforme",$B$9+($D$9-$B$9)*B268,"Triangular",IF(B268&lt;=($C$9-$B$9)/($D$9-$B$9),$B$9+SQRT(B268*($D$9-$B$9)*($C$9-$B$9)),$D$9-SQRT((1-B268)*($D$9-$B$9)*($D$9-$C$9))),"PERT",_xlfn.BETA.INV(B268,1+$B$6*($C$9-$B$9)/($D$9-$B$9),1+$B$6*($D$9-$C$9)/($D$9-$B$9),$B$9,$D$9))</f>
        <v>2.0602621653866788</v>
      </c>
      <c r="E268" s="94" cm="1">
        <f t="array" aca="1" ref="E268" ca="1">_xlfn.SWITCH($B$4,"Normal MLE",EXP(_xlfn.NORM.INV(C268,LN($C$10),$E$10/$C$10)),"Uniforme",$B$10+($D$10-$B$10)*C268,"Triangular",IF(C268&lt;=($C$10-$B$10)/($D$10-$B$10),$B$10+SQRT(C268*($D$10-$B$10)*($C$10-$B$10)),$D$10-SQRT((1-C268)*($D$10-$B$10)*($D$10-$C$10))),"PERT",_xlfn.BETA.INV(C268,1+$B$6*($C$10-$B$10)/($D$10-$B$10),1+$B$6*($D$10-$C$10)/($D$10-$B$10),$B$10,$D$10))</f>
        <v>4939.1850171454053</v>
      </c>
      <c r="F268" s="88">
        <f t="shared" ca="1" si="10"/>
        <v>0.5233135957345163</v>
      </c>
      <c r="G268" s="89">
        <f t="shared" ca="1" si="11"/>
        <v>1.7454771815140403E-4</v>
      </c>
    </row>
    <row r="269" spans="1:7" x14ac:dyDescent="0.35">
      <c r="A269" s="84">
        <v>254</v>
      </c>
      <c r="B269" s="84">
        <f t="shared" ca="1" si="9"/>
        <v>0.4431318327009155</v>
      </c>
      <c r="C269" s="84">
        <f t="shared" ca="1" si="9"/>
        <v>0.14887896853847638</v>
      </c>
      <c r="D269" s="93" cm="1">
        <f t="array" aca="1" ref="D269" ca="1">_xlfn.SWITCH($B$4,"Normal MLE",EXP(_xlfn.NORM.INV(B269,LN($C$9),$E$9/$C$9)),"Uniforme",$B$9+($D$9-$B$9)*B269,"Triangular",IF(B269&lt;=($C$9-$B$9)/($D$9-$B$9),$B$9+SQRT(B269*($D$9-$B$9)*($C$9-$B$9)),$D$9-SQRT((1-B269)*($D$9-$B$9)*($D$9-$C$9))),"PERT",_xlfn.BETA.INV(B269,1+$B$6*($C$9-$B$9)/($D$9-$B$9),1+$B$6*($D$9-$C$9)/($D$9-$B$9),$B$9,$D$9))</f>
        <v>1.9281566054962755</v>
      </c>
      <c r="E269" s="94" cm="1">
        <f t="array" aca="1" ref="E269" ca="1">_xlfn.SWITCH($B$4,"Normal MLE",EXP(_xlfn.NORM.INV(C269,LN($C$10),$E$10/$C$10)),"Uniforme",$B$10+($D$10-$B$10)*C269,"Triangular",IF(C269&lt;=($C$10-$B$10)/($D$10-$B$10),$B$10+SQRT(C269*($D$10-$B$10)*($C$10-$B$10)),$D$10-SQRT((1-C269)*($D$10-$B$10)*($D$10-$C$10))),"PERT",_xlfn.BETA.INV(C269,1+$B$6*($C$10-$B$10)/($D$10-$B$10),1+$B$6*($D$10-$C$10)/($D$10-$B$10),$B$10,$D$10))</f>
        <v>4858.562514826981</v>
      </c>
      <c r="F269" s="88">
        <f t="shared" ca="1" si="10"/>
        <v>0.50291220406053172</v>
      </c>
      <c r="G269" s="89">
        <f t="shared" ca="1" si="11"/>
        <v>1.6662720024441819E-4</v>
      </c>
    </row>
    <row r="270" spans="1:7" x14ac:dyDescent="0.35">
      <c r="A270" s="84">
        <v>255</v>
      </c>
      <c r="B270" s="84">
        <f t="shared" ca="1" si="9"/>
        <v>0.53420859632428119</v>
      </c>
      <c r="C270" s="84">
        <f t="shared" ca="1" si="9"/>
        <v>0.44148291851463384</v>
      </c>
      <c r="D270" s="93" cm="1">
        <f t="array" aca="1" ref="D270" ca="1">_xlfn.SWITCH($B$4,"Normal MLE",EXP(_xlfn.NORM.INV(B270,LN($C$9),$E$9/$C$9)),"Uniforme",$B$9+($D$9-$B$9)*B270,"Triangular",IF(B270&lt;=($C$9-$B$9)/($D$9-$B$9),$B$9+SQRT(B270*($D$9-$B$9)*($C$9-$B$9)),$D$9-SQRT((1-B270)*($D$9-$B$9)*($D$9-$C$9))),"PERT",_xlfn.BETA.INV(B270,1+$B$6*($C$9-$B$9)/($D$9-$B$9),1+$B$6*($D$9-$C$9)/($D$9-$B$9),$B$9,$D$9))</f>
        <v>1.9594866655203915</v>
      </c>
      <c r="E270" s="94" cm="1">
        <f t="array" aca="1" ref="E270" ca="1">_xlfn.SWITCH($B$4,"Normal MLE",EXP(_xlfn.NORM.INV(C270,LN($C$10),$E$10/$C$10)),"Uniforme",$B$10+($D$10-$B$10)*C270,"Triangular",IF(C270&lt;=($C$10-$B$10)/($D$10-$B$10),$B$10+SQRT(C270*($D$10-$B$10)*($C$10-$B$10)),$D$10-SQRT((1-C270)*($D$10-$B$10)*($D$10-$C$10))),"PERT",_xlfn.BETA.INV(C270,1+$B$6*($C$10-$B$10)/($D$10-$B$10),1+$B$6*($D$10-$C$10)/($D$10-$B$10),$B$10,$D$10))</f>
        <v>5064.9601719281454</v>
      </c>
      <c r="F270" s="88">
        <f t="shared" ca="1" si="10"/>
        <v>0.53276126837374138</v>
      </c>
      <c r="G270" s="89">
        <f t="shared" ca="1" si="11"/>
        <v>1.6433729923446405E-4</v>
      </c>
    </row>
    <row r="271" spans="1:7" x14ac:dyDescent="0.35">
      <c r="A271" s="84">
        <v>256</v>
      </c>
      <c r="B271" s="84">
        <f t="shared" ca="1" si="9"/>
        <v>0.96713377805893264</v>
      </c>
      <c r="C271" s="84">
        <f t="shared" ca="1" si="9"/>
        <v>0.11799629436024428</v>
      </c>
      <c r="D271" s="93" cm="1">
        <f t="array" aca="1" ref="D271" ca="1">_xlfn.SWITCH($B$4,"Normal MLE",EXP(_xlfn.NORM.INV(B271,LN($C$9),$E$9/$C$9)),"Uniforme",$B$9+($D$9-$B$9)*B271,"Triangular",IF(B271&lt;=($C$9-$B$9)/($D$9-$B$9),$B$9+SQRT(B271*($D$9-$B$9)*($C$9-$B$9)),$D$9-SQRT((1-B271)*($D$9-$B$9)*($D$9-$C$9))),"PERT",_xlfn.BETA.INV(B271,1+$B$6*($C$9-$B$9)/($D$9-$B$9),1+$B$6*($D$9-$C$9)/($D$9-$B$9),$B$9,$D$9))</f>
        <v>2.217157069089827</v>
      </c>
      <c r="E271" s="94" cm="1">
        <f t="array" aca="1" ref="E271" ca="1">_xlfn.SWITCH($B$4,"Normal MLE",EXP(_xlfn.NORM.INV(C271,LN($C$10),$E$10/$C$10)),"Uniforme",$B$10+($D$10-$B$10)*C271,"Triangular",IF(C271&lt;=($C$10-$B$10)/($D$10-$B$10),$B$10+SQRT(C271*($D$10-$B$10)*($C$10-$B$10)),$D$10-SQRT((1-C271)*($D$10-$B$10)*($D$10-$C$10))),"PERT",_xlfn.BETA.INV(C271,1+$B$6*($C$10-$B$10)/($D$10-$B$10),1+$B$6*($D$10-$C$10)/($D$10-$B$10),$B$10,$D$10))</f>
        <v>4826.1572204898812</v>
      </c>
      <c r="F271" s="88">
        <f t="shared" ca="1" si="10"/>
        <v>0.51711379521232348</v>
      </c>
      <c r="G271" s="89">
        <f t="shared" ca="1" si="11"/>
        <v>1.890306974935748E-4</v>
      </c>
    </row>
    <row r="272" spans="1:7" x14ac:dyDescent="0.35">
      <c r="A272" s="84">
        <v>257</v>
      </c>
      <c r="B272" s="84">
        <f t="shared" ca="1" si="9"/>
        <v>0.11321972696346216</v>
      </c>
      <c r="C272" s="84">
        <f t="shared" ca="1" si="9"/>
        <v>0.82876992784253978</v>
      </c>
      <c r="D272" s="93" cm="1">
        <f t="array" aca="1" ref="D272" ca="1">_xlfn.SWITCH($B$4,"Normal MLE",EXP(_xlfn.NORM.INV(B272,LN($C$9),$E$9/$C$9)),"Uniforme",$B$9+($D$9-$B$9)*B272,"Triangular",IF(B272&lt;=($C$9-$B$9)/($D$9-$B$9),$B$9+SQRT(B272*($D$9-$B$9)*($C$9-$B$9)),$D$9-SQRT((1-B272)*($D$9-$B$9)*($D$9-$C$9))),"PERT",_xlfn.BETA.INV(B272,1+$B$6*($C$9-$B$9)/($D$9-$B$9),1+$B$6*($D$9-$C$9)/($D$9-$B$9),$B$9,$D$9))</f>
        <v>1.788645558783202</v>
      </c>
      <c r="E272" s="94" cm="1">
        <f t="array" aca="1" ref="E272" ca="1">_xlfn.SWITCH($B$4,"Normal MLE",EXP(_xlfn.NORM.INV(C272,LN($C$10),$E$10/$C$10)),"Uniforme",$B$10+($D$10-$B$10)*C272,"Triangular",IF(C272&lt;=($C$10-$B$10)/($D$10-$B$10),$B$10+SQRT(C272*($D$10-$B$10)*($C$10-$B$10)),$D$10-SQRT((1-C272)*($D$10-$B$10)*($D$10-$C$10))),"PERT",_xlfn.BETA.INV(C272,1+$B$6*($C$10-$B$10)/($D$10-$B$10),1+$B$6*($D$10-$C$10)/($D$10-$B$10),$B$10,$D$10))</f>
        <v>5330.1125109093637</v>
      </c>
      <c r="F272" s="88">
        <f t="shared" ca="1" si="10"/>
        <v>0.54968547459798089</v>
      </c>
      <c r="G272" s="89">
        <f t="shared" ca="1" si="11"/>
        <v>1.4708781467437419E-4</v>
      </c>
    </row>
    <row r="273" spans="1:7" x14ac:dyDescent="0.35">
      <c r="A273" s="84">
        <v>258</v>
      </c>
      <c r="B273" s="84">
        <f t="shared" ref="B273:C336" ca="1" si="12">RAND()</f>
        <v>0.75157434151369151</v>
      </c>
      <c r="C273" s="84">
        <f t="shared" ca="1" si="12"/>
        <v>3.7505249331545309E-2</v>
      </c>
      <c r="D273" s="93" cm="1">
        <f t="array" aca="1" ref="D273" ca="1">_xlfn.SWITCH($B$4,"Normal MLE",EXP(_xlfn.NORM.INV(B273,LN($C$9),$E$9/$C$9)),"Uniforme",$B$9+($D$9-$B$9)*B273,"Triangular",IF(B273&lt;=($C$9-$B$9)/($D$9-$B$9),$B$9+SQRT(B273*($D$9-$B$9)*($C$9-$B$9)),$D$9-SQRT((1-B273)*($D$9-$B$9)*($D$9-$C$9))),"PERT",_xlfn.BETA.INV(B273,1+$B$6*($C$9-$B$9)/($D$9-$B$9),1+$B$6*($D$9-$C$9)/($D$9-$B$9),$B$9,$D$9))</f>
        <v>2.0431310179088427</v>
      </c>
      <c r="E273" s="94" cm="1">
        <f t="array" aca="1" ref="E273" ca="1">_xlfn.SWITCH($B$4,"Normal MLE",EXP(_xlfn.NORM.INV(C273,LN($C$10),$E$10/$C$10)),"Uniforme",$B$10+($D$10-$B$10)*C273,"Triangular",IF(C273&lt;=($C$10-$B$10)/($D$10-$B$10),$B$10+SQRT(C273*($D$10-$B$10)*($C$10-$B$10)),$D$10-SQRT((1-C273)*($D$10-$B$10)*($D$10-$C$10))),"PERT",_xlfn.BETA.INV(C273,1+$B$6*($C$10-$B$10)/($D$10-$B$10),1+$B$6*($D$10-$C$10)/($D$10-$B$10),$B$10,$D$10))</f>
        <v>4694.2903096952605</v>
      </c>
      <c r="F273" s="88">
        <f t="shared" ref="F273:F336" ca="1" si="13">EXP(-POWER($B$12/E273,D273))</f>
        <v>0.48622797016949076</v>
      </c>
      <c r="G273" s="89">
        <f t="shared" ref="G273:G336" ca="1" si="14">(D273/E273)*POWER($B$12/E273,D273-1)*EXP(-POWER($B$12/E273,D273))</f>
        <v>1.7908459243848242E-4</v>
      </c>
    </row>
    <row r="274" spans="1:7" x14ac:dyDescent="0.35">
      <c r="A274" s="84">
        <v>259</v>
      </c>
      <c r="B274" s="84">
        <f t="shared" ca="1" si="12"/>
        <v>0.1377990460946974</v>
      </c>
      <c r="C274" s="84">
        <f t="shared" ca="1" si="12"/>
        <v>4.7795560856915609E-2</v>
      </c>
      <c r="D274" s="93" cm="1">
        <f t="array" aca="1" ref="D274" ca="1">_xlfn.SWITCH($B$4,"Normal MLE",EXP(_xlfn.NORM.INV(B274,LN($C$9),$E$9/$C$9)),"Uniforme",$B$9+($D$9-$B$9)*B274,"Triangular",IF(B274&lt;=($C$9-$B$9)/($D$9-$B$9),$B$9+SQRT(B274*($D$9-$B$9)*($C$9-$B$9)),$D$9-SQRT((1-B274)*($D$9-$B$9)*($D$9-$C$9))),"PERT",_xlfn.BETA.INV(B274,1+$B$6*($C$9-$B$9)/($D$9-$B$9),1+$B$6*($D$9-$C$9)/($D$9-$B$9),$B$9,$D$9))</f>
        <v>1.8037379417852906</v>
      </c>
      <c r="E274" s="94" cm="1">
        <f t="array" aca="1" ref="E274" ca="1">_xlfn.SWITCH($B$4,"Normal MLE",EXP(_xlfn.NORM.INV(C274,LN($C$10),$E$10/$C$10)),"Uniforme",$B$10+($D$10-$B$10)*C274,"Triangular",IF(C274&lt;=($C$10-$B$10)/($D$10-$B$10),$B$10+SQRT(C274*($D$10-$B$10)*($C$10-$B$10)),$D$10-SQRT((1-C274)*($D$10-$B$10)*($D$10-$C$10))),"PERT",_xlfn.BETA.INV(C274,1+$B$6*($C$10-$B$10)/($D$10-$B$10),1+$B$6*($D$10-$C$10)/($D$10-$B$10),$B$10,$D$10))</f>
        <v>4719.2122351524131</v>
      </c>
      <c r="F274" s="88">
        <f t="shared" ca="1" si="13"/>
        <v>0.47610325138811371</v>
      </c>
      <c r="G274" s="89">
        <f t="shared" ca="1" si="14"/>
        <v>1.5932687753818963E-4</v>
      </c>
    </row>
    <row r="275" spans="1:7" x14ac:dyDescent="0.35">
      <c r="A275" s="84">
        <v>260</v>
      </c>
      <c r="B275" s="84">
        <f t="shared" ca="1" si="12"/>
        <v>0.8551167170466899</v>
      </c>
      <c r="C275" s="84">
        <f t="shared" ca="1" si="12"/>
        <v>0.72021742917605036</v>
      </c>
      <c r="D275" s="93" cm="1">
        <f t="array" aca="1" ref="D275" ca="1">_xlfn.SWITCH($B$4,"Normal MLE",EXP(_xlfn.NORM.INV(B275,LN($C$9),$E$9/$C$9)),"Uniforme",$B$9+($D$9-$B$9)*B275,"Triangular",IF(B275&lt;=($C$9-$B$9)/($D$9-$B$9),$B$9+SQRT(B275*($D$9-$B$9)*($C$9-$B$9)),$D$9-SQRT((1-B275)*($D$9-$B$9)*($D$9-$C$9))),"PERT",_xlfn.BETA.INV(B275,1+$B$6*($C$9-$B$9)/($D$9-$B$9),1+$B$6*($D$9-$C$9)/($D$9-$B$9),$B$9,$D$9))</f>
        <v>2.0984211088527664</v>
      </c>
      <c r="E275" s="94" cm="1">
        <f t="array" aca="1" ref="E275" ca="1">_xlfn.SWITCH($B$4,"Normal MLE",EXP(_xlfn.NORM.INV(C275,LN($C$10),$E$10/$C$10)),"Uniforme",$B$10+($D$10-$B$10)*C275,"Triangular",IF(C275&lt;=($C$10-$B$10)/($D$10-$B$10),$B$10+SQRT(C275*($D$10-$B$10)*($C$10-$B$10)),$D$10-SQRT((1-C275)*($D$10-$B$10)*($D$10-$C$10))),"PERT",_xlfn.BETA.INV(C275,1+$B$6*($C$10-$B$10)/($D$10-$B$10),1+$B$6*($D$10-$C$10)/($D$10-$B$10),$B$10,$D$10))</f>
        <v>5240.1430470198184</v>
      </c>
      <c r="F275" s="88">
        <f t="shared" ca="1" si="13"/>
        <v>0.56699680823014686</v>
      </c>
      <c r="G275" s="89">
        <f t="shared" ca="1" si="14"/>
        <v>1.6877333363330145E-4</v>
      </c>
    </row>
    <row r="276" spans="1:7" x14ac:dyDescent="0.35">
      <c r="A276" s="84">
        <v>261</v>
      </c>
      <c r="B276" s="84">
        <f t="shared" ca="1" si="12"/>
        <v>0.88747041800977711</v>
      </c>
      <c r="C276" s="84">
        <f t="shared" ca="1" si="12"/>
        <v>0.54981009421990124</v>
      </c>
      <c r="D276" s="93" cm="1">
        <f t="array" aca="1" ref="D276" ca="1">_xlfn.SWITCH($B$4,"Normal MLE",EXP(_xlfn.NORM.INV(B276,LN($C$9),$E$9/$C$9)),"Uniforme",$B$9+($D$9-$B$9)*B276,"Triangular",IF(B276&lt;=($C$9-$B$9)/($D$9-$B$9),$B$9+SQRT(B276*($D$9-$B$9)*($C$9-$B$9)),$D$9-SQRT((1-B276)*($D$9-$B$9)*($D$9-$C$9))),"PERT",_xlfn.BETA.INV(B276,1+$B$6*($C$9-$B$9)/($D$9-$B$9),1+$B$6*($D$9-$C$9)/($D$9-$B$9),$B$9,$D$9))</f>
        <v>2.1213837921379803</v>
      </c>
      <c r="E276" s="94" cm="1">
        <f t="array" aca="1" ref="E276" ca="1">_xlfn.SWITCH($B$4,"Normal MLE",EXP(_xlfn.NORM.INV(C276,LN($C$10),$E$10/$C$10)),"Uniforme",$B$10+($D$10-$B$10)*C276,"Triangular",IF(C276&lt;=($C$10-$B$10)/($D$10-$B$10),$B$10+SQRT(C276*($D$10-$B$10)*($C$10-$B$10)),$D$10-SQRT((1-C276)*($D$10-$B$10)*($D$10-$C$10))),"PERT",_xlfn.BETA.INV(C276,1+$B$6*($C$10-$B$10)/($D$10-$B$10),1+$B$6*($D$10-$C$10)/($D$10-$B$10),$B$10,$D$10))</f>
        <v>5129.5700769059076</v>
      </c>
      <c r="F276" s="88">
        <f t="shared" ca="1" si="13"/>
        <v>0.55433177237633968</v>
      </c>
      <c r="G276" s="89">
        <f t="shared" ca="1" si="14"/>
        <v>1.7345030950218139E-4</v>
      </c>
    </row>
    <row r="277" spans="1:7" x14ac:dyDescent="0.35">
      <c r="A277" s="84">
        <v>262</v>
      </c>
      <c r="B277" s="84">
        <f t="shared" ca="1" si="12"/>
        <v>5.1252645265833841E-2</v>
      </c>
      <c r="C277" s="84">
        <f t="shared" ca="1" si="12"/>
        <v>0.3403715899162173</v>
      </c>
      <c r="D277" s="93" cm="1">
        <f t="array" aca="1" ref="D277" ca="1">_xlfn.SWITCH($B$4,"Normal MLE",EXP(_xlfn.NORM.INV(B277,LN($C$9),$E$9/$C$9)),"Uniforme",$B$9+($D$9-$B$9)*B277,"Triangular",IF(B277&lt;=($C$9-$B$9)/($D$9-$B$9),$B$9+SQRT(B277*($D$9-$B$9)*($C$9-$B$9)),$D$9-SQRT((1-B277)*($D$9-$B$9)*($D$9-$C$9))),"PERT",_xlfn.BETA.INV(B277,1+$B$6*($C$9-$B$9)/($D$9-$B$9),1+$B$6*($D$9-$C$9)/($D$9-$B$9),$B$9,$D$9))</f>
        <v>1.7361220452938606</v>
      </c>
      <c r="E277" s="94" cm="1">
        <f t="array" aca="1" ref="E277" ca="1">_xlfn.SWITCH($B$4,"Normal MLE",EXP(_xlfn.NORM.INV(C277,LN($C$10),$E$10/$C$10)),"Uniforme",$B$10+($D$10-$B$10)*C277,"Triangular",IF(C277&lt;=($C$10-$B$10)/($D$10-$B$10),$B$10+SQRT(C277*($D$10-$B$10)*($C$10-$B$10)),$D$10-SQRT((1-C277)*($D$10-$B$10)*($D$10-$C$10))),"PERT",_xlfn.BETA.INV(C277,1+$B$6*($C$10-$B$10)/($D$10-$B$10),1+$B$6*($D$10-$C$10)/($D$10-$B$10),$B$10,$D$10))</f>
        <v>5003.0619433810834</v>
      </c>
      <c r="F277" s="88">
        <f t="shared" ca="1" si="13"/>
        <v>0.50758281516927783</v>
      </c>
      <c r="G277" s="89">
        <f t="shared" ca="1" si="14"/>
        <v>1.4938877569551189E-4</v>
      </c>
    </row>
    <row r="278" spans="1:7" x14ac:dyDescent="0.35">
      <c r="A278" s="84">
        <v>263</v>
      </c>
      <c r="B278" s="84">
        <f t="shared" ca="1" si="12"/>
        <v>0.88746395799455557</v>
      </c>
      <c r="C278" s="84">
        <f t="shared" ca="1" si="12"/>
        <v>0.47801262202759998</v>
      </c>
      <c r="D278" s="93" cm="1">
        <f t="array" aca="1" ref="D278" ca="1">_xlfn.SWITCH($B$4,"Normal MLE",EXP(_xlfn.NORM.INV(B278,LN($C$9),$E$9/$C$9)),"Uniforme",$B$9+($D$9-$B$9)*B278,"Triangular",IF(B278&lt;=($C$9-$B$9)/($D$9-$B$9),$B$9+SQRT(B278*($D$9-$B$9)*($C$9-$B$9)),$D$9-SQRT((1-B278)*($D$9-$B$9)*($D$9-$C$9))),"PERT",_xlfn.BETA.INV(B278,1+$B$6*($C$9-$B$9)/($D$9-$B$9),1+$B$6*($D$9-$C$9)/($D$9-$B$9),$B$9,$D$9))</f>
        <v>2.1213787428844486</v>
      </c>
      <c r="E278" s="94" cm="1">
        <f t="array" aca="1" ref="E278" ca="1">_xlfn.SWITCH($B$4,"Normal MLE",EXP(_xlfn.NORM.INV(C278,LN($C$10),$E$10/$C$10)),"Uniforme",$B$10+($D$10-$B$10)*C278,"Triangular",IF(C278&lt;=($C$10-$B$10)/($D$10-$B$10),$B$10+SQRT(C278*($D$10-$B$10)*($C$10-$B$10)),$D$10-SQRT((1-C278)*($D$10-$B$10)*($D$10-$C$10))),"PERT",_xlfn.BETA.INV(C278,1+$B$6*($C$10-$B$10)/($D$10-$B$10),1+$B$6*($D$10-$C$10)/($D$10-$B$10),$B$10,$D$10))</f>
        <v>5086.706733967223</v>
      </c>
      <c r="F278" s="88">
        <f t="shared" ca="1" si="13"/>
        <v>0.54848840860343828</v>
      </c>
      <c r="G278" s="89">
        <f t="shared" ca="1" si="14"/>
        <v>1.7470411910122744E-4</v>
      </c>
    </row>
    <row r="279" spans="1:7" x14ac:dyDescent="0.35">
      <c r="A279" s="84">
        <v>264</v>
      </c>
      <c r="B279" s="84">
        <f t="shared" ca="1" si="12"/>
        <v>0.19877150299660096</v>
      </c>
      <c r="C279" s="84">
        <f t="shared" ca="1" si="12"/>
        <v>0.87771698570299173</v>
      </c>
      <c r="D279" s="93" cm="1">
        <f t="array" aca="1" ref="D279" ca="1">_xlfn.SWITCH($B$4,"Normal MLE",EXP(_xlfn.NORM.INV(B279,LN($C$9),$E$9/$C$9)),"Uniforme",$B$9+($D$9-$B$9)*B279,"Triangular",IF(B279&lt;=($C$9-$B$9)/($D$9-$B$9),$B$9+SQRT(B279*($D$9-$B$9)*($C$9-$B$9)),$D$9-SQRT((1-B279)*($D$9-$B$9)*($D$9-$C$9))),"PERT",_xlfn.BETA.INV(B279,1+$B$6*($C$9-$B$9)/($D$9-$B$9),1+$B$6*($D$9-$C$9)/($D$9-$B$9),$B$9,$D$9))</f>
        <v>1.8350296945931357</v>
      </c>
      <c r="E279" s="94" cm="1">
        <f t="array" aca="1" ref="E279" ca="1">_xlfn.SWITCH($B$4,"Normal MLE",EXP(_xlfn.NORM.INV(C279,LN($C$10),$E$10/$C$10)),"Uniforme",$B$10+($D$10-$B$10)*C279,"Triangular",IF(C279&lt;=($C$10-$B$10)/($D$10-$B$10),$B$10+SQRT(C279*($D$10-$B$10)*($C$10-$B$10)),$D$10-SQRT((1-C279)*($D$10-$B$10)*($D$10-$C$10))),"PERT",_xlfn.BETA.INV(C279,1+$B$6*($C$10-$B$10)/($D$10-$B$10),1+$B$6*($D$10-$C$10)/($D$10-$B$10),$B$10,$D$10))</f>
        <v>5383.5404440495122</v>
      </c>
      <c r="F279" s="88">
        <f t="shared" ca="1" si="13"/>
        <v>0.56001910560067114</v>
      </c>
      <c r="G279" s="89">
        <f t="shared" ca="1" si="14"/>
        <v>1.4895409890533154E-4</v>
      </c>
    </row>
    <row r="280" spans="1:7" x14ac:dyDescent="0.35">
      <c r="A280" s="84">
        <v>265</v>
      </c>
      <c r="B280" s="84">
        <f t="shared" ca="1" si="12"/>
        <v>0.66051445592504954</v>
      </c>
      <c r="C280" s="84">
        <f t="shared" ca="1" si="12"/>
        <v>0.14931143841992156</v>
      </c>
      <c r="D280" s="93" cm="1">
        <f t="array" aca="1" ref="D280" ca="1">_xlfn.SWITCH($B$4,"Normal MLE",EXP(_xlfn.NORM.INV(B280,LN($C$9),$E$9/$C$9)),"Uniforme",$B$9+($D$9-$B$9)*B280,"Triangular",IF(B280&lt;=($C$9-$B$9)/($D$9-$B$9),$B$9+SQRT(B280*($D$9-$B$9)*($C$9-$B$9)),$D$9-SQRT((1-B280)*($D$9-$B$9)*($D$9-$C$9))),"PERT",_xlfn.BETA.INV(B280,1+$B$6*($C$9-$B$9)/($D$9-$B$9),1+$B$6*($D$9-$C$9)/($D$9-$B$9),$B$9,$D$9))</f>
        <v>2.0052747961906725</v>
      </c>
      <c r="E280" s="94" cm="1">
        <f t="array" aca="1" ref="E280" ca="1">_xlfn.SWITCH($B$4,"Normal MLE",EXP(_xlfn.NORM.INV(C280,LN($C$10),$E$10/$C$10)),"Uniforme",$B$10+($D$10-$B$10)*C280,"Triangular",IF(C280&lt;=($C$10-$B$10)/($D$10-$B$10),$B$10+SQRT(C280*($D$10-$B$10)*($C$10-$B$10)),$D$10-SQRT((1-C280)*($D$10-$B$10)*($D$10-$C$10))),"PERT",_xlfn.BETA.INV(C280,1+$B$6*($C$10-$B$10)/($D$10-$B$10),1+$B$6*($D$10-$C$10)/($D$10-$B$10),$B$10,$D$10))</f>
        <v>4858.9835880452265</v>
      </c>
      <c r="F280" s="88">
        <f t="shared" ca="1" si="13"/>
        <v>0.50814323950788187</v>
      </c>
      <c r="G280" s="89">
        <f t="shared" ca="1" si="14"/>
        <v>1.7245807366625236E-4</v>
      </c>
    </row>
    <row r="281" spans="1:7" x14ac:dyDescent="0.35">
      <c r="A281" s="84">
        <v>266</v>
      </c>
      <c r="B281" s="84">
        <f t="shared" ca="1" si="12"/>
        <v>0.29430457786621766</v>
      </c>
      <c r="C281" s="84">
        <f t="shared" ca="1" si="12"/>
        <v>0.18302437457211307</v>
      </c>
      <c r="D281" s="93" cm="1">
        <f t="array" aca="1" ref="D281" ca="1">_xlfn.SWITCH($B$4,"Normal MLE",EXP(_xlfn.NORM.INV(B281,LN($C$9),$E$9/$C$9)),"Uniforme",$B$9+($D$9-$B$9)*B281,"Triangular",IF(B281&lt;=($C$9-$B$9)/($D$9-$B$9),$B$9+SQRT(B281*($D$9-$B$9)*($C$9-$B$9)),$D$9-SQRT((1-B281)*($D$9-$B$9)*($D$9-$C$9))),"PERT",_xlfn.BETA.INV(B281,1+$B$6*($C$9-$B$9)/($D$9-$B$9),1+$B$6*($D$9-$C$9)/($D$9-$B$9),$B$9,$D$9))</f>
        <v>1.8748904102949289</v>
      </c>
      <c r="E281" s="94" cm="1">
        <f t="array" aca="1" ref="E281" ca="1">_xlfn.SWITCH($B$4,"Normal MLE",EXP(_xlfn.NORM.INV(C281,LN($C$10),$E$10/$C$10)),"Uniforme",$B$10+($D$10-$B$10)*C281,"Triangular",IF(C281&lt;=($C$10-$B$10)/($D$10-$B$10),$B$10+SQRT(C281*($D$10-$B$10)*($C$10-$B$10)),$D$10-SQRT((1-C281)*($D$10-$B$10)*($D$10-$C$10))),"PERT",_xlfn.BETA.INV(C281,1+$B$6*($C$10-$B$10)/($D$10-$B$10),1+$B$6*($D$10-$C$10)/($D$10-$B$10),$B$10,$D$10))</f>
        <v>4889.716320253</v>
      </c>
      <c r="F281" s="88">
        <f t="shared" ca="1" si="13"/>
        <v>0.50347418169111369</v>
      </c>
      <c r="G281" s="89">
        <f t="shared" ca="1" si="14"/>
        <v>1.6194154325967105E-4</v>
      </c>
    </row>
    <row r="282" spans="1:7" x14ac:dyDescent="0.35">
      <c r="A282" s="84">
        <v>267</v>
      </c>
      <c r="B282" s="84">
        <f t="shared" ca="1" si="12"/>
        <v>0.51766618601000414</v>
      </c>
      <c r="C282" s="84">
        <f t="shared" ca="1" si="12"/>
        <v>0.94534725503885864</v>
      </c>
      <c r="D282" s="93" cm="1">
        <f t="array" aca="1" ref="D282" ca="1">_xlfn.SWITCH($B$4,"Normal MLE",EXP(_xlfn.NORM.INV(B282,LN($C$9),$E$9/$C$9)),"Uniforme",$B$9+($D$9-$B$9)*B282,"Triangular",IF(B282&lt;=($C$9-$B$9)/($D$9-$B$9),$B$9+SQRT(B282*($D$9-$B$9)*($C$9-$B$9)),$D$9-SQRT((1-B282)*($D$9-$B$9)*($D$9-$C$9))),"PERT",_xlfn.BETA.INV(B282,1+$B$6*($C$9-$B$9)/($D$9-$B$9),1+$B$6*($D$9-$C$9)/($D$9-$B$9),$B$9,$D$9))</f>
        <v>1.9537608255162726</v>
      </c>
      <c r="E282" s="94" cm="1">
        <f t="array" aca="1" ref="E282" ca="1">_xlfn.SWITCH($B$4,"Normal MLE",EXP(_xlfn.NORM.INV(C282,LN($C$10),$E$10/$C$10)),"Uniforme",$B$10+($D$10-$B$10)*C282,"Triangular",IF(C282&lt;=($C$10-$B$10)/($D$10-$B$10),$B$10+SQRT(C282*($D$10-$B$10)*($C$10-$B$10)),$D$10-SQRT((1-C282)*($D$10-$B$10)*($D$10-$C$10))),"PERT",_xlfn.BETA.INV(C282,1+$B$6*($C$10-$B$10)/($D$10-$B$10),1+$B$6*($D$10-$C$10)/($D$10-$B$10),$B$10,$D$10))</f>
        <v>5494.3101380042117</v>
      </c>
      <c r="F282" s="88">
        <f t="shared" ca="1" si="13"/>
        <v>0.58399767326078988</v>
      </c>
      <c r="G282" s="89">
        <f t="shared" ca="1" si="14"/>
        <v>1.5342296864836726E-4</v>
      </c>
    </row>
    <row r="283" spans="1:7" x14ac:dyDescent="0.35">
      <c r="A283" s="84">
        <v>268</v>
      </c>
      <c r="B283" s="84">
        <f t="shared" ca="1" si="12"/>
        <v>0.47759533257030162</v>
      </c>
      <c r="C283" s="84">
        <f t="shared" ca="1" si="12"/>
        <v>0.69458283984182723</v>
      </c>
      <c r="D283" s="93" cm="1">
        <f t="array" aca="1" ref="D283" ca="1">_xlfn.SWITCH($B$4,"Normal MLE",EXP(_xlfn.NORM.INV(B283,LN($C$9),$E$9/$C$9)),"Uniforme",$B$9+($D$9-$B$9)*B283,"Triangular",IF(B283&lt;=($C$9-$B$9)/($D$9-$B$9),$B$9+SQRT(B283*($D$9-$B$9)*($C$9-$B$9)),$D$9-SQRT((1-B283)*($D$9-$B$9)*($D$9-$C$9))),"PERT",_xlfn.BETA.INV(B283,1+$B$6*($C$9-$B$9)/($D$9-$B$9),1+$B$6*($D$9-$C$9)/($D$9-$B$9),$B$9,$D$9))</f>
        <v>1.9399843731705859</v>
      </c>
      <c r="E283" s="94" cm="1">
        <f t="array" aca="1" ref="E283" ca="1">_xlfn.SWITCH($B$4,"Normal MLE",EXP(_xlfn.NORM.INV(C283,LN($C$10),$E$10/$C$10)),"Uniforme",$B$10+($D$10-$B$10)*C283,"Triangular",IF(C283&lt;=($C$10-$B$10)/($D$10-$B$10),$B$10+SQRT(C283*($D$10-$B$10)*($C$10-$B$10)),$D$10-SQRT((1-C283)*($D$10-$B$10)*($D$10-$C$10))),"PERT",_xlfn.BETA.INV(C283,1+$B$6*($C$10-$B$10)/($D$10-$B$10),1+$B$6*($D$10-$C$10)/($D$10-$B$10),$B$10,$D$10))</f>
        <v>5221.982512599242</v>
      </c>
      <c r="F283" s="88">
        <f t="shared" ca="1" si="13"/>
        <v>0.55089691367682747</v>
      </c>
      <c r="G283" s="89">
        <f t="shared" ca="1" si="14"/>
        <v>1.5929644013452332E-4</v>
      </c>
    </row>
    <row r="284" spans="1:7" x14ac:dyDescent="0.35">
      <c r="A284" s="84">
        <v>269</v>
      </c>
      <c r="B284" s="84">
        <f t="shared" ca="1" si="12"/>
        <v>0.57991384978548155</v>
      </c>
      <c r="C284" s="84">
        <f t="shared" ca="1" si="12"/>
        <v>0.58418865645108331</v>
      </c>
      <c r="D284" s="93" cm="1">
        <f t="array" aca="1" ref="D284" ca="1">_xlfn.SWITCH($B$4,"Normal MLE",EXP(_xlfn.NORM.INV(B284,LN($C$9),$E$9/$C$9)),"Uniforme",$B$9+($D$9-$B$9)*B284,"Triangular",IF(B284&lt;=($C$9-$B$9)/($D$9-$B$9),$B$9+SQRT(B284*($D$9-$B$9)*($C$9-$B$9)),$D$9-SQRT((1-B284)*($D$9-$B$9)*($D$9-$C$9))),"PERT",_xlfn.BETA.INV(B284,1+$B$6*($C$9-$B$9)/($D$9-$B$9),1+$B$6*($D$9-$C$9)/($D$9-$B$9),$B$9,$D$9))</f>
        <v>1.9755334878238784</v>
      </c>
      <c r="E284" s="94" cm="1">
        <f t="array" aca="1" ref="E284" ca="1">_xlfn.SWITCH($B$4,"Normal MLE",EXP(_xlfn.NORM.INV(C284,LN($C$10),$E$10/$C$10)),"Uniforme",$B$10+($D$10-$B$10)*C284,"Triangular",IF(C284&lt;=($C$10-$B$10)/($D$10-$B$10),$B$10+SQRT(C284*($D$10-$B$10)*($C$10-$B$10)),$D$10-SQRT((1-C284)*($D$10-$B$10)*($D$10-$C$10))),"PERT",_xlfn.BETA.INV(C284,1+$B$6*($C$10-$B$10)/($D$10-$B$10),1+$B$6*($D$10-$C$10)/($D$10-$B$10),$B$10,$D$10))</f>
        <v>5150.4844436685516</v>
      </c>
      <c r="F284" s="88">
        <f t="shared" ca="1" si="13"/>
        <v>0.54504334107969077</v>
      </c>
      <c r="G284" s="89">
        <f t="shared" ca="1" si="14"/>
        <v>1.6336740005476152E-4</v>
      </c>
    </row>
    <row r="285" spans="1:7" x14ac:dyDescent="0.35">
      <c r="A285" s="84">
        <v>270</v>
      </c>
      <c r="B285" s="84">
        <f t="shared" ca="1" si="12"/>
        <v>0.81096384492289375</v>
      </c>
      <c r="C285" s="84">
        <f t="shared" ca="1" si="12"/>
        <v>0.37293877011755172</v>
      </c>
      <c r="D285" s="93" cm="1">
        <f t="array" aca="1" ref="D285" ca="1">_xlfn.SWITCH($B$4,"Normal MLE",EXP(_xlfn.NORM.INV(B285,LN($C$9),$E$9/$C$9)),"Uniforme",$B$9+($D$9-$B$9)*B285,"Triangular",IF(B285&lt;=($C$9-$B$9)/($D$9-$B$9),$B$9+SQRT(B285*($D$9-$B$9)*($C$9-$B$9)),$D$9-SQRT((1-B285)*($D$9-$B$9)*($D$9-$C$9))),"PERT",_xlfn.BETA.INV(B285,1+$B$6*($C$9-$B$9)/($D$9-$B$9),1+$B$6*($D$9-$C$9)/($D$9-$B$9),$B$9,$D$9))</f>
        <v>2.0724019049426126</v>
      </c>
      <c r="E285" s="94" cm="1">
        <f t="array" aca="1" ref="E285" ca="1">_xlfn.SWITCH($B$4,"Normal MLE",EXP(_xlfn.NORM.INV(C285,LN($C$10),$E$10/$C$10)),"Uniforme",$B$10+($D$10-$B$10)*C285,"Triangular",IF(C285&lt;=($C$10-$B$10)/($D$10-$B$10),$B$10+SQRT(C285*($D$10-$B$10)*($C$10-$B$10)),$D$10-SQRT((1-C285)*($D$10-$B$10)*($D$10-$C$10))),"PERT",_xlfn.BETA.INV(C285,1+$B$6*($C$10-$B$10)/($D$10-$B$10),1+$B$6*($D$10-$C$10)/($D$10-$B$10),$B$10,$D$10))</f>
        <v>5023.4441432312224</v>
      </c>
      <c r="F285" s="88">
        <f t="shared" ca="1" si="13"/>
        <v>0.53597502044573586</v>
      </c>
      <c r="G285" s="89">
        <f t="shared" ca="1" si="14"/>
        <v>1.7318561218814901E-4</v>
      </c>
    </row>
    <row r="286" spans="1:7" x14ac:dyDescent="0.35">
      <c r="A286" s="84">
        <v>271</v>
      </c>
      <c r="B286" s="84">
        <f t="shared" ca="1" si="12"/>
        <v>0.66783440649527315</v>
      </c>
      <c r="C286" s="84">
        <f t="shared" ca="1" si="12"/>
        <v>0.42579661761122911</v>
      </c>
      <c r="D286" s="93" cm="1">
        <f t="array" aca="1" ref="D286" ca="1">_xlfn.SWITCH($B$4,"Normal MLE",EXP(_xlfn.NORM.INV(B286,LN($C$9),$E$9/$C$9)),"Uniforme",$B$9+($D$9-$B$9)*B286,"Triangular",IF(B286&lt;=($C$9-$B$9)/($D$9-$B$9),$B$9+SQRT(B286*($D$9-$B$9)*($C$9-$B$9)),$D$9-SQRT((1-B286)*($D$9-$B$9)*($D$9-$C$9))),"PERT",_xlfn.BETA.INV(B286,1+$B$6*($C$9-$B$9)/($D$9-$B$9),1+$B$6*($D$9-$C$9)/($D$9-$B$9),$B$9,$D$9))</f>
        <v>2.0081113954493546</v>
      </c>
      <c r="E286" s="94" cm="1">
        <f t="array" aca="1" ref="E286" ca="1">_xlfn.SWITCH($B$4,"Normal MLE",EXP(_xlfn.NORM.INV(C286,LN($C$10),$E$10/$C$10)),"Uniforme",$B$10+($D$10-$B$10)*C286,"Triangular",IF(C286&lt;=($C$10-$B$10)/($D$10-$B$10),$B$10+SQRT(C286*($D$10-$B$10)*($C$10-$B$10)),$D$10-SQRT((1-C286)*($D$10-$B$10)*($D$10-$C$10))),"PERT",_xlfn.BETA.INV(C286,1+$B$6*($C$10-$B$10)/($D$10-$B$10),1+$B$6*($D$10-$C$10)/($D$10-$B$10),$B$10,$D$10))</f>
        <v>5055.5704754471999</v>
      </c>
      <c r="F286" s="88">
        <f t="shared" ca="1" si="13"/>
        <v>0.53535800694531765</v>
      </c>
      <c r="G286" s="89">
        <f t="shared" ca="1" si="14"/>
        <v>1.6792940344025479E-4</v>
      </c>
    </row>
    <row r="287" spans="1:7" x14ac:dyDescent="0.35">
      <c r="A287" s="84">
        <v>272</v>
      </c>
      <c r="B287" s="84">
        <f t="shared" ca="1" si="12"/>
        <v>0.47994336893554745</v>
      </c>
      <c r="C287" s="84">
        <f t="shared" ca="1" si="12"/>
        <v>0.28440752452746787</v>
      </c>
      <c r="D287" s="93" cm="1">
        <f t="array" aca="1" ref="D287" ca="1">_xlfn.SWITCH($B$4,"Normal MLE",EXP(_xlfn.NORM.INV(B287,LN($C$9),$E$9/$C$9)),"Uniforme",$B$9+($D$9-$B$9)*B287,"Triangular",IF(B287&lt;=($C$9-$B$9)/($D$9-$B$9),$B$9+SQRT(B287*($D$9-$B$9)*($C$9-$B$9)),$D$9-SQRT((1-B287)*($D$9-$B$9)*($D$9-$C$9))),"PERT",_xlfn.BETA.INV(B287,1+$B$6*($C$9-$B$9)/($D$9-$B$9),1+$B$6*($D$9-$C$9)/($D$9-$B$9),$B$9,$D$9))</f>
        <v>1.9407897369483593</v>
      </c>
      <c r="E287" s="94" cm="1">
        <f t="array" aca="1" ref="E287" ca="1">_xlfn.SWITCH($B$4,"Normal MLE",EXP(_xlfn.NORM.INV(C287,LN($C$10),$E$10/$C$10)),"Uniforme",$B$10+($D$10-$B$10)*C287,"Triangular",IF(C287&lt;=($C$10-$B$10)/($D$10-$B$10),$B$10+SQRT(C287*($D$10-$B$10)*($C$10-$B$10)),$D$10-SQRT((1-C287)*($D$10-$B$10)*($D$10-$C$10))),"PERT",_xlfn.BETA.INV(C287,1+$B$6*($C$10-$B$10)/($D$10-$B$10),1+$B$6*($D$10-$C$10)/($D$10-$B$10),$B$10,$D$10))</f>
        <v>4966.3317381637726</v>
      </c>
      <c r="F287" s="88">
        <f t="shared" ca="1" si="13"/>
        <v>0.51836697298734435</v>
      </c>
      <c r="G287" s="89">
        <f t="shared" ca="1" si="14"/>
        <v>1.652603535956153E-4</v>
      </c>
    </row>
    <row r="288" spans="1:7" x14ac:dyDescent="0.35">
      <c r="A288" s="84">
        <v>273</v>
      </c>
      <c r="B288" s="84">
        <f t="shared" ca="1" si="12"/>
        <v>0.32205806158787931</v>
      </c>
      <c r="C288" s="84">
        <f t="shared" ca="1" si="12"/>
        <v>0.18405238091097853</v>
      </c>
      <c r="D288" s="93" cm="1">
        <f t="array" aca="1" ref="D288" ca="1">_xlfn.SWITCH($B$4,"Normal MLE",EXP(_xlfn.NORM.INV(B288,LN($C$9),$E$9/$C$9)),"Uniforme",$B$9+($D$9-$B$9)*B288,"Triangular",IF(B288&lt;=($C$9-$B$9)/($D$9-$B$9),$B$9+SQRT(B288*($D$9-$B$9)*($C$9-$B$9)),$D$9-SQRT((1-B288)*($D$9-$B$9)*($D$9-$C$9))),"PERT",_xlfn.BETA.INV(B288,1+$B$6*($C$9-$B$9)/($D$9-$B$9),1+$B$6*($D$9-$C$9)/($D$9-$B$9),$B$9,$D$9))</f>
        <v>1.885336630924707</v>
      </c>
      <c r="E288" s="94" cm="1">
        <f t="array" aca="1" ref="E288" ca="1">_xlfn.SWITCH($B$4,"Normal MLE",EXP(_xlfn.NORM.INV(C288,LN($C$10),$E$10/$C$10)),"Uniforme",$B$10+($D$10-$B$10)*C288,"Triangular",IF(C288&lt;=($C$10-$B$10)/($D$10-$B$10),$B$10+SQRT(C288*($D$10-$B$10)*($C$10-$B$10)),$D$10-SQRT((1-C288)*($D$10-$B$10)*($D$10-$C$10))),"PERT",_xlfn.BETA.INV(C288,1+$B$6*($C$10-$B$10)/($D$10-$B$10),1+$B$6*($D$10-$C$10)/($D$10-$B$10),$B$10,$D$10))</f>
        <v>4890.597043743127</v>
      </c>
      <c r="F288" s="88">
        <f t="shared" ca="1" si="13"/>
        <v>0.50431602847829515</v>
      </c>
      <c r="G288" s="89">
        <f t="shared" ca="1" si="14"/>
        <v>1.627189882330316E-4</v>
      </c>
    </row>
    <row r="289" spans="1:7" x14ac:dyDescent="0.35">
      <c r="A289" s="84">
        <v>274</v>
      </c>
      <c r="B289" s="84">
        <f t="shared" ca="1" si="12"/>
        <v>0.82247372068493563</v>
      </c>
      <c r="C289" s="84">
        <f t="shared" ca="1" si="12"/>
        <v>0.24456930683233802</v>
      </c>
      <c r="D289" s="93" cm="1">
        <f t="array" aca="1" ref="D289" ca="1">_xlfn.SWITCH($B$4,"Normal MLE",EXP(_xlfn.NORM.INV(B289,LN($C$9),$E$9/$C$9)),"Uniforme",$B$9+($D$9-$B$9)*B289,"Triangular",IF(B289&lt;=($C$9-$B$9)/($D$9-$B$9),$B$9+SQRT(B289*($D$9-$B$9)*($C$9-$B$9)),$D$9-SQRT((1-B289)*($D$9-$B$9)*($D$9-$C$9))),"PERT",_xlfn.BETA.INV(B289,1+$B$6*($C$9-$B$9)/($D$9-$B$9),1+$B$6*($D$9-$C$9)/($D$9-$B$9),$B$9,$D$9))</f>
        <v>2.0787423134338741</v>
      </c>
      <c r="E289" s="94" cm="1">
        <f t="array" aca="1" ref="E289" ca="1">_xlfn.SWITCH($B$4,"Normal MLE",EXP(_xlfn.NORM.INV(C289,LN($C$10),$E$10/$C$10)),"Uniforme",$B$10+($D$10-$B$10)*C289,"Triangular",IF(C289&lt;=($C$10-$B$10)/($D$10-$B$10),$B$10+SQRT(C289*($D$10-$B$10)*($C$10-$B$10)),$D$10-SQRT((1-C289)*($D$10-$B$10)*($D$10-$C$10))),"PERT",_xlfn.BETA.INV(C289,1+$B$6*($C$10-$B$10)/($D$10-$B$10),1+$B$6*($D$10-$C$10)/($D$10-$B$10),$B$10,$D$10))</f>
        <v>4938.2439525754389</v>
      </c>
      <c r="F289" s="88">
        <f t="shared" ca="1" si="13"/>
        <v>0.52449945703355916</v>
      </c>
      <c r="G289" s="89">
        <f t="shared" ca="1" si="14"/>
        <v>1.7589548815870052E-4</v>
      </c>
    </row>
    <row r="290" spans="1:7" x14ac:dyDescent="0.35">
      <c r="A290" s="84">
        <v>275</v>
      </c>
      <c r="B290" s="84">
        <f t="shared" ca="1" si="12"/>
        <v>0.74593758531326759</v>
      </c>
      <c r="C290" s="84">
        <f t="shared" ca="1" si="12"/>
        <v>0.24263624092982705</v>
      </c>
      <c r="D290" s="93" cm="1">
        <f t="array" aca="1" ref="D290" ca="1">_xlfn.SWITCH($B$4,"Normal MLE",EXP(_xlfn.NORM.INV(B290,LN($C$9),$E$9/$C$9)),"Uniforme",$B$9+($D$9-$B$9)*B290,"Triangular",IF(B290&lt;=($C$9-$B$9)/($D$9-$B$9),$B$9+SQRT(B290*($D$9-$B$9)*($C$9-$B$9)),$D$9-SQRT((1-B290)*($D$9-$B$9)*($D$9-$C$9))),"PERT",_xlfn.BETA.INV(B290,1+$B$6*($C$9-$B$9)/($D$9-$B$9),1+$B$6*($D$9-$C$9)/($D$9-$B$9),$B$9,$D$9))</f>
        <v>2.0405871491662939</v>
      </c>
      <c r="E290" s="94" cm="1">
        <f t="array" aca="1" ref="E290" ca="1">_xlfn.SWITCH($B$4,"Normal MLE",EXP(_xlfn.NORM.INV(C290,LN($C$10),$E$10/$C$10)),"Uniforme",$B$10+($D$10-$B$10)*C290,"Triangular",IF(C290&lt;=($C$10-$B$10)/($D$10-$B$10),$B$10+SQRT(C290*($D$10-$B$10)*($C$10-$B$10)),$D$10-SQRT((1-C290)*($D$10-$B$10)*($D$10-$C$10))),"PERT",_xlfn.BETA.INV(C290,1+$B$6*($C$10-$B$10)/($D$10-$B$10),1+$B$6*($D$10-$C$10)/($D$10-$B$10),$B$10,$D$10))</f>
        <v>4936.8267349910029</v>
      </c>
      <c r="F290" s="88">
        <f t="shared" ca="1" si="13"/>
        <v>0.52157554779822601</v>
      </c>
      <c r="G290" s="89">
        <f t="shared" ca="1" si="14"/>
        <v>1.7319183624992754E-4</v>
      </c>
    </row>
    <row r="291" spans="1:7" x14ac:dyDescent="0.35">
      <c r="A291" s="84">
        <v>276</v>
      </c>
      <c r="B291" s="84">
        <f t="shared" ca="1" si="12"/>
        <v>0.7867399963638857</v>
      </c>
      <c r="C291" s="84">
        <f t="shared" ca="1" si="12"/>
        <v>0.8533433738345696</v>
      </c>
      <c r="D291" s="93" cm="1">
        <f t="array" aca="1" ref="D291" ca="1">_xlfn.SWITCH($B$4,"Normal MLE",EXP(_xlfn.NORM.INV(B291,LN($C$9),$E$9/$C$9)),"Uniforme",$B$9+($D$9-$B$9)*B291,"Triangular",IF(B291&lt;=($C$9-$B$9)/($D$9-$B$9),$B$9+SQRT(B291*($D$9-$B$9)*($C$9-$B$9)),$D$9-SQRT((1-B291)*($D$9-$B$9)*($D$9-$C$9))),"PERT",_xlfn.BETA.INV(B291,1+$B$6*($C$9-$B$9)/($D$9-$B$9),1+$B$6*($D$9-$C$9)/($D$9-$B$9),$B$9,$D$9))</f>
        <v>2.059846717221292</v>
      </c>
      <c r="E291" s="94" cm="1">
        <f t="array" aca="1" ref="E291" ca="1">_xlfn.SWITCH($B$4,"Normal MLE",EXP(_xlfn.NORM.INV(C291,LN($C$10),$E$10/$C$10)),"Uniforme",$B$10+($D$10-$B$10)*C291,"Triangular",IF(C291&lt;=($C$10-$B$10)/($D$10-$B$10),$B$10+SQRT(C291*($D$10-$B$10)*($C$10-$B$10)),$D$10-SQRT((1-C291)*($D$10-$B$10)*($D$10-$C$10))),"PERT",_xlfn.BETA.INV(C291,1+$B$6*($C$10-$B$10)/($D$10-$B$10),1+$B$6*($D$10-$C$10)/($D$10-$B$10),$B$10,$D$10))</f>
        <v>5355.3637200362564</v>
      </c>
      <c r="F291" s="88">
        <f t="shared" ca="1" si="13"/>
        <v>0.57797561651914686</v>
      </c>
      <c r="G291" s="89">
        <f t="shared" ca="1" si="14"/>
        <v>1.6317069156024863E-4</v>
      </c>
    </row>
    <row r="292" spans="1:7" x14ac:dyDescent="0.35">
      <c r="A292" s="84">
        <v>277</v>
      </c>
      <c r="B292" s="84">
        <f t="shared" ca="1" si="12"/>
        <v>0.90814756314729983</v>
      </c>
      <c r="C292" s="84">
        <f t="shared" ca="1" si="12"/>
        <v>0.92893999416337891</v>
      </c>
      <c r="D292" s="93" cm="1">
        <f t="array" aca="1" ref="D292" ca="1">_xlfn.SWITCH($B$4,"Normal MLE",EXP(_xlfn.NORM.INV(B292,LN($C$9),$E$9/$C$9)),"Uniforme",$B$9+($D$9-$B$9)*B292,"Triangular",IF(B292&lt;=($C$9-$B$9)/($D$9-$B$9),$B$9+SQRT(B292*($D$9-$B$9)*($C$9-$B$9)),$D$9-SQRT((1-B292)*($D$9-$B$9)*($D$9-$C$9))),"PERT",_xlfn.BETA.INV(B292,1+$B$6*($C$9-$B$9)/($D$9-$B$9),1+$B$6*($D$9-$C$9)/($D$9-$B$9),$B$9,$D$9))</f>
        <v>2.138821130529037</v>
      </c>
      <c r="E292" s="94" cm="1">
        <f t="array" aca="1" ref="E292" ca="1">_xlfn.SWITCH($B$4,"Normal MLE",EXP(_xlfn.NORM.INV(C292,LN($C$10),$E$10/$C$10)),"Uniforme",$B$10+($D$10-$B$10)*C292,"Triangular",IF(C292&lt;=($C$10-$B$10)/($D$10-$B$10),$B$10+SQRT(C292*($D$10-$B$10)*($C$10-$B$10)),$D$10-SQRT((1-C292)*($D$10-$B$10)*($D$10-$C$10))),"PERT",_xlfn.BETA.INV(C292,1+$B$6*($C$10-$B$10)/($D$10-$B$10),1+$B$6*($D$10-$C$10)/($D$10-$B$10),$B$10,$D$10))</f>
        <v>5460.3137904710165</v>
      </c>
      <c r="F292" s="88">
        <f t="shared" ca="1" si="13"/>
        <v>0.59812746619097912</v>
      </c>
      <c r="G292" s="89">
        <f t="shared" ca="1" si="14"/>
        <v>1.6437291935358662E-4</v>
      </c>
    </row>
    <row r="293" spans="1:7" x14ac:dyDescent="0.35">
      <c r="A293" s="84">
        <v>278</v>
      </c>
      <c r="B293" s="84">
        <f t="shared" ca="1" si="12"/>
        <v>0.63192393598492158</v>
      </c>
      <c r="C293" s="84">
        <f t="shared" ca="1" si="12"/>
        <v>0.69211398271703684</v>
      </c>
      <c r="D293" s="93" cm="1">
        <f t="array" aca="1" ref="D293" ca="1">_xlfn.SWITCH($B$4,"Normal MLE",EXP(_xlfn.NORM.INV(B293,LN($C$9),$E$9/$C$9)),"Uniforme",$B$9+($D$9-$B$9)*B293,"Triangular",IF(B293&lt;=($C$9-$B$9)/($D$9-$B$9),$B$9+SQRT(B293*($D$9-$B$9)*($C$9-$B$9)),$D$9-SQRT((1-B293)*($D$9-$B$9)*($D$9-$C$9))),"PERT",_xlfn.BETA.INV(B293,1+$B$6*($C$9-$B$9)/($D$9-$B$9),1+$B$6*($D$9-$C$9)/($D$9-$B$9),$B$9,$D$9))</f>
        <v>1.9944430559628061</v>
      </c>
      <c r="E293" s="94" cm="1">
        <f t="array" aca="1" ref="E293" ca="1">_xlfn.SWITCH($B$4,"Normal MLE",EXP(_xlfn.NORM.INV(C293,LN($C$10),$E$10/$C$10)),"Uniforme",$B$10+($D$10-$B$10)*C293,"Triangular",IF(C293&lt;=($C$10-$B$10)/($D$10-$B$10),$B$10+SQRT(C293*($D$10-$B$10)*($C$10-$B$10)),$D$10-SQRT((1-C293)*($D$10-$B$10)*($D$10-$C$10))),"PERT",_xlfn.BETA.INV(C293,1+$B$6*($C$10-$B$10)/($D$10-$B$10),1+$B$6*($D$10-$C$10)/($D$10-$B$10),$B$10,$D$10))</f>
        <v>5220.2741399136667</v>
      </c>
      <c r="F293" s="88">
        <f t="shared" ca="1" si="13"/>
        <v>0.55543809868369798</v>
      </c>
      <c r="G293" s="89">
        <f t="shared" ca="1" si="14"/>
        <v>1.6284455632906535E-4</v>
      </c>
    </row>
    <row r="294" spans="1:7" x14ac:dyDescent="0.35">
      <c r="A294" s="84">
        <v>279</v>
      </c>
      <c r="B294" s="84">
        <f t="shared" ca="1" si="12"/>
        <v>0.31537524842706521</v>
      </c>
      <c r="C294" s="84">
        <f t="shared" ca="1" si="12"/>
        <v>0.21099470725139213</v>
      </c>
      <c r="D294" s="93" cm="1">
        <f t="array" aca="1" ref="D294" ca="1">_xlfn.SWITCH($B$4,"Normal MLE",EXP(_xlfn.NORM.INV(B294,LN($C$9),$E$9/$C$9)),"Uniforme",$B$9+($D$9-$B$9)*B294,"Triangular",IF(B294&lt;=($C$9-$B$9)/($D$9-$B$9),$B$9+SQRT(B294*($D$9-$B$9)*($C$9-$B$9)),$D$9-SQRT((1-B294)*($D$9-$B$9)*($D$9-$C$9))),"PERT",_xlfn.BETA.INV(B294,1+$B$6*($C$9-$B$9)/($D$9-$B$9),1+$B$6*($D$9-$C$9)/($D$9-$B$9),$B$9,$D$9))</f>
        <v>1.8828530089891711</v>
      </c>
      <c r="E294" s="94" cm="1">
        <f t="array" aca="1" ref="E294" ca="1">_xlfn.SWITCH($B$4,"Normal MLE",EXP(_xlfn.NORM.INV(C294,LN($C$10),$E$10/$C$10)),"Uniforme",$B$10+($D$10-$B$10)*C294,"Triangular",IF(C294&lt;=($C$10-$B$10)/($D$10-$B$10),$B$10+SQRT(C294*($D$10-$B$10)*($C$10-$B$10)),$D$10-SQRT((1-C294)*($D$10-$B$10)*($D$10-$C$10))),"PERT",_xlfn.BETA.INV(C294,1+$B$6*($C$10-$B$10)/($D$10-$B$10),1+$B$6*($D$10-$C$10)/($D$10-$B$10),$B$10,$D$10))</f>
        <v>4912.7347095487712</v>
      </c>
      <c r="F294" s="88">
        <f t="shared" ca="1" si="13"/>
        <v>0.50707588330145603</v>
      </c>
      <c r="G294" s="89">
        <f t="shared" ca="1" si="14"/>
        <v>1.620912861083192E-4</v>
      </c>
    </row>
    <row r="295" spans="1:7" x14ac:dyDescent="0.35">
      <c r="A295" s="84">
        <v>280</v>
      </c>
      <c r="B295" s="84">
        <f t="shared" ca="1" si="12"/>
        <v>0.28680421062955419</v>
      </c>
      <c r="C295" s="84">
        <f t="shared" ca="1" si="12"/>
        <v>0.24775600147848986</v>
      </c>
      <c r="D295" s="93" cm="1">
        <f t="array" aca="1" ref="D295" ca="1">_xlfn.SWITCH($B$4,"Normal MLE",EXP(_xlfn.NORM.INV(B295,LN($C$9),$E$9/$C$9)),"Uniforme",$B$9+($D$9-$B$9)*B295,"Triangular",IF(B295&lt;=($C$9-$B$9)/($D$9-$B$9),$B$9+SQRT(B295*($D$9-$B$9)*($C$9-$B$9)),$D$9-SQRT((1-B295)*($D$9-$B$9)*($D$9-$C$9))),"PERT",_xlfn.BETA.INV(B295,1+$B$6*($C$9-$B$9)/($D$9-$B$9),1+$B$6*($D$9-$C$9)/($D$9-$B$9),$B$9,$D$9))</f>
        <v>1.8720021929260962</v>
      </c>
      <c r="E295" s="94" cm="1">
        <f t="array" aca="1" ref="E295" ca="1">_xlfn.SWITCH($B$4,"Normal MLE",EXP(_xlfn.NORM.INV(C295,LN($C$10),$E$10/$C$10)),"Uniforme",$B$10+($D$10-$B$10)*C295,"Triangular",IF(C295&lt;=($C$10-$B$10)/($D$10-$B$10),$B$10+SQRT(C295*($D$10-$B$10)*($C$10-$B$10)),$D$10-SQRT((1-C295)*($D$10-$B$10)*($D$10-$C$10))),"PERT",_xlfn.BETA.INV(C295,1+$B$6*($C$10-$B$10)/($D$10-$B$10),1+$B$6*($D$10-$C$10)/($D$10-$B$10),$B$10,$D$10))</f>
        <v>4940.5680473060884</v>
      </c>
      <c r="F295" s="88">
        <f t="shared" ca="1" si="13"/>
        <v>0.50994589593975048</v>
      </c>
      <c r="G295" s="89">
        <f t="shared" ca="1" si="14"/>
        <v>1.6072233605002163E-4</v>
      </c>
    </row>
    <row r="296" spans="1:7" x14ac:dyDescent="0.35">
      <c r="A296" s="84">
        <v>281</v>
      </c>
      <c r="B296" s="84">
        <f t="shared" ca="1" si="12"/>
        <v>0.23844809297817759</v>
      </c>
      <c r="C296" s="84">
        <f t="shared" ca="1" si="12"/>
        <v>0.93940721562713603</v>
      </c>
      <c r="D296" s="93" cm="1">
        <f t="array" aca="1" ref="D296" ca="1">_xlfn.SWITCH($B$4,"Normal MLE",EXP(_xlfn.NORM.INV(B296,LN($C$9),$E$9/$C$9)),"Uniforme",$B$9+($D$9-$B$9)*B296,"Triangular",IF(B296&lt;=($C$9-$B$9)/($D$9-$B$9),$B$9+SQRT(B296*($D$9-$B$9)*($C$9-$B$9)),$D$9-SQRT((1-B296)*($D$9-$B$9)*($D$9-$C$9))),"PERT",_xlfn.BETA.INV(B296,1+$B$6*($C$9-$B$9)/($D$9-$B$9),1+$B$6*($D$9-$C$9)/($D$9-$B$9),$B$9,$D$9))</f>
        <v>1.8525205109491041</v>
      </c>
      <c r="E296" s="94" cm="1">
        <f t="array" aca="1" ref="E296" ca="1">_xlfn.SWITCH($B$4,"Normal MLE",EXP(_xlfn.NORM.INV(C296,LN($C$10),$E$10/$C$10)),"Uniforme",$B$10+($D$10-$B$10)*C296,"Triangular",IF(C296&lt;=($C$10-$B$10)/($D$10-$B$10),$B$10+SQRT(C296*($D$10-$B$10)*($C$10-$B$10)),$D$10-SQRT((1-C296)*($D$10-$B$10)*($D$10-$C$10))),"PERT",_xlfn.BETA.INV(C296,1+$B$6*($C$10-$B$10)/($D$10-$B$10),1+$B$6*($D$10-$C$10)/($D$10-$B$10),$B$10,$D$10))</f>
        <v>5481.1571443365337</v>
      </c>
      <c r="F296" s="88">
        <f t="shared" ca="1" si="13"/>
        <v>0.57241271862936138</v>
      </c>
      <c r="G296" s="89">
        <f t="shared" ca="1" si="14"/>
        <v>1.4789884656877389E-4</v>
      </c>
    </row>
    <row r="297" spans="1:7" x14ac:dyDescent="0.35">
      <c r="A297" s="84">
        <v>282</v>
      </c>
      <c r="B297" s="84">
        <f t="shared" ca="1" si="12"/>
        <v>0.86876792341524123</v>
      </c>
      <c r="C297" s="84">
        <f t="shared" ca="1" si="12"/>
        <v>0.41867804059517599</v>
      </c>
      <c r="D297" s="93" cm="1">
        <f t="array" aca="1" ref="D297" ca="1">_xlfn.SWITCH($B$4,"Normal MLE",EXP(_xlfn.NORM.INV(B297,LN($C$9),$E$9/$C$9)),"Uniforme",$B$9+($D$9-$B$9)*B297,"Triangular",IF(B297&lt;=($C$9-$B$9)/($D$9-$B$9),$B$9+SQRT(B297*($D$9-$B$9)*($C$9-$B$9)),$D$9-SQRT((1-B297)*($D$9-$B$9)*($D$9-$C$9))),"PERT",_xlfn.BETA.INV(B297,1+$B$6*($C$9-$B$9)/($D$9-$B$9),1+$B$6*($D$9-$C$9)/($D$9-$B$9),$B$9,$D$9))</f>
        <v>2.1075957498690721</v>
      </c>
      <c r="E297" s="94" cm="1">
        <f t="array" aca="1" ref="E297" ca="1">_xlfn.SWITCH($B$4,"Normal MLE",EXP(_xlfn.NORM.INV(C297,LN($C$10),$E$10/$C$10)),"Uniforme",$B$10+($D$10-$B$10)*C297,"Triangular",IF(C297&lt;=($C$10-$B$10)/($D$10-$B$10),$B$10+SQRT(C297*($D$10-$B$10)*($C$10-$B$10)),$D$10-SQRT((1-C297)*($D$10-$B$10)*($D$10-$C$10))),"PERT",_xlfn.BETA.INV(C297,1+$B$6*($C$10-$B$10)/($D$10-$B$10),1+$B$6*($D$10-$C$10)/($D$10-$B$10),$B$10,$D$10))</f>
        <v>5051.2928201807345</v>
      </c>
      <c r="F297" s="88">
        <f t="shared" ca="1" si="13"/>
        <v>0.54252545094323223</v>
      </c>
      <c r="G297" s="89">
        <f t="shared" ca="1" si="14"/>
        <v>1.7480679245310499E-4</v>
      </c>
    </row>
    <row r="298" spans="1:7" x14ac:dyDescent="0.35">
      <c r="A298" s="84">
        <v>283</v>
      </c>
      <c r="B298" s="84">
        <f t="shared" ca="1" si="12"/>
        <v>0.21306549947101439</v>
      </c>
      <c r="C298" s="84">
        <f t="shared" ca="1" si="12"/>
        <v>0.83473615677592994</v>
      </c>
      <c r="D298" s="93" cm="1">
        <f t="array" aca="1" ref="D298" ca="1">_xlfn.SWITCH($B$4,"Normal MLE",EXP(_xlfn.NORM.INV(B298,LN($C$9),$E$9/$C$9)),"Uniforme",$B$9+($D$9-$B$9)*B298,"Triangular",IF(B298&lt;=($C$9-$B$9)/($D$9-$B$9),$B$9+SQRT(B298*($D$9-$B$9)*($C$9-$B$9)),$D$9-SQRT((1-B298)*($D$9-$B$9)*($D$9-$C$9))),"PERT",_xlfn.BETA.INV(B298,1+$B$6*($C$9-$B$9)/($D$9-$B$9),1+$B$6*($D$9-$C$9)/($D$9-$B$9),$B$9,$D$9))</f>
        <v>1.8415265158740506</v>
      </c>
      <c r="E298" s="94" cm="1">
        <f t="array" aca="1" ref="E298" ca="1">_xlfn.SWITCH($B$4,"Normal MLE",EXP(_xlfn.NORM.INV(C298,LN($C$10),$E$10/$C$10)),"Uniforme",$B$10+($D$10-$B$10)*C298,"Triangular",IF(C298&lt;=($C$10-$B$10)/($D$10-$B$10),$B$10+SQRT(C298*($D$10-$B$10)*($C$10-$B$10)),$D$10-SQRT((1-C298)*($D$10-$B$10)*($D$10-$C$10))),"PERT",_xlfn.BETA.INV(C298,1+$B$6*($C$10-$B$10)/($D$10-$B$10),1+$B$6*($D$10-$C$10)/($D$10-$B$10),$B$10,$D$10))</f>
        <v>5336.003072334076</v>
      </c>
      <c r="F298" s="88">
        <f t="shared" ca="1" si="13"/>
        <v>0.55532842389434733</v>
      </c>
      <c r="G298" s="89">
        <f t="shared" ca="1" si="14"/>
        <v>1.5037985056385363E-4</v>
      </c>
    </row>
    <row r="299" spans="1:7" x14ac:dyDescent="0.35">
      <c r="A299" s="84">
        <v>284</v>
      </c>
      <c r="B299" s="84">
        <f t="shared" ca="1" si="12"/>
        <v>0.21727394613087425</v>
      </c>
      <c r="C299" s="84">
        <f t="shared" ca="1" si="12"/>
        <v>4.6692548879318174E-2</v>
      </c>
      <c r="D299" s="93" cm="1">
        <f t="array" aca="1" ref="D299" ca="1">_xlfn.SWITCH($B$4,"Normal MLE",EXP(_xlfn.NORM.INV(B299,LN($C$9),$E$9/$C$9)),"Uniforme",$B$9+($D$9-$B$9)*B299,"Triangular",IF(B299&lt;=($C$9-$B$9)/($D$9-$B$9),$B$9+SQRT(B299*($D$9-$B$9)*($C$9-$B$9)),$D$9-SQRT((1-B299)*($D$9-$B$9)*($D$9-$C$9))),"PERT",_xlfn.BETA.INV(B299,1+$B$6*($C$9-$B$9)/($D$9-$B$9),1+$B$6*($D$9-$C$9)/($D$9-$B$9),$B$9,$D$9))</f>
        <v>1.8433944283937067</v>
      </c>
      <c r="E299" s="94" cm="1">
        <f t="array" aca="1" ref="E299" ca="1">_xlfn.SWITCH($B$4,"Normal MLE",EXP(_xlfn.NORM.INV(C299,LN($C$10),$E$10/$C$10)),"Uniforme",$B$10+($D$10-$B$10)*C299,"Triangular",IF(C299&lt;=($C$10-$B$10)/($D$10-$B$10),$B$10+SQRT(C299*($D$10-$B$10)*($C$10-$B$10)),$D$10-SQRT((1-C299)*($D$10-$B$10)*($D$10-$C$10))),"PERT",_xlfn.BETA.INV(C299,1+$B$6*($C$10-$B$10)/($D$10-$B$10),1+$B$6*($D$10-$C$10)/($D$10-$B$10),$B$10,$D$10))</f>
        <v>4716.7552562229075</v>
      </c>
      <c r="F299" s="88">
        <f t="shared" ca="1" si="13"/>
        <v>0.47807942505331325</v>
      </c>
      <c r="G299" s="89">
        <f t="shared" ca="1" si="14"/>
        <v>1.6259305183343999E-4</v>
      </c>
    </row>
    <row r="300" spans="1:7" x14ac:dyDescent="0.35">
      <c r="A300" s="84">
        <v>285</v>
      </c>
      <c r="B300" s="84">
        <f t="shared" ca="1" si="12"/>
        <v>0.48949283993132453</v>
      </c>
      <c r="C300" s="84">
        <f t="shared" ca="1" si="12"/>
        <v>0.88947937373314667</v>
      </c>
      <c r="D300" s="93" cm="1">
        <f t="array" aca="1" ref="D300" ca="1">_xlfn.SWITCH($B$4,"Normal MLE",EXP(_xlfn.NORM.INV(B300,LN($C$9),$E$9/$C$9)),"Uniforme",$B$9+($D$9-$B$9)*B300,"Triangular",IF(B300&lt;=($C$9-$B$9)/($D$9-$B$9),$B$9+SQRT(B300*($D$9-$B$9)*($C$9-$B$9)),$D$9-SQRT((1-B300)*($D$9-$B$9)*($D$9-$C$9))),"PERT",_xlfn.BETA.INV(B300,1+$B$6*($C$9-$B$9)/($D$9-$B$9),1+$B$6*($D$9-$C$9)/($D$9-$B$9),$B$9,$D$9))</f>
        <v>1.944066432413778</v>
      </c>
      <c r="E300" s="94" cm="1">
        <f t="array" aca="1" ref="E300" ca="1">_xlfn.SWITCH($B$4,"Normal MLE",EXP(_xlfn.NORM.INV(C300,LN($C$10),$E$10/$C$10)),"Uniforme",$B$10+($D$10-$B$10)*C300,"Triangular",IF(C300&lt;=($C$10-$B$10)/($D$10-$B$10),$B$10+SQRT(C300*($D$10-$B$10)*($C$10-$B$10)),$D$10-SQRT((1-C300)*($D$10-$B$10)*($D$10-$C$10))),"PERT",_xlfn.BETA.INV(C300,1+$B$6*($C$10-$B$10)/($D$10-$B$10),1+$B$6*($D$10-$C$10)/($D$10-$B$10),$B$10,$D$10))</f>
        <v>5398.6213460818317</v>
      </c>
      <c r="F300" s="88">
        <f t="shared" ca="1" si="13"/>
        <v>0.57220268071559355</v>
      </c>
      <c r="G300" s="89">
        <f t="shared" ca="1" si="14"/>
        <v>1.5525266930610873E-4</v>
      </c>
    </row>
    <row r="301" spans="1:7" x14ac:dyDescent="0.35">
      <c r="A301" s="84">
        <v>286</v>
      </c>
      <c r="B301" s="84">
        <f t="shared" ca="1" si="12"/>
        <v>0.48915239922069198</v>
      </c>
      <c r="C301" s="84">
        <f t="shared" ca="1" si="12"/>
        <v>6.8628582916103742E-2</v>
      </c>
      <c r="D301" s="93" cm="1">
        <f t="array" aca="1" ref="D301" ca="1">_xlfn.SWITCH($B$4,"Normal MLE",EXP(_xlfn.NORM.INV(B301,LN($C$9),$E$9/$C$9)),"Uniforme",$B$9+($D$9-$B$9)*B301,"Triangular",IF(B301&lt;=($C$9-$B$9)/($D$9-$B$9),$B$9+SQRT(B301*($D$9-$B$9)*($C$9-$B$9)),$D$9-SQRT((1-B301)*($D$9-$B$9)*($D$9-$C$9))),"PERT",_xlfn.BETA.INV(B301,1+$B$6*($C$9-$B$9)/($D$9-$B$9),1+$B$6*($D$9-$C$9)/($D$9-$B$9),$B$9,$D$9))</f>
        <v>1.9439495691926205</v>
      </c>
      <c r="E301" s="94" cm="1">
        <f t="array" aca="1" ref="E301" ca="1">_xlfn.SWITCH($B$4,"Normal MLE",EXP(_xlfn.NORM.INV(C301,LN($C$10),$E$10/$C$10)),"Uniforme",$B$10+($D$10-$B$10)*C301,"Triangular",IF(C301&lt;=($C$10-$B$10)/($D$10-$B$10),$B$10+SQRT(C301*($D$10-$B$10)*($C$10-$B$10)),$D$10-SQRT((1-C301)*($D$10-$B$10)*($D$10-$C$10))),"PERT",_xlfn.BETA.INV(C301,1+$B$6*($C$10-$B$10)/($D$10-$B$10),1+$B$6*($D$10-$C$10)/($D$10-$B$10),$B$10,$D$10))</f>
        <v>4759.0248494621692</v>
      </c>
      <c r="F301" s="88">
        <f t="shared" ca="1" si="13"/>
        <v>0.48999123298631625</v>
      </c>
      <c r="G301" s="89">
        <f t="shared" ca="1" si="14"/>
        <v>1.6987395666482927E-4</v>
      </c>
    </row>
    <row r="302" spans="1:7" x14ac:dyDescent="0.35">
      <c r="A302" s="84">
        <v>287</v>
      </c>
      <c r="B302" s="84">
        <f t="shared" ca="1" si="12"/>
        <v>0.20862535009260041</v>
      </c>
      <c r="C302" s="84">
        <f t="shared" ca="1" si="12"/>
        <v>0.47526806740946481</v>
      </c>
      <c r="D302" s="93" cm="1">
        <f t="array" aca="1" ref="D302" ca="1">_xlfn.SWITCH($B$4,"Normal MLE",EXP(_xlfn.NORM.INV(B302,LN($C$9),$E$9/$C$9)),"Uniforme",$B$9+($D$9-$B$9)*B302,"Triangular",IF(B302&lt;=($C$9-$B$9)/($D$9-$B$9),$B$9+SQRT(B302*($D$9-$B$9)*($C$9-$B$9)),$D$9-SQRT((1-B302)*($D$9-$B$9)*($D$9-$C$9))),"PERT",_xlfn.BETA.INV(B302,1+$B$6*($C$9-$B$9)/($D$9-$B$9),1+$B$6*($D$9-$C$9)/($D$9-$B$9),$B$9,$D$9))</f>
        <v>1.8395343618008739</v>
      </c>
      <c r="E302" s="94" cm="1">
        <f t="array" aca="1" ref="E302" ca="1">_xlfn.SWITCH($B$4,"Normal MLE",EXP(_xlfn.NORM.INV(C302,LN($C$10),$E$10/$C$10)),"Uniforme",$B$10+($D$10-$B$10)*C302,"Triangular",IF(C302&lt;=($C$10-$B$10)/($D$10-$B$10),$B$10+SQRT(C302*($D$10-$B$10)*($C$10-$B$10)),$D$10-SQRT((1-C302)*($D$10-$B$10)*($D$10-$C$10))),"PERT",_xlfn.BETA.INV(C302,1+$B$6*($C$10-$B$10)/($D$10-$B$10),1+$B$6*($D$10-$C$10)/($D$10-$B$10),$B$10,$D$10))</f>
        <v>5085.0757553467483</v>
      </c>
      <c r="F302" s="88">
        <f t="shared" ca="1" si="13"/>
        <v>0.52568125188705073</v>
      </c>
      <c r="G302" s="89">
        <f t="shared" ca="1" si="14"/>
        <v>1.5546121466326378E-4</v>
      </c>
    </row>
    <row r="303" spans="1:7" x14ac:dyDescent="0.35">
      <c r="A303" s="84">
        <v>288</v>
      </c>
      <c r="B303" s="84">
        <f t="shared" ca="1" si="12"/>
        <v>0.296056979259534</v>
      </c>
      <c r="C303" s="84">
        <f t="shared" ca="1" si="12"/>
        <v>8.8975680956948744E-2</v>
      </c>
      <c r="D303" s="93" cm="1">
        <f t="array" aca="1" ref="D303" ca="1">_xlfn.SWITCH($B$4,"Normal MLE",EXP(_xlfn.NORM.INV(B303,LN($C$9),$E$9/$C$9)),"Uniforme",$B$9+($D$9-$B$9)*B303,"Triangular",IF(B303&lt;=($C$9-$B$9)/($D$9-$B$9),$B$9+SQRT(B303*($D$9-$B$9)*($C$9-$B$9)),$D$9-SQRT((1-B303)*($D$9-$B$9)*($D$9-$C$9))),"PERT",_xlfn.BETA.INV(B303,1+$B$6*($C$9-$B$9)/($D$9-$B$9),1+$B$6*($D$9-$C$9)/($D$9-$B$9),$B$9,$D$9))</f>
        <v>1.8755609052289934</v>
      </c>
      <c r="E303" s="94" cm="1">
        <f t="array" aca="1" ref="E303" ca="1">_xlfn.SWITCH($B$4,"Normal MLE",EXP(_xlfn.NORM.INV(C303,LN($C$10),$E$10/$C$10)),"Uniforme",$B$10+($D$10-$B$10)*C303,"Triangular",IF(C303&lt;=($C$10-$B$10)/($D$10-$B$10),$B$10+SQRT(C303*($D$10-$B$10)*($C$10-$B$10)),$D$10-SQRT((1-C303)*($D$10-$B$10)*($D$10-$C$10))),"PERT",_xlfn.BETA.INV(C303,1+$B$6*($C$10-$B$10)/($D$10-$B$10),1+$B$6*($D$10-$C$10)/($D$10-$B$10),$B$10,$D$10))</f>
        <v>4789.9057856149557</v>
      </c>
      <c r="F303" s="88">
        <f t="shared" ca="1" si="13"/>
        <v>0.49007813620710178</v>
      </c>
      <c r="G303" s="89">
        <f t="shared" ca="1" si="14"/>
        <v>1.6388606226970813E-4</v>
      </c>
    </row>
    <row r="304" spans="1:7" x14ac:dyDescent="0.35">
      <c r="A304" s="84">
        <v>289</v>
      </c>
      <c r="B304" s="84">
        <f t="shared" ca="1" si="12"/>
        <v>0.85630227333962949</v>
      </c>
      <c r="C304" s="84">
        <f t="shared" ca="1" si="12"/>
        <v>0.31033440221413477</v>
      </c>
      <c r="D304" s="93" cm="1">
        <f t="array" aca="1" ref="D304" ca="1">_xlfn.SWITCH($B$4,"Normal MLE",EXP(_xlfn.NORM.INV(B304,LN($C$9),$E$9/$C$9)),"Uniforme",$B$9+($D$9-$B$9)*B304,"Triangular",IF(B304&lt;=($C$9-$B$9)/($D$9-$B$9),$B$9+SQRT(B304*($D$9-$B$9)*($C$9-$B$9)),$D$9-SQRT((1-B304)*($D$9-$B$9)*($D$9-$C$9))),"PERT",_xlfn.BETA.INV(B304,1+$B$6*($C$9-$B$9)/($D$9-$B$9),1+$B$6*($D$9-$C$9)/($D$9-$B$9),$B$9,$D$9))</f>
        <v>2.099192432412865</v>
      </c>
      <c r="E304" s="94" cm="1">
        <f t="array" aca="1" ref="E304" ca="1">_xlfn.SWITCH($B$4,"Normal MLE",EXP(_xlfn.NORM.INV(C304,LN($C$10),$E$10/$C$10)),"Uniforme",$B$10+($D$10-$B$10)*C304,"Triangular",IF(C304&lt;=($C$10-$B$10)/($D$10-$B$10),$B$10+SQRT(C304*($D$10-$B$10)*($C$10-$B$10)),$D$10-SQRT((1-C304)*($D$10-$B$10)*($D$10-$C$10))),"PERT",_xlfn.BETA.INV(C304,1+$B$6*($C$10-$B$10)/($D$10-$B$10),1+$B$6*($D$10-$C$10)/($D$10-$B$10),$B$10,$D$10))</f>
        <v>4983.6704805650425</v>
      </c>
      <c r="F304" s="88">
        <f t="shared" ca="1" si="13"/>
        <v>0.53243033306138698</v>
      </c>
      <c r="G304" s="89">
        <f t="shared" ca="1" si="14"/>
        <v>1.76118337062888E-4</v>
      </c>
    </row>
    <row r="305" spans="1:7" x14ac:dyDescent="0.35">
      <c r="A305" s="84">
        <v>290</v>
      </c>
      <c r="B305" s="84">
        <f t="shared" ca="1" si="12"/>
        <v>0.85208933597515646</v>
      </c>
      <c r="C305" s="84">
        <f t="shared" ca="1" si="12"/>
        <v>0.47720034180776361</v>
      </c>
      <c r="D305" s="93" cm="1">
        <f t="array" aca="1" ref="D305" ca="1">_xlfn.SWITCH($B$4,"Normal MLE",EXP(_xlfn.NORM.INV(B305,LN($C$9),$E$9/$C$9)),"Uniforme",$B$9+($D$9-$B$9)*B305,"Triangular",IF(B305&lt;=($C$9-$B$9)/($D$9-$B$9),$B$9+SQRT(B305*($D$9-$B$9)*($C$9-$B$9)),$D$9-SQRT((1-B305)*($D$9-$B$9)*($D$9-$C$9))),"PERT",_xlfn.BETA.INV(B305,1+$B$6*($C$9-$B$9)/($D$9-$B$9),1+$B$6*($D$9-$C$9)/($D$9-$B$9),$B$9,$D$9))</f>
        <v>2.0964718294600839</v>
      </c>
      <c r="E305" s="94" cm="1">
        <f t="array" aca="1" ref="E305" ca="1">_xlfn.SWITCH($B$4,"Normal MLE",EXP(_xlfn.NORM.INV(C305,LN($C$10),$E$10/$C$10)),"Uniforme",$B$10+($D$10-$B$10)*C305,"Triangular",IF(C305&lt;=($C$10-$B$10)/($D$10-$B$10),$B$10+SQRT(C305*($D$10-$B$10)*($C$10-$B$10)),$D$10-SQRT((1-C305)*($D$10-$B$10)*($D$10-$C$10))),"PERT",_xlfn.BETA.INV(C305,1+$B$6*($C$10-$B$10)/($D$10-$B$10),1+$B$6*($D$10-$C$10)/($D$10-$B$10),$B$10,$D$10))</f>
        <v>5086.224042009414</v>
      </c>
      <c r="F305" s="88">
        <f t="shared" ca="1" si="13"/>
        <v>0.54644846404568914</v>
      </c>
      <c r="G305" s="89">
        <f t="shared" ca="1" si="14"/>
        <v>1.7307798208718341E-4</v>
      </c>
    </row>
    <row r="306" spans="1:7" x14ac:dyDescent="0.35">
      <c r="A306" s="84">
        <v>291</v>
      </c>
      <c r="B306" s="84">
        <f t="shared" ca="1" si="12"/>
        <v>0.72956640283099417</v>
      </c>
      <c r="C306" s="84">
        <f t="shared" ca="1" si="12"/>
        <v>0.71384584039310017</v>
      </c>
      <c r="D306" s="93" cm="1">
        <f t="array" aca="1" ref="D306" ca="1">_xlfn.SWITCH($B$4,"Normal MLE",EXP(_xlfn.NORM.INV(B306,LN($C$9),$E$9/$C$9)),"Uniforme",$B$9+($D$9-$B$9)*B306,"Triangular",IF(B306&lt;=($C$9-$B$9)/($D$9-$B$9),$B$9+SQRT(B306*($D$9-$B$9)*($C$9-$B$9)),$D$9-SQRT((1-B306)*($D$9-$B$9)*($D$9-$C$9))),"PERT",_xlfn.BETA.INV(B306,1+$B$6*($C$9-$B$9)/($D$9-$B$9),1+$B$6*($D$9-$C$9)/($D$9-$B$9),$B$9,$D$9))</f>
        <v>2.0333779596943429</v>
      </c>
      <c r="E306" s="94" cm="1">
        <f t="array" aca="1" ref="E306" ca="1">_xlfn.SWITCH($B$4,"Normal MLE",EXP(_xlfn.NORM.INV(C306,LN($C$10),$E$10/$C$10)),"Uniforme",$B$10+($D$10-$B$10)*C306,"Triangular",IF(C306&lt;=($C$10-$B$10)/($D$10-$B$10),$B$10+SQRT(C306*($D$10-$B$10)*($C$10-$B$10)),$D$10-SQRT((1-C306)*($D$10-$B$10)*($D$10-$C$10))),"PERT",_xlfn.BETA.INV(C306,1+$B$6*($C$10-$B$10)/($D$10-$B$10),1+$B$6*($D$10-$C$10)/($D$10-$B$10),$B$10,$D$10))</f>
        <v>5235.552857675978</v>
      </c>
      <c r="F306" s="88">
        <f t="shared" ca="1" si="13"/>
        <v>0.56074664712971467</v>
      </c>
      <c r="G306" s="89">
        <f t="shared" ca="1" si="14"/>
        <v>1.6489888637324319E-4</v>
      </c>
    </row>
    <row r="307" spans="1:7" x14ac:dyDescent="0.35">
      <c r="A307" s="84">
        <v>292</v>
      </c>
      <c r="B307" s="84">
        <f t="shared" ca="1" si="12"/>
        <v>0.55887612176611967</v>
      </c>
      <c r="C307" s="84">
        <f t="shared" ca="1" si="12"/>
        <v>0.98042509742198325</v>
      </c>
      <c r="D307" s="93" cm="1">
        <f t="array" aca="1" ref="D307" ca="1">_xlfn.SWITCH($B$4,"Normal MLE",EXP(_xlfn.NORM.INV(B307,LN($C$9),$E$9/$C$9)),"Uniforme",$B$9+($D$9-$B$9)*B307,"Triangular",IF(B307&lt;=($C$9-$B$9)/($D$9-$B$9),$B$9+SQRT(B307*($D$9-$B$9)*($C$9-$B$9)),$D$9-SQRT((1-B307)*($D$9-$B$9)*($D$9-$C$9))),"PERT",_xlfn.BETA.INV(B307,1+$B$6*($C$9-$B$9)/($D$9-$B$9),1+$B$6*($D$9-$C$9)/($D$9-$B$9),$B$9,$D$9))</f>
        <v>1.9680974788075847</v>
      </c>
      <c r="E307" s="94" cm="1">
        <f t="array" aca="1" ref="E307" ca="1">_xlfn.SWITCH($B$4,"Normal MLE",EXP(_xlfn.NORM.INV(C307,LN($C$10),$E$10/$C$10)),"Uniforme",$B$10+($D$10-$B$10)*C307,"Triangular",IF(C307&lt;=($C$10-$B$10)/($D$10-$B$10),$B$10+SQRT(C307*($D$10-$B$10)*($C$10-$B$10)),$D$10-SQRT((1-C307)*($D$10-$B$10)*($D$10-$C$10))),"PERT",_xlfn.BETA.INV(C307,1+$B$6*($C$10-$B$10)/($D$10-$B$10),1+$B$6*($D$10-$C$10)/($D$10-$B$10),$B$10,$D$10))</f>
        <v>5613.5239067808343</v>
      </c>
      <c r="F307" s="88">
        <f t="shared" ca="1" si="13"/>
        <v>0.59853642388944761</v>
      </c>
      <c r="G307" s="89">
        <f t="shared" ca="1" si="14"/>
        <v>1.5115457619692285E-4</v>
      </c>
    </row>
    <row r="308" spans="1:7" x14ac:dyDescent="0.35">
      <c r="A308" s="84">
        <v>293</v>
      </c>
      <c r="B308" s="84">
        <f t="shared" ca="1" si="12"/>
        <v>5.6918379441371902E-3</v>
      </c>
      <c r="C308" s="84">
        <f t="shared" ca="1" si="12"/>
        <v>0.90388941925641819</v>
      </c>
      <c r="D308" s="93" cm="1">
        <f t="array" aca="1" ref="D308" ca="1">_xlfn.SWITCH($B$4,"Normal MLE",EXP(_xlfn.NORM.INV(B308,LN($C$9),$E$9/$C$9)),"Uniforme",$B$9+($D$9-$B$9)*B308,"Triangular",IF(B308&lt;=($C$9-$B$9)/($D$9-$B$9),$B$9+SQRT(B308*($D$9-$B$9)*($C$9-$B$9)),$D$9-SQRT((1-B308)*($D$9-$B$9)*($D$9-$C$9))),"PERT",_xlfn.BETA.INV(B308,1+$B$6*($C$9-$B$9)/($D$9-$B$9),1+$B$6*($D$9-$C$9)/($D$9-$B$9),$B$9,$D$9))</f>
        <v>1.629749869583426</v>
      </c>
      <c r="E308" s="94" cm="1">
        <f t="array" aca="1" ref="E308" ca="1">_xlfn.SWITCH($B$4,"Normal MLE",EXP(_xlfn.NORM.INV(C308,LN($C$10),$E$10/$C$10)),"Uniforme",$B$10+($D$10-$B$10)*C308,"Triangular",IF(C308&lt;=($C$10-$B$10)/($D$10-$B$10),$B$10+SQRT(C308*($D$10-$B$10)*($C$10-$B$10)),$D$10-SQRT((1-C308)*($D$10-$B$10)*($D$10-$C$10))),"PERT",_xlfn.BETA.INV(C308,1+$B$6*($C$10-$B$10)/($D$10-$B$10),1+$B$6*($D$10-$C$10)/($D$10-$B$10),$B$10,$D$10))</f>
        <v>5418.8251715452216</v>
      </c>
      <c r="F308" s="88">
        <f t="shared" ca="1" si="13"/>
        <v>0.54350688504825406</v>
      </c>
      <c r="G308" s="89">
        <f t="shared" ca="1" si="14"/>
        <v>1.3501791606280553E-4</v>
      </c>
    </row>
    <row r="309" spans="1:7" x14ac:dyDescent="0.35">
      <c r="A309" s="84">
        <v>294</v>
      </c>
      <c r="B309" s="84">
        <f t="shared" ca="1" si="12"/>
        <v>0.78490714800563854</v>
      </c>
      <c r="C309" s="84">
        <f t="shared" ca="1" si="12"/>
        <v>0.57289815530412458</v>
      </c>
      <c r="D309" s="93" cm="1">
        <f t="array" aca="1" ref="D309" ca="1">_xlfn.SWITCH($B$4,"Normal MLE",EXP(_xlfn.NORM.INV(B309,LN($C$9),$E$9/$C$9)),"Uniforme",$B$9+($D$9-$B$9)*B309,"Triangular",IF(B309&lt;=($C$9-$B$9)/($D$9-$B$9),$B$9+SQRT(B309*($D$9-$B$9)*($C$9-$B$9)),$D$9-SQRT((1-B309)*($D$9-$B$9)*($D$9-$C$9))),"PERT",_xlfn.BETA.INV(B309,1+$B$6*($C$9-$B$9)/($D$9-$B$9),1+$B$6*($D$9-$C$9)/($D$9-$B$9),$B$9,$D$9))</f>
        <v>2.0589349942458743</v>
      </c>
      <c r="E309" s="94" cm="1">
        <f t="array" aca="1" ref="E309" ca="1">_xlfn.SWITCH($B$4,"Normal MLE",EXP(_xlfn.NORM.INV(C309,LN($C$10),$E$10/$C$10)),"Uniforme",$B$10+($D$10-$B$10)*C309,"Triangular",IF(C309&lt;=($C$10-$B$10)/($D$10-$B$10),$B$10+SQRT(C309*($D$10-$B$10)*($C$10-$B$10)),$D$10-SQRT((1-C309)*($D$10-$B$10)*($D$10-$C$10))),"PERT",_xlfn.BETA.INV(C309,1+$B$6*($C$10-$B$10)/($D$10-$B$10),1+$B$6*($D$10-$C$10)/($D$10-$B$10),$B$10,$D$10))</f>
        <v>5143.5712841725499</v>
      </c>
      <c r="F309" s="88">
        <f t="shared" ca="1" si="13"/>
        <v>0.55108068215846129</v>
      </c>
      <c r="G309" s="89">
        <f t="shared" ca="1" si="14"/>
        <v>1.6902552946907774E-4</v>
      </c>
    </row>
    <row r="310" spans="1:7" x14ac:dyDescent="0.35">
      <c r="A310" s="84">
        <v>295</v>
      </c>
      <c r="B310" s="84">
        <f t="shared" ca="1" si="12"/>
        <v>0.58194869804999527</v>
      </c>
      <c r="C310" s="84">
        <f t="shared" ca="1" si="12"/>
        <v>0.74085491015493232</v>
      </c>
      <c r="D310" s="93" cm="1">
        <f t="array" aca="1" ref="D310" ca="1">_xlfn.SWITCH($B$4,"Normal MLE",EXP(_xlfn.NORM.INV(B310,LN($C$9),$E$9/$C$9)),"Uniforme",$B$9+($D$9-$B$9)*B310,"Triangular",IF(B310&lt;=($C$9-$B$9)/($D$9-$B$9),$B$9+SQRT(B310*($D$9-$B$9)*($C$9-$B$9)),$D$9-SQRT((1-B310)*($D$9-$B$9)*($D$9-$C$9))),"PERT",_xlfn.BETA.INV(B310,1+$B$6*($C$9-$B$9)/($D$9-$B$9),1+$B$6*($D$9-$C$9)/($D$9-$B$9),$B$9,$D$9))</f>
        <v>1.9762581584026031</v>
      </c>
      <c r="E310" s="94" cm="1">
        <f t="array" aca="1" ref="E310" ca="1">_xlfn.SWITCH($B$4,"Normal MLE",EXP(_xlfn.NORM.INV(C310,LN($C$10),$E$10/$C$10)),"Uniforme",$B$10+($D$10-$B$10)*C310,"Triangular",IF(C310&lt;=($C$10-$B$10)/($D$10-$B$10),$B$10+SQRT(C310*($D$10-$B$10)*($C$10-$B$10)),$D$10-SQRT((1-C310)*($D$10-$B$10)*($D$10-$C$10))),"PERT",_xlfn.BETA.INV(C310,1+$B$6*($C$10-$B$10)/($D$10-$B$10),1+$B$6*($D$10-$C$10)/($D$10-$B$10),$B$10,$D$10))</f>
        <v>5255.40458917259</v>
      </c>
      <c r="F310" s="88">
        <f t="shared" ca="1" si="13"/>
        <v>0.55818100659597492</v>
      </c>
      <c r="G310" s="89">
        <f t="shared" ca="1" si="14"/>
        <v>1.6079810044275185E-4</v>
      </c>
    </row>
    <row r="311" spans="1:7" x14ac:dyDescent="0.35">
      <c r="A311" s="84">
        <v>296</v>
      </c>
      <c r="B311" s="84">
        <f t="shared" ca="1" si="12"/>
        <v>3.0463430985594453E-2</v>
      </c>
      <c r="C311" s="84">
        <f t="shared" ca="1" si="12"/>
        <v>0.84368655790300551</v>
      </c>
      <c r="D311" s="93" cm="1">
        <f t="array" aca="1" ref="D311" ca="1">_xlfn.SWITCH($B$4,"Normal MLE",EXP(_xlfn.NORM.INV(B311,LN($C$9),$E$9/$C$9)),"Uniforme",$B$9+($D$9-$B$9)*B311,"Triangular",IF(B311&lt;=($C$9-$B$9)/($D$9-$B$9),$B$9+SQRT(B311*($D$9-$B$9)*($C$9-$B$9)),$D$9-SQRT((1-B311)*($D$9-$B$9)*($D$9-$C$9))),"PERT",_xlfn.BETA.INV(B311,1+$B$6*($C$9-$B$9)/($D$9-$B$9),1+$B$6*($D$9-$C$9)/($D$9-$B$9),$B$9,$D$9))</f>
        <v>1.7068829177471798</v>
      </c>
      <c r="E311" s="94" cm="1">
        <f t="array" aca="1" ref="E311" ca="1">_xlfn.SWITCH($B$4,"Normal MLE",EXP(_xlfn.NORM.INV(C311,LN($C$10),$E$10/$C$10)),"Uniforme",$B$10+($D$10-$B$10)*C311,"Triangular",IF(C311&lt;=($C$10-$B$10)/($D$10-$B$10),$B$10+SQRT(C311*($D$10-$B$10)*($C$10-$B$10)),$D$10-SQRT((1-C311)*($D$10-$B$10)*($D$10-$C$10))),"PERT",_xlfn.BETA.INV(C311,1+$B$6*($C$10-$B$10)/($D$10-$B$10),1+$B$6*($D$10-$C$10)/($D$10-$B$10),$B$10,$D$10))</f>
        <v>5345.1172213346572</v>
      </c>
      <c r="F311" s="88">
        <f t="shared" ca="1" si="13"/>
        <v>0.54352003954467187</v>
      </c>
      <c r="G311" s="89">
        <f t="shared" ca="1" si="14"/>
        <v>1.4140587353709522E-4</v>
      </c>
    </row>
    <row r="312" spans="1:7" x14ac:dyDescent="0.35">
      <c r="A312" s="84">
        <v>297</v>
      </c>
      <c r="B312" s="84">
        <f t="shared" ca="1" si="12"/>
        <v>0.15748496397565115</v>
      </c>
      <c r="C312" s="84">
        <f t="shared" ca="1" si="12"/>
        <v>0.41401366477085177</v>
      </c>
      <c r="D312" s="93" cm="1">
        <f t="array" aca="1" ref="D312" ca="1">_xlfn.SWITCH($B$4,"Normal MLE",EXP(_xlfn.NORM.INV(B312,LN($C$9),$E$9/$C$9)),"Uniforme",$B$9+($D$9-$B$9)*B312,"Triangular",IF(B312&lt;=($C$9-$B$9)/($D$9-$B$9),$B$9+SQRT(B312*($D$9-$B$9)*($C$9-$B$9)),$D$9-SQRT((1-B312)*($D$9-$B$9)*($D$9-$C$9))),"PERT",_xlfn.BETA.INV(B312,1+$B$6*($C$9-$B$9)/($D$9-$B$9),1+$B$6*($D$9-$C$9)/($D$9-$B$9),$B$9,$D$9))</f>
        <v>1.8146196432927038</v>
      </c>
      <c r="E312" s="94" cm="1">
        <f t="array" aca="1" ref="E312" ca="1">_xlfn.SWITCH($B$4,"Normal MLE",EXP(_xlfn.NORM.INV(C312,LN($C$10),$E$10/$C$10)),"Uniforme",$B$10+($D$10-$B$10)*C312,"Triangular",IF(C312&lt;=($C$10-$B$10)/($D$10-$B$10),$B$10+SQRT(C312*($D$10-$B$10)*($C$10-$B$10)),$D$10-SQRT((1-C312)*($D$10-$B$10)*($D$10-$C$10))),"PERT",_xlfn.BETA.INV(C312,1+$B$6*($C$10-$B$10)/($D$10-$B$10),1+$B$6*($D$10-$C$10)/($D$10-$B$10),$B$10,$D$10))</f>
        <v>5048.4833023707051</v>
      </c>
      <c r="F312" s="88">
        <f t="shared" ca="1" si="13"/>
        <v>0.51920782283372646</v>
      </c>
      <c r="G312" s="89">
        <f t="shared" ca="1" si="14"/>
        <v>1.5438571201213986E-4</v>
      </c>
    </row>
    <row r="313" spans="1:7" x14ac:dyDescent="0.35">
      <c r="A313" s="84">
        <v>298</v>
      </c>
      <c r="B313" s="84">
        <f t="shared" ca="1" si="12"/>
        <v>0.88818000722553514</v>
      </c>
      <c r="C313" s="84">
        <f t="shared" ca="1" si="12"/>
        <v>4.3799909382304603E-2</v>
      </c>
      <c r="D313" s="93" cm="1">
        <f t="array" aca="1" ref="D313" ca="1">_xlfn.SWITCH($B$4,"Normal MLE",EXP(_xlfn.NORM.INV(B313,LN($C$9),$E$9/$C$9)),"Uniforme",$B$9+($D$9-$B$9)*B313,"Triangular",IF(B313&lt;=($C$9-$B$9)/($D$9-$B$9),$B$9+SQRT(B313*($D$9-$B$9)*($C$9-$B$9)),$D$9-SQRT((1-B313)*($D$9-$B$9)*($D$9-$C$9))),"PERT",_xlfn.BETA.INV(B313,1+$B$6*($C$9-$B$9)/($D$9-$B$9),1+$B$6*($D$9-$C$9)/($D$9-$B$9),$B$9,$D$9))</f>
        <v>2.12193975771453</v>
      </c>
      <c r="E313" s="94" cm="1">
        <f t="array" aca="1" ref="E313" ca="1">_xlfn.SWITCH($B$4,"Normal MLE",EXP(_xlfn.NORM.INV(C313,LN($C$10),$E$10/$C$10)),"Uniforme",$B$10+($D$10-$B$10)*C313,"Triangular",IF(C313&lt;=($C$10-$B$10)/($D$10-$B$10),$B$10+SQRT(C313*($D$10-$B$10)*($C$10-$B$10)),$D$10-SQRT((1-C313)*($D$10-$B$10)*($D$10-$C$10))),"PERT",_xlfn.BETA.INV(C313,1+$B$6*($C$10-$B$10)/($D$10-$B$10),1+$B$6*($D$10-$C$10)/($D$10-$B$10),$B$10,$D$10))</f>
        <v>4710.0893162911461</v>
      </c>
      <c r="F313" s="88">
        <f t="shared" ca="1" si="13"/>
        <v>0.49313071893868049</v>
      </c>
      <c r="G313" s="89">
        <f t="shared" ca="1" si="14"/>
        <v>1.8494510967598921E-4</v>
      </c>
    </row>
    <row r="314" spans="1:7" x14ac:dyDescent="0.35">
      <c r="A314" s="84">
        <v>299</v>
      </c>
      <c r="B314" s="84">
        <f t="shared" ca="1" si="12"/>
        <v>0.38530107128115609</v>
      </c>
      <c r="C314" s="84">
        <f t="shared" ca="1" si="12"/>
        <v>0.97483970660992747</v>
      </c>
      <c r="D314" s="93" cm="1">
        <f t="array" aca="1" ref="D314" ca="1">_xlfn.SWITCH($B$4,"Normal MLE",EXP(_xlfn.NORM.INV(B314,LN($C$9),$E$9/$C$9)),"Uniforme",$B$9+($D$9-$B$9)*B314,"Triangular",IF(B314&lt;=($C$9-$B$9)/($D$9-$B$9),$B$9+SQRT(B314*($D$9-$B$9)*($C$9-$B$9)),$D$9-SQRT((1-B314)*($D$9-$B$9)*($D$9-$C$9))),"PERT",_xlfn.BETA.INV(B314,1+$B$6*($C$9-$B$9)/($D$9-$B$9),1+$B$6*($D$9-$C$9)/($D$9-$B$9),$B$9,$D$9))</f>
        <v>1.9080911421759312</v>
      </c>
      <c r="E314" s="94" cm="1">
        <f t="array" aca="1" ref="E314" ca="1">_xlfn.SWITCH($B$4,"Normal MLE",EXP(_xlfn.NORM.INV(C314,LN($C$10),$E$10/$C$10)),"Uniforme",$B$10+($D$10-$B$10)*C314,"Triangular",IF(C314&lt;=($C$10-$B$10)/($D$10-$B$10),$B$10+SQRT(C314*($D$10-$B$10)*($C$10-$B$10)),$D$10-SQRT((1-C314)*($D$10-$B$10)*($D$10-$C$10))),"PERT",_xlfn.BETA.INV(C314,1+$B$6*($C$10-$B$10)/($D$10-$B$10),1+$B$6*($D$10-$C$10)/($D$10-$B$10),$B$10,$D$10))</f>
        <v>5586.0637366319743</v>
      </c>
      <c r="F314" s="88">
        <f t="shared" ca="1" si="13"/>
        <v>0.58934919947203446</v>
      </c>
      <c r="G314" s="89">
        <f t="shared" ca="1" si="14"/>
        <v>1.4864524938460112E-4</v>
      </c>
    </row>
    <row r="315" spans="1:7" x14ac:dyDescent="0.35">
      <c r="A315" s="84">
        <v>300</v>
      </c>
      <c r="B315" s="84">
        <f t="shared" ca="1" si="12"/>
        <v>0.84461754674563128</v>
      </c>
      <c r="C315" s="84">
        <f t="shared" ca="1" si="12"/>
        <v>0.76966582925450044</v>
      </c>
      <c r="D315" s="93" cm="1">
        <f t="array" aca="1" ref="D315" ca="1">_xlfn.SWITCH($B$4,"Normal MLE",EXP(_xlfn.NORM.INV(B315,LN($C$9),$E$9/$C$9)),"Uniforme",$B$9+($D$9-$B$9)*B315,"Triangular",IF(B315&lt;=($C$9-$B$9)/($D$9-$B$9),$B$9+SQRT(B315*($D$9-$B$9)*($C$9-$B$9)),$D$9-SQRT((1-B315)*($D$9-$B$9)*($D$9-$C$9))),"PERT",_xlfn.BETA.INV(B315,1+$B$6*($C$9-$B$9)/($D$9-$B$9),1+$B$6*($D$9-$C$9)/($D$9-$B$9),$B$9,$D$9))</f>
        <v>2.0917797112377832</v>
      </c>
      <c r="E315" s="94" cm="1">
        <f t="array" aca="1" ref="E315" ca="1">_xlfn.SWITCH($B$4,"Normal MLE",EXP(_xlfn.NORM.INV(C315,LN($C$10),$E$10/$C$10)),"Uniforme",$B$10+($D$10-$B$10)*C315,"Triangular",IF(C315&lt;=($C$10-$B$10)/($D$10-$B$10),$B$10+SQRT(C315*($D$10-$B$10)*($C$10-$B$10)),$D$10-SQRT((1-C315)*($D$10-$B$10)*($D$10-$C$10))),"PERT",_xlfn.BETA.INV(C315,1+$B$6*($C$10-$B$10)/($D$10-$B$10),1+$B$6*($D$10-$C$10)/($D$10-$B$10),$B$10,$D$10))</f>
        <v>5277.8939353437963</v>
      </c>
      <c r="F315" s="88">
        <f t="shared" ca="1" si="13"/>
        <v>0.57123830374714979</v>
      </c>
      <c r="G315" s="89">
        <f t="shared" ca="1" si="14"/>
        <v>1.6727136592054157E-4</v>
      </c>
    </row>
    <row r="316" spans="1:7" x14ac:dyDescent="0.35">
      <c r="A316" s="84">
        <v>301</v>
      </c>
      <c r="B316" s="84">
        <f t="shared" ca="1" si="12"/>
        <v>0.99861475036873748</v>
      </c>
      <c r="C316" s="84">
        <f t="shared" ca="1" si="12"/>
        <v>0.29428372977690953</v>
      </c>
      <c r="D316" s="93" cm="1">
        <f t="array" aca="1" ref="D316" ca="1">_xlfn.SWITCH($B$4,"Normal MLE",EXP(_xlfn.NORM.INV(B316,LN($C$9),$E$9/$C$9)),"Uniforme",$B$9+($D$9-$B$9)*B316,"Triangular",IF(B316&lt;=($C$9-$B$9)/($D$9-$B$9),$B$9+SQRT(B316*($D$9-$B$9)*($C$9-$B$9)),$D$9-SQRT((1-B316)*($D$9-$B$9)*($D$9-$C$9))),"PERT",_xlfn.BETA.INV(B316,1+$B$6*($C$9-$B$9)/($D$9-$B$9),1+$B$6*($D$9-$C$9)/($D$9-$B$9),$B$9,$D$9))</f>
        <v>2.4044954475548308</v>
      </c>
      <c r="E316" s="94" cm="1">
        <f t="array" aca="1" ref="E316" ca="1">_xlfn.SWITCH($B$4,"Normal MLE",EXP(_xlfn.NORM.INV(C316,LN($C$10),$E$10/$C$10)),"Uniforme",$B$10+($D$10-$B$10)*C316,"Triangular",IF(C316&lt;=($C$10-$B$10)/($D$10-$B$10),$B$10+SQRT(C316*($D$10-$B$10)*($C$10-$B$10)),$D$10-SQRT((1-C316)*($D$10-$B$10)*($D$10-$C$10))),"PERT",_xlfn.BETA.INV(C316,1+$B$6*($C$10-$B$10)/($D$10-$B$10),1+$B$6*($D$10-$C$10)/($D$10-$B$10),$B$10,$D$10))</f>
        <v>4973.0115423293619</v>
      </c>
      <c r="F316" s="88">
        <f t="shared" ca="1" si="13"/>
        <v>0.55298557978030993</v>
      </c>
      <c r="G316" s="89">
        <f t="shared" ca="1" si="14"/>
        <v>1.9692912210225226E-4</v>
      </c>
    </row>
    <row r="317" spans="1:7" x14ac:dyDescent="0.35">
      <c r="A317" s="84">
        <v>302</v>
      </c>
      <c r="B317" s="84">
        <f t="shared" ca="1" si="12"/>
        <v>0.36842331163203079</v>
      </c>
      <c r="C317" s="84">
        <f t="shared" ca="1" si="12"/>
        <v>0.45726867844075192</v>
      </c>
      <c r="D317" s="93" cm="1">
        <f t="array" aca="1" ref="D317" ca="1">_xlfn.SWITCH($B$4,"Normal MLE",EXP(_xlfn.NORM.INV(B317,LN($C$9),$E$9/$C$9)),"Uniforme",$B$9+($D$9-$B$9)*B317,"Triangular",IF(B317&lt;=($C$9-$B$9)/($D$9-$B$9),$B$9+SQRT(B317*($D$9-$B$9)*($C$9-$B$9)),$D$9-SQRT((1-B317)*($D$9-$B$9)*($D$9-$C$9))),"PERT",_xlfn.BETA.INV(B317,1+$B$6*($C$9-$B$9)/($D$9-$B$9),1+$B$6*($D$9-$C$9)/($D$9-$B$9),$B$9,$D$9))</f>
        <v>1.9021285744658203</v>
      </c>
      <c r="E317" s="94" cm="1">
        <f t="array" aca="1" ref="E317" ca="1">_xlfn.SWITCH($B$4,"Normal MLE",EXP(_xlfn.NORM.INV(C317,LN($C$10),$E$10/$C$10)),"Uniforme",$B$10+($D$10-$B$10)*C317,"Triangular",IF(C317&lt;=($C$10-$B$10)/($D$10-$B$10),$B$10+SQRT(C317*($D$10-$B$10)*($C$10-$B$10)),$D$10-SQRT((1-C317)*($D$10-$B$10)*($D$10-$C$10))),"PERT",_xlfn.BETA.INV(C317,1+$B$6*($C$10-$B$10)/($D$10-$B$10),1+$B$6*($D$10-$C$10)/($D$10-$B$10),$B$10,$D$10))</f>
        <v>5074.3715468856399</v>
      </c>
      <c r="F317" s="88">
        <f t="shared" ca="1" si="13"/>
        <v>0.52939756970488971</v>
      </c>
      <c r="G317" s="89">
        <f t="shared" ca="1" si="14"/>
        <v>1.60114099049937E-4</v>
      </c>
    </row>
    <row r="318" spans="1:7" x14ac:dyDescent="0.35">
      <c r="A318" s="84">
        <v>303</v>
      </c>
      <c r="B318" s="84">
        <f t="shared" ca="1" si="12"/>
        <v>0.55388162852362577</v>
      </c>
      <c r="C318" s="84">
        <f t="shared" ca="1" si="12"/>
        <v>0.94850349792053867</v>
      </c>
      <c r="D318" s="93" cm="1">
        <f t="array" aca="1" ref="D318" ca="1">_xlfn.SWITCH($B$4,"Normal MLE",EXP(_xlfn.NORM.INV(B318,LN($C$9),$E$9/$C$9)),"Uniforme",$B$9+($D$9-$B$9)*B318,"Triangular",IF(B318&lt;=($C$9-$B$9)/($D$9-$B$9),$B$9+SQRT(B318*($D$9-$B$9)*($C$9-$B$9)),$D$9-SQRT((1-B318)*($D$9-$B$9)*($D$9-$C$9))),"PERT",_xlfn.BETA.INV(B318,1+$B$6*($C$9-$B$9)/($D$9-$B$9),1+$B$6*($D$9-$C$9)/($D$9-$B$9),$B$9,$D$9))</f>
        <v>1.9663456312848608</v>
      </c>
      <c r="E318" s="94" cm="1">
        <f t="array" aca="1" ref="E318" ca="1">_xlfn.SWITCH($B$4,"Normal MLE",EXP(_xlfn.NORM.INV(C318,LN($C$10),$E$10/$C$10)),"Uniforme",$B$10+($D$10-$B$10)*C318,"Triangular",IF(C318&lt;=($C$10-$B$10)/($D$10-$B$10),$B$10+SQRT(C318*($D$10-$B$10)*($C$10-$B$10)),$D$10-SQRT((1-C318)*($D$10-$B$10)*($D$10-$C$10))),"PERT",_xlfn.BETA.INV(C318,1+$B$6*($C$10-$B$10)/($D$10-$B$10),1+$B$6*($D$10-$C$10)/($D$10-$B$10),$B$10,$D$10))</f>
        <v>5501.7785765733151</v>
      </c>
      <c r="F318" s="88">
        <f t="shared" ca="1" si="13"/>
        <v>0.58608819270143531</v>
      </c>
      <c r="G318" s="89">
        <f t="shared" ca="1" si="14"/>
        <v>1.5393444885381782E-4</v>
      </c>
    </row>
    <row r="319" spans="1:7" x14ac:dyDescent="0.35">
      <c r="A319" s="84">
        <v>304</v>
      </c>
      <c r="B319" s="84">
        <f t="shared" ca="1" si="12"/>
        <v>0.14967159487998083</v>
      </c>
      <c r="C319" s="84">
        <f t="shared" ca="1" si="12"/>
        <v>0.90016568060944324</v>
      </c>
      <c r="D319" s="93" cm="1">
        <f t="array" aca="1" ref="D319" ca="1">_xlfn.SWITCH($B$4,"Normal MLE",EXP(_xlfn.NORM.INV(B319,LN($C$9),$E$9/$C$9)),"Uniforme",$B$9+($D$9-$B$9)*B319,"Triangular",IF(B319&lt;=($C$9-$B$9)/($D$9-$B$9),$B$9+SQRT(B319*($D$9-$B$9)*($C$9-$B$9)),$D$9-SQRT((1-B319)*($D$9-$B$9)*($D$9-$C$9))),"PERT",_xlfn.BETA.INV(B319,1+$B$6*($C$9-$B$9)/($D$9-$B$9),1+$B$6*($D$9-$C$9)/($D$9-$B$9),$B$9,$D$9))</f>
        <v>1.8104083272882248</v>
      </c>
      <c r="E319" s="94" cm="1">
        <f t="array" aca="1" ref="E319" ca="1">_xlfn.SWITCH($B$4,"Normal MLE",EXP(_xlfn.NORM.INV(C319,LN($C$10),$E$10/$C$10)),"Uniforme",$B$10+($D$10-$B$10)*C319,"Triangular",IF(C319&lt;=($C$10-$B$10)/($D$10-$B$10),$B$10+SQRT(C319*($D$10-$B$10)*($C$10-$B$10)),$D$10-SQRT((1-C319)*($D$10-$B$10)*($D$10-$C$10))),"PERT",_xlfn.BETA.INV(C319,1+$B$6*($C$10-$B$10)/($D$10-$B$10),1+$B$6*($D$10-$C$10)/($D$10-$B$10),$B$10,$D$10))</f>
        <v>5413.396280742184</v>
      </c>
      <c r="F319" s="88">
        <f t="shared" ca="1" si="13"/>
        <v>0.56089479624152161</v>
      </c>
      <c r="G319" s="89">
        <f t="shared" ca="1" si="14"/>
        <v>1.4678866121866429E-4</v>
      </c>
    </row>
    <row r="320" spans="1:7" x14ac:dyDescent="0.35">
      <c r="A320" s="84">
        <v>305</v>
      </c>
      <c r="B320" s="84">
        <f t="shared" ca="1" si="12"/>
        <v>0.86173236569159717</v>
      </c>
      <c r="C320" s="84">
        <f t="shared" ca="1" si="12"/>
        <v>0.31191773776358955</v>
      </c>
      <c r="D320" s="93" cm="1">
        <f t="array" aca="1" ref="D320" ca="1">_xlfn.SWITCH($B$4,"Normal MLE",EXP(_xlfn.NORM.INV(B320,LN($C$9),$E$9/$C$9)),"Uniforme",$B$9+($D$9-$B$9)*B320,"Triangular",IF(B320&lt;=($C$9-$B$9)/($D$9-$B$9),$B$9+SQRT(B320*($D$9-$B$9)*($C$9-$B$9)),$D$9-SQRT((1-B320)*($D$9-$B$9)*($D$9-$C$9))),"PERT",_xlfn.BETA.INV(B320,1+$B$6*($C$9-$B$9)/($D$9-$B$9),1+$B$6*($D$9-$C$9)/($D$9-$B$9),$B$9,$D$9))</f>
        <v>2.1027850995847812</v>
      </c>
      <c r="E320" s="94" cm="1">
        <f t="array" aca="1" ref="E320" ca="1">_xlfn.SWITCH($B$4,"Normal MLE",EXP(_xlfn.NORM.INV(C320,LN($C$10),$E$10/$C$10)),"Uniforme",$B$10+($D$10-$B$10)*C320,"Triangular",IF(C320&lt;=($C$10-$B$10)/($D$10-$B$10),$B$10+SQRT(C320*($D$10-$B$10)*($C$10-$B$10)),$D$10-SQRT((1-C320)*($D$10-$B$10)*($D$10-$C$10))),"PERT",_xlfn.BETA.INV(C320,1+$B$6*($C$10-$B$10)/($D$10-$B$10),1+$B$6*($D$10-$C$10)/($D$10-$B$10),$B$10,$D$10))</f>
        <v>4984.7097689334523</v>
      </c>
      <c r="F320" s="88">
        <f t="shared" ca="1" si="13"/>
        <v>0.53284247943236673</v>
      </c>
      <c r="G320" s="89">
        <f t="shared" ca="1" si="14"/>
        <v>1.7633957140010813E-4</v>
      </c>
    </row>
    <row r="321" spans="1:7" x14ac:dyDescent="0.35">
      <c r="A321" s="84">
        <v>306</v>
      </c>
      <c r="B321" s="84">
        <f t="shared" ca="1" si="12"/>
        <v>0.35107210014146051</v>
      </c>
      <c r="C321" s="84">
        <f t="shared" ca="1" si="12"/>
        <v>0.53771051470599796</v>
      </c>
      <c r="D321" s="93" cm="1">
        <f t="array" aca="1" ref="D321" ca="1">_xlfn.SWITCH($B$4,"Normal MLE",EXP(_xlfn.NORM.INV(B321,LN($C$9),$E$9/$C$9)),"Uniforme",$B$9+($D$9-$B$9)*B321,"Triangular",IF(B321&lt;=($C$9-$B$9)/($D$9-$B$9),$B$9+SQRT(B321*($D$9-$B$9)*($C$9-$B$9)),$D$9-SQRT((1-B321)*($D$9-$B$9)*($D$9-$C$9))),"PERT",_xlfn.BETA.INV(B321,1+$B$6*($C$9-$B$9)/($D$9-$B$9),1+$B$6*($D$9-$C$9)/($D$9-$B$9),$B$9,$D$9))</f>
        <v>1.8959241848184136</v>
      </c>
      <c r="E321" s="94" cm="1">
        <f t="array" aca="1" ref="E321" ca="1">_xlfn.SWITCH($B$4,"Normal MLE",EXP(_xlfn.NORM.INV(C321,LN($C$10),$E$10/$C$10)),"Uniforme",$B$10+($D$10-$B$10)*C321,"Triangular",IF(C321&lt;=($C$10-$B$10)/($D$10-$B$10),$B$10+SQRT(C321*($D$10-$B$10)*($C$10-$B$10)),$D$10-SQRT((1-C321)*($D$10-$B$10)*($D$10-$C$10))),"PERT",_xlfn.BETA.INV(C321,1+$B$6*($C$10-$B$10)/($D$10-$B$10),1+$B$6*($D$10-$C$10)/($D$10-$B$10),$B$10,$D$10))</f>
        <v>5122.29149844519</v>
      </c>
      <c r="F321" s="88">
        <f t="shared" ca="1" si="13"/>
        <v>0.53488422690414639</v>
      </c>
      <c r="G321" s="89">
        <f t="shared" ca="1" si="14"/>
        <v>1.5863183932183489E-4</v>
      </c>
    </row>
    <row r="322" spans="1:7" x14ac:dyDescent="0.35">
      <c r="A322" s="84">
        <v>307</v>
      </c>
      <c r="B322" s="84">
        <f t="shared" ca="1" si="12"/>
        <v>0.2737981481518964</v>
      </c>
      <c r="C322" s="84">
        <f t="shared" ca="1" si="12"/>
        <v>0.3028927723160374</v>
      </c>
      <c r="D322" s="93" cm="1">
        <f t="array" aca="1" ref="D322" ca="1">_xlfn.SWITCH($B$4,"Normal MLE",EXP(_xlfn.NORM.INV(B322,LN($C$9),$E$9/$C$9)),"Uniforme",$B$9+($D$9-$B$9)*B322,"Triangular",IF(B322&lt;=($C$9-$B$9)/($D$9-$B$9),$B$9+SQRT(B322*($D$9-$B$9)*($C$9-$B$9)),$D$9-SQRT((1-B322)*($D$9-$B$9)*($D$9-$C$9))),"PERT",_xlfn.BETA.INV(B322,1+$B$6*($C$9-$B$9)/($D$9-$B$9),1+$B$6*($D$9-$C$9)/($D$9-$B$9),$B$9,$D$9))</f>
        <v>1.8669179142799284</v>
      </c>
      <c r="E322" s="94" cm="1">
        <f t="array" aca="1" ref="E322" ca="1">_xlfn.SWITCH($B$4,"Normal MLE",EXP(_xlfn.NORM.INV(C322,LN($C$10),$E$10/$C$10)),"Uniforme",$B$10+($D$10-$B$10)*C322,"Triangular",IF(C322&lt;=($C$10-$B$10)/($D$10-$B$10),$B$10+SQRT(C322*($D$10-$B$10)*($C$10-$B$10)),$D$10-SQRT((1-C322)*($D$10-$B$10)*($D$10-$C$10))),"PERT",_xlfn.BETA.INV(C322,1+$B$6*($C$10-$B$10)/($D$10-$B$10),1+$B$6*($D$10-$C$10)/($D$10-$B$10),$B$10,$D$10))</f>
        <v>4978.7573284438131</v>
      </c>
      <c r="F322" s="88">
        <f t="shared" ca="1" si="13"/>
        <v>0.51450396776868423</v>
      </c>
      <c r="G322" s="89">
        <f t="shared" ca="1" si="14"/>
        <v>1.5958164485517E-4</v>
      </c>
    </row>
    <row r="323" spans="1:7" x14ac:dyDescent="0.35">
      <c r="A323" s="84">
        <v>308</v>
      </c>
      <c r="B323" s="84">
        <f t="shared" ca="1" si="12"/>
        <v>3.7013125262295499E-2</v>
      </c>
      <c r="C323" s="84">
        <f t="shared" ca="1" si="12"/>
        <v>0.34367472341324168</v>
      </c>
      <c r="D323" s="93" cm="1">
        <f t="array" aca="1" ref="D323" ca="1">_xlfn.SWITCH($B$4,"Normal MLE",EXP(_xlfn.NORM.INV(B323,LN($C$9),$E$9/$C$9)),"Uniforme",$B$9+($D$9-$B$9)*B323,"Triangular",IF(B323&lt;=($C$9-$B$9)/($D$9-$B$9),$B$9+SQRT(B323*($D$9-$B$9)*($C$9-$B$9)),$D$9-SQRT((1-B323)*($D$9-$B$9)*($D$9-$C$9))),"PERT",_xlfn.BETA.INV(B323,1+$B$6*($C$9-$B$9)/($D$9-$B$9),1+$B$6*($D$9-$C$9)/($D$9-$B$9),$B$9,$D$9))</f>
        <v>1.717441736530535</v>
      </c>
      <c r="E323" s="94" cm="1">
        <f t="array" aca="1" ref="E323" ca="1">_xlfn.SWITCH($B$4,"Normal MLE",EXP(_xlfn.NORM.INV(C323,LN($C$10),$E$10/$C$10)),"Uniforme",$B$10+($D$10-$B$10)*C323,"Triangular",IF(C323&lt;=($C$10-$B$10)/($D$10-$B$10),$B$10+SQRT(C323*($D$10-$B$10)*($C$10-$B$10)),$D$10-SQRT((1-C323)*($D$10-$B$10)*($D$10-$C$10))),"PERT",_xlfn.BETA.INV(C323,1+$B$6*($C$10-$B$10)/($D$10-$B$10),1+$B$6*($D$10-$C$10)/($D$10-$B$10),$B$10,$D$10))</f>
        <v>5005.156436559203</v>
      </c>
      <c r="F323" s="88">
        <f t="shared" ca="1" si="13"/>
        <v>0.50639091859581276</v>
      </c>
      <c r="G323" s="89">
        <f t="shared" ca="1" si="14"/>
        <v>1.4794551823240306E-4</v>
      </c>
    </row>
    <row r="324" spans="1:7" x14ac:dyDescent="0.35">
      <c r="A324" s="84">
        <v>309</v>
      </c>
      <c r="B324" s="84">
        <f t="shared" ca="1" si="12"/>
        <v>3.9918068620777847E-3</v>
      </c>
      <c r="C324" s="84">
        <f t="shared" ca="1" si="12"/>
        <v>0.74003754584731507</v>
      </c>
      <c r="D324" s="93" cm="1">
        <f t="array" aca="1" ref="D324" ca="1">_xlfn.SWITCH($B$4,"Normal MLE",EXP(_xlfn.NORM.INV(B324,LN($C$9),$E$9/$C$9)),"Uniforme",$B$9+($D$9-$B$9)*B324,"Triangular",IF(B324&lt;=($C$9-$B$9)/($D$9-$B$9),$B$9+SQRT(B324*($D$9-$B$9)*($C$9-$B$9)),$D$9-SQRT((1-B324)*($D$9-$B$9)*($D$9-$C$9))),"PERT",_xlfn.BETA.INV(B324,1+$B$6*($C$9-$B$9)/($D$9-$B$9),1+$B$6*($D$9-$C$9)/($D$9-$B$9),$B$9,$D$9))</f>
        <v>1.6158007589936487</v>
      </c>
      <c r="E324" s="94" cm="1">
        <f t="array" aca="1" ref="E324" ca="1">_xlfn.SWITCH($B$4,"Normal MLE",EXP(_xlfn.NORM.INV(C324,LN($C$10),$E$10/$C$10)),"Uniforme",$B$10+($D$10-$B$10)*C324,"Triangular",IF(C324&lt;=($C$10-$B$10)/($D$10-$B$10),$B$10+SQRT(C324*($D$10-$B$10)*($C$10-$B$10)),$D$10-SQRT((1-C324)*($D$10-$B$10)*($D$10-$C$10))),"PERT",_xlfn.BETA.INV(C324,1+$B$6*($C$10-$B$10)/($D$10-$B$10),1+$B$6*($D$10-$C$10)/($D$10-$B$10),$B$10,$D$10))</f>
        <v>5254.7878232110597</v>
      </c>
      <c r="F324" s="88">
        <f t="shared" ca="1" si="13"/>
        <v>0.52546038393228234</v>
      </c>
      <c r="G324" s="89">
        <f t="shared" ca="1" si="14"/>
        <v>1.3658505177672358E-4</v>
      </c>
    </row>
    <row r="325" spans="1:7" x14ac:dyDescent="0.35">
      <c r="A325" s="84">
        <v>310</v>
      </c>
      <c r="B325" s="84">
        <f t="shared" ca="1" si="12"/>
        <v>0.17208916037199795</v>
      </c>
      <c r="C325" s="84">
        <f t="shared" ca="1" si="12"/>
        <v>0.29670703242359509</v>
      </c>
      <c r="D325" s="93" cm="1">
        <f t="array" aca="1" ref="D325" ca="1">_xlfn.SWITCH($B$4,"Normal MLE",EXP(_xlfn.NORM.INV(B325,LN($C$9),$E$9/$C$9)),"Uniforme",$B$9+($D$9-$B$9)*B325,"Triangular",IF(B325&lt;=($C$9-$B$9)/($D$9-$B$9),$B$9+SQRT(B325*($D$9-$B$9)*($C$9-$B$9)),$D$9-SQRT((1-B325)*($D$9-$B$9)*($D$9-$C$9))),"PERT",_xlfn.BETA.INV(B325,1+$B$6*($C$9-$B$9)/($D$9-$B$9),1+$B$6*($D$9-$C$9)/($D$9-$B$9),$B$9,$D$9))</f>
        <v>1.8221626240449562</v>
      </c>
      <c r="E325" s="94" cm="1">
        <f t="array" aca="1" ref="E325" ca="1">_xlfn.SWITCH($B$4,"Normal MLE",EXP(_xlfn.NORM.INV(C325,LN($C$10),$E$10/$C$10)),"Uniforme",$B$10+($D$10-$B$10)*C325,"Triangular",IF(C325&lt;=($C$10-$B$10)/($D$10-$B$10),$B$10+SQRT(C325*($D$10-$B$10)*($C$10-$B$10)),$D$10-SQRT((1-C325)*($D$10-$B$10)*($D$10-$C$10))),"PERT",_xlfn.BETA.INV(C325,1+$B$6*($C$10-$B$10)/($D$10-$B$10),1+$B$6*($D$10-$C$10)/($D$10-$B$10),$B$10,$D$10))</f>
        <v>4974.6358735831827</v>
      </c>
      <c r="F325" s="88">
        <f t="shared" ca="1" si="13"/>
        <v>0.51063122591441223</v>
      </c>
      <c r="G325" s="89">
        <f t="shared" ca="1" si="14"/>
        <v>1.5634116060778919E-4</v>
      </c>
    </row>
    <row r="326" spans="1:7" x14ac:dyDescent="0.35">
      <c r="A326" s="84">
        <v>311</v>
      </c>
      <c r="B326" s="84">
        <f t="shared" ca="1" si="12"/>
        <v>0.77674445493888844</v>
      </c>
      <c r="C326" s="84">
        <f t="shared" ca="1" si="12"/>
        <v>0.50282798065085132</v>
      </c>
      <c r="D326" s="93" cm="1">
        <f t="array" aca="1" ref="D326" ca="1">_xlfn.SWITCH($B$4,"Normal MLE",EXP(_xlfn.NORM.INV(B326,LN($C$9),$E$9/$C$9)),"Uniforme",$B$9+($D$9-$B$9)*B326,"Triangular",IF(B326&lt;=($C$9-$B$9)/($D$9-$B$9),$B$9+SQRT(B326*($D$9-$B$9)*($C$9-$B$9)),$D$9-SQRT((1-B326)*($D$9-$B$9)*($D$9-$C$9))),"PERT",_xlfn.BETA.INV(B326,1+$B$6*($C$9-$B$9)/($D$9-$B$9),1+$B$6*($D$9-$C$9)/($D$9-$B$9),$B$9,$D$9))</f>
        <v>2.0549329131224412</v>
      </c>
      <c r="E326" s="94" cm="1">
        <f t="array" aca="1" ref="E326" ca="1">_xlfn.SWITCH($B$4,"Normal MLE",EXP(_xlfn.NORM.INV(C326,LN($C$10),$E$10/$C$10)),"Uniforme",$B$10+($D$10-$B$10)*C326,"Triangular",IF(C326&lt;=($C$10-$B$10)/($D$10-$B$10),$B$10+SQRT(C326*($D$10-$B$10)*($C$10-$B$10)),$D$10-SQRT((1-C326)*($D$10-$B$10)*($D$10-$C$10))),"PERT",_xlfn.BETA.INV(C326,1+$B$6*($C$10-$B$10)/($D$10-$B$10),1+$B$6*($D$10-$C$10)/($D$10-$B$10),$B$10,$D$10))</f>
        <v>5101.4585242483981</v>
      </c>
      <c r="F326" s="88">
        <f t="shared" ca="1" si="13"/>
        <v>0.54518156644257276</v>
      </c>
      <c r="G326" s="89">
        <f t="shared" ca="1" si="14"/>
        <v>1.6990543786150127E-4</v>
      </c>
    </row>
    <row r="327" spans="1:7" x14ac:dyDescent="0.35">
      <c r="A327" s="84">
        <v>312</v>
      </c>
      <c r="B327" s="84">
        <f t="shared" ca="1" si="12"/>
        <v>0.59734263500242113</v>
      </c>
      <c r="C327" s="84">
        <f t="shared" ca="1" si="12"/>
        <v>0.83840712959540853</v>
      </c>
      <c r="D327" s="93" cm="1">
        <f t="array" aca="1" ref="D327" ca="1">_xlfn.SWITCH($B$4,"Normal MLE",EXP(_xlfn.NORM.INV(B327,LN($C$9),$E$9/$C$9)),"Uniforme",$B$9+($D$9-$B$9)*B327,"Triangular",IF(B327&lt;=($C$9-$B$9)/($D$9-$B$9),$B$9+SQRT(B327*($D$9-$B$9)*($C$9-$B$9)),$D$9-SQRT((1-B327)*($D$9-$B$9)*($D$9-$C$9))),"PERT",_xlfn.BETA.INV(B327,1+$B$6*($C$9-$B$9)/($D$9-$B$9),1+$B$6*($D$9-$C$9)/($D$9-$B$9),$B$9,$D$9))</f>
        <v>1.9817759621185171</v>
      </c>
      <c r="E327" s="94" cm="1">
        <f t="array" aca="1" ref="E327" ca="1">_xlfn.SWITCH($B$4,"Normal MLE",EXP(_xlfn.NORM.INV(C327,LN($C$10),$E$10/$C$10)),"Uniforme",$B$10+($D$10-$B$10)*C327,"Triangular",IF(C327&lt;=($C$10-$B$10)/($D$10-$B$10),$B$10+SQRT(C327*($D$10-$B$10)*($C$10-$B$10)),$D$10-SQRT((1-C327)*($D$10-$B$10)*($D$10-$C$10))),"PERT",_xlfn.BETA.INV(C327,1+$B$6*($C$10-$B$10)/($D$10-$B$10),1+$B$6*($D$10-$C$10)/($D$10-$B$10),$B$10,$D$10))</f>
        <v>5339.699383563212</v>
      </c>
      <c r="F327" s="88">
        <f t="shared" ca="1" si="13"/>
        <v>0.56885963718917931</v>
      </c>
      <c r="G327" s="89">
        <f t="shared" ca="1" si="14"/>
        <v>1.5899094187330176E-4</v>
      </c>
    </row>
    <row r="328" spans="1:7" x14ac:dyDescent="0.35">
      <c r="A328" s="84">
        <v>313</v>
      </c>
      <c r="B328" s="84">
        <f t="shared" ca="1" si="12"/>
        <v>0.22684813040437346</v>
      </c>
      <c r="C328" s="84">
        <f t="shared" ca="1" si="12"/>
        <v>0.48868999072683184</v>
      </c>
      <c r="D328" s="93" cm="1">
        <f t="array" aca="1" ref="D328" ca="1">_xlfn.SWITCH($B$4,"Normal MLE",EXP(_xlfn.NORM.INV(B328,LN($C$9),$E$9/$C$9)),"Uniforme",$B$9+($D$9-$B$9)*B328,"Triangular",IF(B328&lt;=($C$9-$B$9)/($D$9-$B$9),$B$9+SQRT(B328*($D$9-$B$9)*($C$9-$B$9)),$D$9-SQRT((1-B328)*($D$9-$B$9)*($D$9-$C$9))),"PERT",_xlfn.BETA.INV(B328,1+$B$6*($C$9-$B$9)/($D$9-$B$9),1+$B$6*($D$9-$C$9)/($D$9-$B$9),$B$9,$D$9))</f>
        <v>1.8475746450031705</v>
      </c>
      <c r="E328" s="94" cm="1">
        <f t="array" aca="1" ref="E328" ca="1">_xlfn.SWITCH($B$4,"Normal MLE",EXP(_xlfn.NORM.INV(C328,LN($C$10),$E$10/$C$10)),"Uniforme",$B$10+($D$10-$B$10)*C328,"Triangular",IF(C328&lt;=($C$10-$B$10)/($D$10-$B$10),$B$10+SQRT(C328*($D$10-$B$10)*($C$10-$B$10)),$D$10-SQRT((1-C328)*($D$10-$B$10)*($D$10-$C$10))),"PERT",_xlfn.BETA.INV(C328,1+$B$6*($C$10-$B$10)/($D$10-$B$10),1+$B$6*($D$10-$C$10)/($D$10-$B$10),$B$10,$D$10))</f>
        <v>5093.0516545191185</v>
      </c>
      <c r="F328" s="88">
        <f t="shared" ca="1" si="13"/>
        <v>0.52731105436635195</v>
      </c>
      <c r="G328" s="89">
        <f t="shared" ca="1" si="14"/>
        <v>1.5587084007208637E-4</v>
      </c>
    </row>
    <row r="329" spans="1:7" x14ac:dyDescent="0.35">
      <c r="A329" s="84">
        <v>314</v>
      </c>
      <c r="B329" s="84">
        <f t="shared" ca="1" si="12"/>
        <v>0.68142076565233112</v>
      </c>
      <c r="C329" s="84">
        <f t="shared" ca="1" si="12"/>
        <v>0.46782346433162891</v>
      </c>
      <c r="D329" s="93" cm="1">
        <f t="array" aca="1" ref="D329" ca="1">_xlfn.SWITCH($B$4,"Normal MLE",EXP(_xlfn.NORM.INV(B329,LN($C$9),$E$9/$C$9)),"Uniforme",$B$9+($D$9-$B$9)*B329,"Triangular",IF(B329&lt;=($C$9-$B$9)/($D$9-$B$9),$B$9+SQRT(B329*($D$9-$B$9)*($C$9-$B$9)),$D$9-SQRT((1-B329)*($D$9-$B$9)*($D$9-$C$9))),"PERT",_xlfn.BETA.INV(B329,1+$B$6*($C$9-$B$9)/($D$9-$B$9),1+$B$6*($D$9-$C$9)/($D$9-$B$9),$B$9,$D$9))</f>
        <v>2.0134545051462784</v>
      </c>
      <c r="E329" s="94" cm="1">
        <f t="array" aca="1" ref="E329" ca="1">_xlfn.SWITCH($B$4,"Normal MLE",EXP(_xlfn.NORM.INV(C329,LN($C$10),$E$10/$C$10)),"Uniforme",$B$10+($D$10-$B$10)*C329,"Triangular",IF(C329&lt;=($C$10-$B$10)/($D$10-$B$10),$B$10+SQRT(C329*($D$10-$B$10)*($C$10-$B$10)),$D$10-SQRT((1-C329)*($D$10-$B$10)*($D$10-$C$10))),"PERT",_xlfn.BETA.INV(C329,1+$B$6*($C$10-$B$10)/($D$10-$B$10),1+$B$6*($D$10-$C$10)/($D$10-$B$10),$B$10,$D$10))</f>
        <v>5080.6506259150956</v>
      </c>
      <c r="F329" s="88">
        <f t="shared" ca="1" si="13"/>
        <v>0.53910157761203947</v>
      </c>
      <c r="G329" s="89">
        <f t="shared" ca="1" si="14"/>
        <v>1.6766266933071638E-4</v>
      </c>
    </row>
    <row r="330" spans="1:7" x14ac:dyDescent="0.35">
      <c r="A330" s="84">
        <v>315</v>
      </c>
      <c r="B330" s="84">
        <f t="shared" ca="1" si="12"/>
        <v>0.55061878050801372</v>
      </c>
      <c r="C330" s="84">
        <f t="shared" ca="1" si="12"/>
        <v>0.83742473951390006</v>
      </c>
      <c r="D330" s="93" cm="1">
        <f t="array" aca="1" ref="D330" ca="1">_xlfn.SWITCH($B$4,"Normal MLE",EXP(_xlfn.NORM.INV(B330,LN($C$9),$E$9/$C$9)),"Uniforme",$B$9+($D$9-$B$9)*B330,"Triangular",IF(B330&lt;=($C$9-$B$9)/($D$9-$B$9),$B$9+SQRT(B330*($D$9-$B$9)*($C$9-$B$9)),$D$9-SQRT((1-B330)*($D$9-$B$9)*($D$9-$C$9))),"PERT",_xlfn.BETA.INV(B330,1+$B$6*($C$9-$B$9)/($D$9-$B$9),1+$B$6*($D$9-$C$9)/($D$9-$B$9),$B$9,$D$9))</f>
        <v>1.9652036450412045</v>
      </c>
      <c r="E330" s="94" cm="1">
        <f t="array" aca="1" ref="E330" ca="1">_xlfn.SWITCH($B$4,"Normal MLE",EXP(_xlfn.NORM.INV(C330,LN($C$10),$E$10/$C$10)),"Uniforme",$B$10+($D$10-$B$10)*C330,"Triangular",IF(C330&lt;=($C$10-$B$10)/($D$10-$B$10),$B$10+SQRT(C330*($D$10-$B$10)*($C$10-$B$10)),$D$10-SQRT((1-C330)*($D$10-$B$10)*($D$10-$C$10))),"PERT",_xlfn.BETA.INV(C330,1+$B$6*($C$10-$B$10)/($D$10-$B$10),1+$B$6*($D$10-$C$10)/($D$10-$B$10),$B$10,$D$10))</f>
        <v>5338.7046577173896</v>
      </c>
      <c r="F330" s="88">
        <f t="shared" ca="1" si="13"/>
        <v>0.5672040071871266</v>
      </c>
      <c r="G330" s="89">
        <f t="shared" ca="1" si="14"/>
        <v>1.580147670811075E-4</v>
      </c>
    </row>
    <row r="331" spans="1:7" x14ac:dyDescent="0.35">
      <c r="A331" s="84">
        <v>316</v>
      </c>
      <c r="B331" s="84">
        <f t="shared" ca="1" si="12"/>
        <v>0.96911749465227115</v>
      </c>
      <c r="C331" s="84">
        <f t="shared" ca="1" si="12"/>
        <v>0.23201657300036649</v>
      </c>
      <c r="D331" s="93" cm="1">
        <f t="array" aca="1" ref="D331" ca="1">_xlfn.SWITCH($B$4,"Normal MLE",EXP(_xlfn.NORM.INV(B331,LN($C$9),$E$9/$C$9)),"Uniforme",$B$9+($D$9-$B$9)*B331,"Triangular",IF(B331&lt;=($C$9-$B$9)/($D$9-$B$9),$B$9+SQRT(B331*($D$9-$B$9)*($C$9-$B$9)),$D$9-SQRT((1-B331)*($D$9-$B$9)*($D$9-$C$9))),"PERT",_xlfn.BETA.INV(B331,1+$B$6*($C$9-$B$9)/($D$9-$B$9),1+$B$6*($D$9-$C$9)/($D$9-$B$9),$B$9,$D$9))</f>
        <v>2.2214916031870255</v>
      </c>
      <c r="E331" s="94" cm="1">
        <f t="array" aca="1" ref="E331" ca="1">_xlfn.SWITCH($B$4,"Normal MLE",EXP(_xlfn.NORM.INV(C331,LN($C$10),$E$10/$C$10)),"Uniforme",$B$10+($D$10-$B$10)*C331,"Triangular",IF(C331&lt;=($C$10-$B$10)/($D$10-$B$10),$B$10+SQRT(C331*($D$10-$B$10)*($C$10-$B$10)),$D$10-SQRT((1-C331)*($D$10-$B$10)*($D$10-$C$10))),"PERT",_xlfn.BETA.INV(C331,1+$B$6*($C$10-$B$10)/($D$10-$B$10),1+$B$6*($D$10-$C$10)/($D$10-$B$10),$B$10,$D$10))</f>
        <v>4928.9361905406458</v>
      </c>
      <c r="F331" s="88">
        <f t="shared" ca="1" si="13"/>
        <v>0.53322104609033338</v>
      </c>
      <c r="G331" s="89">
        <f t="shared" ca="1" si="14"/>
        <v>1.8621633502492467E-4</v>
      </c>
    </row>
    <row r="332" spans="1:7" x14ac:dyDescent="0.35">
      <c r="A332" s="84">
        <v>317</v>
      </c>
      <c r="B332" s="84">
        <f t="shared" ca="1" si="12"/>
        <v>0.86240423133002642</v>
      </c>
      <c r="C332" s="84">
        <f t="shared" ca="1" si="12"/>
        <v>0.45785537275797061</v>
      </c>
      <c r="D332" s="93" cm="1">
        <f t="array" aca="1" ref="D332" ca="1">_xlfn.SWITCH($B$4,"Normal MLE",EXP(_xlfn.NORM.INV(B332,LN($C$9),$E$9/$C$9)),"Uniforme",$B$9+($D$9-$B$9)*B332,"Triangular",IF(B332&lt;=($C$9-$B$9)/($D$9-$B$9),$B$9+SQRT(B332*($D$9-$B$9)*($C$9-$B$9)),$D$9-SQRT((1-B332)*($D$9-$B$9)*($D$9-$C$9))),"PERT",_xlfn.BETA.INV(B332,1+$B$6*($C$9-$B$9)/($D$9-$B$9),1+$B$6*($D$9-$C$9)/($D$9-$B$9),$B$9,$D$9))</f>
        <v>2.1032366834897775</v>
      </c>
      <c r="E332" s="94" cm="1">
        <f t="array" aca="1" ref="E332" ca="1">_xlfn.SWITCH($B$4,"Normal MLE",EXP(_xlfn.NORM.INV(C332,LN($C$10),$E$10/$C$10)),"Uniforme",$B$10+($D$10-$B$10)*C332,"Triangular",IF(C332&lt;=($C$10-$B$10)/($D$10-$B$10),$B$10+SQRT(C332*($D$10-$B$10)*($C$10-$B$10)),$D$10-SQRT((1-C332)*($D$10-$B$10)*($D$10-$C$10))),"PERT",_xlfn.BETA.INV(C332,1+$B$6*($C$10-$B$10)/($D$10-$B$10),1+$B$6*($D$10-$C$10)/($D$10-$B$10),$B$10,$D$10))</f>
        <v>5074.7207987755573</v>
      </c>
      <c r="F332" s="88">
        <f t="shared" ca="1" si="13"/>
        <v>0.54541190974798637</v>
      </c>
      <c r="G332" s="89">
        <f t="shared" ca="1" si="14"/>
        <v>1.7385160940156281E-4</v>
      </c>
    </row>
    <row r="333" spans="1:7" x14ac:dyDescent="0.35">
      <c r="A333" s="84">
        <v>318</v>
      </c>
      <c r="B333" s="84">
        <f t="shared" ca="1" si="12"/>
        <v>0.68276225836713422</v>
      </c>
      <c r="C333" s="84">
        <f t="shared" ca="1" si="12"/>
        <v>0.10345346241825815</v>
      </c>
      <c r="D333" s="93" cm="1">
        <f t="array" aca="1" ref="D333" ca="1">_xlfn.SWITCH($B$4,"Normal MLE",EXP(_xlfn.NORM.INV(B333,LN($C$9),$E$9/$C$9)),"Uniforme",$B$9+($D$9-$B$9)*B333,"Triangular",IF(B333&lt;=($C$9-$B$9)/($D$9-$B$9),$B$9+SQRT(B333*($D$9-$B$9)*($C$9-$B$9)),$D$9-SQRT((1-B333)*($D$9-$B$9)*($D$9-$C$9))),"PERT",_xlfn.BETA.INV(B333,1+$B$6*($C$9-$B$9)/($D$9-$B$9),1+$B$6*($D$9-$C$9)/($D$9-$B$9),$B$9,$D$9))</f>
        <v>2.0139879223845867</v>
      </c>
      <c r="E333" s="94" cm="1">
        <f t="array" aca="1" ref="E333" ca="1">_xlfn.SWITCH($B$4,"Normal MLE",EXP(_xlfn.NORM.INV(C333,LN($C$10),$E$10/$C$10)),"Uniforme",$B$10+($D$10-$B$10)*C333,"Triangular",IF(C333&lt;=($C$10-$B$10)/($D$10-$B$10),$B$10+SQRT(C333*($D$10-$B$10)*($C$10-$B$10)),$D$10-SQRT((1-C333)*($D$10-$B$10)*($D$10-$C$10))),"PERT",_xlfn.BETA.INV(C333,1+$B$6*($C$10-$B$10)/($D$10-$B$10),1+$B$6*($D$10-$C$10)/($D$10-$B$10),$B$10,$D$10))</f>
        <v>4808.8833975750713</v>
      </c>
      <c r="F333" s="88">
        <f t="shared" ca="1" si="13"/>
        <v>0.50152539737569057</v>
      </c>
      <c r="G333" s="89">
        <f t="shared" ca="1" si="14"/>
        <v>1.7426191281128084E-4</v>
      </c>
    </row>
    <row r="334" spans="1:7" x14ac:dyDescent="0.35">
      <c r="A334" s="84">
        <v>319</v>
      </c>
      <c r="B334" s="84">
        <f t="shared" ca="1" si="12"/>
        <v>0.80847051138363502</v>
      </c>
      <c r="C334" s="84">
        <f t="shared" ca="1" si="12"/>
        <v>0.80355957214280838</v>
      </c>
      <c r="D334" s="93" cm="1">
        <f t="array" aca="1" ref="D334" ca="1">_xlfn.SWITCH($B$4,"Normal MLE",EXP(_xlfn.NORM.INV(B334,LN($C$9),$E$9/$C$9)),"Uniforme",$B$9+($D$9-$B$9)*B334,"Triangular",IF(B334&lt;=($C$9-$B$9)/($D$9-$B$9),$B$9+SQRT(B334*($D$9-$B$9)*($C$9-$B$9)),$D$9-SQRT((1-B334)*($D$9-$B$9)*($D$9-$C$9))),"PERT",_xlfn.BETA.INV(B334,1+$B$6*($C$9-$B$9)/($D$9-$B$9),1+$B$6*($D$9-$C$9)/($D$9-$B$9),$B$9,$D$9))</f>
        <v>2.0710626617935279</v>
      </c>
      <c r="E334" s="94" cm="1">
        <f t="array" aca="1" ref="E334" ca="1">_xlfn.SWITCH($B$4,"Normal MLE",EXP(_xlfn.NORM.INV(C334,LN($C$10),$E$10/$C$10)),"Uniforme",$B$10+($D$10-$B$10)*C334,"Triangular",IF(C334&lt;=($C$10-$B$10)/($D$10-$B$10),$B$10+SQRT(C334*($D$10-$B$10)*($C$10-$B$10)),$D$10-SQRT((1-C334)*($D$10-$B$10)*($D$10-$C$10))),"PERT",_xlfn.BETA.INV(C334,1+$B$6*($C$10-$B$10)/($D$10-$B$10),1+$B$6*($D$10-$C$10)/($D$10-$B$10),$B$10,$D$10))</f>
        <v>5306.6233635817989</v>
      </c>
      <c r="F334" s="88">
        <f t="shared" ca="1" si="13"/>
        <v>0.57299526626674224</v>
      </c>
      <c r="G334" s="89">
        <f t="shared" ca="1" si="14"/>
        <v>1.65212995406233E-4</v>
      </c>
    </row>
    <row r="335" spans="1:7" x14ac:dyDescent="0.35">
      <c r="A335" s="84">
        <v>320</v>
      </c>
      <c r="B335" s="84">
        <f t="shared" ca="1" si="12"/>
        <v>0.60925896309202443</v>
      </c>
      <c r="C335" s="84">
        <f t="shared" ca="1" si="12"/>
        <v>0.76452111469207729</v>
      </c>
      <c r="D335" s="93" cm="1">
        <f t="array" aca="1" ref="D335" ca="1">_xlfn.SWITCH($B$4,"Normal MLE",EXP(_xlfn.NORM.INV(B335,LN($C$9),$E$9/$C$9)),"Uniforme",$B$9+($D$9-$B$9)*B335,"Triangular",IF(B335&lt;=($C$9-$B$9)/($D$9-$B$9),$B$9+SQRT(B335*($D$9-$B$9)*($C$9-$B$9)),$D$9-SQRT((1-B335)*($D$9-$B$9)*($D$9-$C$9))),"PERT",_xlfn.BETA.INV(B335,1+$B$6*($C$9-$B$9)/($D$9-$B$9),1+$B$6*($D$9-$C$9)/($D$9-$B$9),$B$9,$D$9))</f>
        <v>1.9860947978479122</v>
      </c>
      <c r="E335" s="94" cm="1">
        <f t="array" aca="1" ref="E335" ca="1">_xlfn.SWITCH($B$4,"Normal MLE",EXP(_xlfn.NORM.INV(C335,LN($C$10),$E$10/$C$10)),"Uniforme",$B$10+($D$10-$B$10)*C335,"Triangular",IF(C335&lt;=($C$10-$B$10)/($D$10-$B$10),$B$10+SQRT(C335*($D$10-$B$10)*($C$10-$B$10)),$D$10-SQRT((1-C335)*($D$10-$B$10)*($D$10-$C$10))),"PERT",_xlfn.BETA.INV(C335,1+$B$6*($C$10-$B$10)/($D$10-$B$10),1+$B$6*($D$10-$C$10)/($D$10-$B$10),$B$10,$D$10))</f>
        <v>5273.7632300573432</v>
      </c>
      <c r="F335" s="88">
        <f t="shared" ca="1" si="13"/>
        <v>0.5613026955947209</v>
      </c>
      <c r="G335" s="89">
        <f t="shared" ca="1" si="14"/>
        <v>1.6094789637024492E-4</v>
      </c>
    </row>
    <row r="336" spans="1:7" x14ac:dyDescent="0.35">
      <c r="A336" s="84">
        <v>321</v>
      </c>
      <c r="B336" s="84">
        <f t="shared" ca="1" si="12"/>
        <v>0.49680152132948718</v>
      </c>
      <c r="C336" s="84">
        <f t="shared" ca="1" si="12"/>
        <v>0.13426802279114847</v>
      </c>
      <c r="D336" s="93" cm="1">
        <f t="array" aca="1" ref="D336" ca="1">_xlfn.SWITCH($B$4,"Normal MLE",EXP(_xlfn.NORM.INV(B336,LN($C$9),$E$9/$C$9)),"Uniforme",$B$9+($D$9-$B$9)*B336,"Triangular",IF(B336&lt;=($C$9-$B$9)/($D$9-$B$9),$B$9+SQRT(B336*($D$9-$B$9)*($C$9-$B$9)),$D$9-SQRT((1-B336)*($D$9-$B$9)*($D$9-$C$9))),"PERT",_xlfn.BETA.INV(B336,1+$B$6*($C$9-$B$9)/($D$9-$B$9),1+$B$6*($D$9-$C$9)/($D$9-$B$9),$B$9,$D$9))</f>
        <v>1.9465764873357303</v>
      </c>
      <c r="E336" s="94" cm="1">
        <f t="array" aca="1" ref="E336" ca="1">_xlfn.SWITCH($B$4,"Normal MLE",EXP(_xlfn.NORM.INV(C336,LN($C$10),$E$10/$C$10)),"Uniforme",$B$10+($D$10-$B$10)*C336,"Triangular",IF(C336&lt;=($C$10-$B$10)/($D$10-$B$10),$B$10+SQRT(C336*($D$10-$B$10)*($C$10-$B$10)),$D$10-SQRT((1-C336)*($D$10-$B$10)*($D$10-$C$10))),"PERT",_xlfn.BETA.INV(C336,1+$B$6*($C$10-$B$10)/($D$10-$B$10),1+$B$6*($D$10-$C$10)/($D$10-$B$10),$B$10,$D$10))</f>
        <v>4843.8467915590827</v>
      </c>
      <c r="F336" s="88">
        <f t="shared" ca="1" si="13"/>
        <v>0.50210889461073349</v>
      </c>
      <c r="G336" s="89">
        <f t="shared" ca="1" si="14"/>
        <v>1.6834092194100117E-4</v>
      </c>
    </row>
    <row r="337" spans="1:7" x14ac:dyDescent="0.35">
      <c r="A337" s="84">
        <v>322</v>
      </c>
      <c r="B337" s="84">
        <f t="shared" ref="B337:C400" ca="1" si="15">RAND()</f>
        <v>0.7995070219329109</v>
      </c>
      <c r="C337" s="84">
        <f t="shared" ca="1" si="15"/>
        <v>0.52633927858935792</v>
      </c>
      <c r="D337" s="93" cm="1">
        <f t="array" aca="1" ref="D337" ca="1">_xlfn.SWITCH($B$4,"Normal MLE",EXP(_xlfn.NORM.INV(B337,LN($C$9),$E$9/$C$9)),"Uniforme",$B$9+($D$9-$B$9)*B337,"Triangular",IF(B337&lt;=($C$9-$B$9)/($D$9-$B$9),$B$9+SQRT(B337*($D$9-$B$9)*($C$9-$B$9)),$D$9-SQRT((1-B337)*($D$9-$B$9)*($D$9-$C$9))),"PERT",_xlfn.BETA.INV(B337,1+$B$6*($C$9-$B$9)/($D$9-$B$9),1+$B$6*($D$9-$C$9)/($D$9-$B$9),$B$9,$D$9))</f>
        <v>2.0663409506825992</v>
      </c>
      <c r="E337" s="94" cm="1">
        <f t="array" aca="1" ref="E337" ca="1">_xlfn.SWITCH($B$4,"Normal MLE",EXP(_xlfn.NORM.INV(C337,LN($C$10),$E$10/$C$10)),"Uniforme",$B$10+($D$10-$B$10)*C337,"Triangular",IF(C337&lt;=($C$10-$B$10)/($D$10-$B$10),$B$10+SQRT(C337*($D$10-$B$10)*($C$10-$B$10)),$D$10-SQRT((1-C337)*($D$10-$B$10)*($D$10-$C$10))),"PERT",_xlfn.BETA.INV(C337,1+$B$6*($C$10-$B$10)/($D$10-$B$10),1+$B$6*($D$10-$C$10)/($D$10-$B$10),$B$10,$D$10))</f>
        <v>5115.4796741262171</v>
      </c>
      <c r="F337" s="88">
        <f t="shared" ref="F337:F400" ca="1" si="16">EXP(-POWER($B$12/E337,D337))</f>
        <v>0.54797031852416844</v>
      </c>
      <c r="G337" s="89">
        <f t="shared" ref="G337:G400" ca="1" si="17">(D337/E337)*POWER($B$12/E337,D337-1)*EXP(-POWER($B$12/E337,D337))</f>
        <v>1.7027830527913197E-4</v>
      </c>
    </row>
    <row r="338" spans="1:7" x14ac:dyDescent="0.35">
      <c r="A338" s="84">
        <v>323</v>
      </c>
      <c r="B338" s="84">
        <f t="shared" ca="1" si="15"/>
        <v>0.22537261727225788</v>
      </c>
      <c r="C338" s="84">
        <f t="shared" ca="1" si="15"/>
        <v>0.37957538864481832</v>
      </c>
      <c r="D338" s="93" cm="1">
        <f t="array" aca="1" ref="D338" ca="1">_xlfn.SWITCH($B$4,"Normal MLE",EXP(_xlfn.NORM.INV(B338,LN($C$9),$E$9/$C$9)),"Uniforme",$B$9+($D$9-$B$9)*B338,"Triangular",IF(B338&lt;=($C$9-$B$9)/($D$9-$B$9),$B$9+SQRT(B338*($D$9-$B$9)*($C$9-$B$9)),$D$9-SQRT((1-B338)*($D$9-$B$9)*($D$9-$C$9))),"PERT",_xlfn.BETA.INV(B338,1+$B$6*($C$9-$B$9)/($D$9-$B$9),1+$B$6*($D$9-$C$9)/($D$9-$B$9),$B$9,$D$9))</f>
        <v>1.8469364414670413</v>
      </c>
      <c r="E338" s="94" cm="1">
        <f t="array" aca="1" ref="E338" ca="1">_xlfn.SWITCH($B$4,"Normal MLE",EXP(_xlfn.NORM.INV(C338,LN($C$10),$E$10/$C$10)),"Uniforme",$B$10+($D$10-$B$10)*C338,"Triangular",IF(C338&lt;=($C$10-$B$10)/($D$10-$B$10),$B$10+SQRT(C338*($D$10-$B$10)*($C$10-$B$10)),$D$10-SQRT((1-C338)*($D$10-$B$10)*($D$10-$C$10))),"PERT",_xlfn.BETA.INV(C338,1+$B$6*($C$10-$B$10)/($D$10-$B$10),1+$B$6*($D$10-$C$10)/($D$10-$B$10),$B$10,$D$10))</f>
        <v>5027.5328494120731</v>
      </c>
      <c r="F338" s="88">
        <f t="shared" ca="1" si="16"/>
        <v>0.51915428376553208</v>
      </c>
      <c r="G338" s="89">
        <f t="shared" ca="1" si="17"/>
        <v>1.5714370357252015E-4</v>
      </c>
    </row>
    <row r="339" spans="1:7" x14ac:dyDescent="0.35">
      <c r="A339" s="84">
        <v>324</v>
      </c>
      <c r="B339" s="84">
        <f t="shared" ca="1" si="15"/>
        <v>0.2118216777954397</v>
      </c>
      <c r="C339" s="84">
        <f t="shared" ca="1" si="15"/>
        <v>0.95208604721298062</v>
      </c>
      <c r="D339" s="93" cm="1">
        <f t="array" aca="1" ref="D339" ca="1">_xlfn.SWITCH($B$4,"Normal MLE",EXP(_xlfn.NORM.INV(B339,LN($C$9),$E$9/$C$9)),"Uniforme",$B$9+($D$9-$B$9)*B339,"Triangular",IF(B339&lt;=($C$9-$B$9)/($D$9-$B$9),$B$9+SQRT(B339*($D$9-$B$9)*($C$9-$B$9)),$D$9-SQRT((1-B339)*($D$9-$B$9)*($D$9-$C$9))),"PERT",_xlfn.BETA.INV(B339,1+$B$6*($C$9-$B$9)/($D$9-$B$9),1+$B$6*($D$9-$C$9)/($D$9-$B$9),$B$9,$D$9))</f>
        <v>1.8409707085175326</v>
      </c>
      <c r="E339" s="94" cm="1">
        <f t="array" aca="1" ref="E339" ca="1">_xlfn.SWITCH($B$4,"Normal MLE",EXP(_xlfn.NORM.INV(C339,LN($C$10),$E$10/$C$10)),"Uniforme",$B$10+($D$10-$B$10)*C339,"Triangular",IF(C339&lt;=($C$10-$B$10)/($D$10-$B$10),$B$10+SQRT(C339*($D$10-$B$10)*($C$10-$B$10)),$D$10-SQRT((1-C339)*($D$10-$B$10)*($D$10-$C$10))),"PERT",_xlfn.BETA.INV(C339,1+$B$6*($C$10-$B$10)/($D$10-$B$10),1+$B$6*($D$10-$C$10)/($D$10-$B$10),$B$10,$D$10))</f>
        <v>5510.7240350058628</v>
      </c>
      <c r="F339" s="88">
        <f t="shared" ca="1" si="16"/>
        <v>0.57441083197998133</v>
      </c>
      <c r="G339" s="89">
        <f t="shared" ca="1" si="17"/>
        <v>1.4656857972564861E-4</v>
      </c>
    </row>
    <row r="340" spans="1:7" x14ac:dyDescent="0.35">
      <c r="A340" s="84">
        <v>325</v>
      </c>
      <c r="B340" s="84">
        <f t="shared" ca="1" si="15"/>
        <v>0.27977426436992658</v>
      </c>
      <c r="C340" s="84">
        <f t="shared" ca="1" si="15"/>
        <v>0.17178733166552629</v>
      </c>
      <c r="D340" s="93" cm="1">
        <f t="array" aca="1" ref="D340" ca="1">_xlfn.SWITCH($B$4,"Normal MLE",EXP(_xlfn.NORM.INV(B340,LN($C$9),$E$9/$C$9)),"Uniforme",$B$9+($D$9-$B$9)*B340,"Triangular",IF(B340&lt;=($C$9-$B$9)/($D$9-$B$9),$B$9+SQRT(B340*($D$9-$B$9)*($C$9-$B$9)),$D$9-SQRT((1-B340)*($D$9-$B$9)*($D$9-$C$9))),"PERT",_xlfn.BETA.INV(B340,1+$B$6*($C$9-$B$9)/($D$9-$B$9),1+$B$6*($D$9-$C$9)/($D$9-$B$9),$B$9,$D$9))</f>
        <v>1.869266567916307</v>
      </c>
      <c r="E340" s="94" cm="1">
        <f t="array" aca="1" ref="E340" ca="1">_xlfn.SWITCH($B$4,"Normal MLE",EXP(_xlfn.NORM.INV(C340,LN($C$10),$E$10/$C$10)),"Uniforme",$B$10+($D$10-$B$10)*C340,"Triangular",IF(C340&lt;=($C$10-$B$10)/($D$10-$B$10),$B$10+SQRT(C340*($D$10-$B$10)*($C$10-$B$10)),$D$10-SQRT((1-C340)*($D$10-$B$10)*($D$10-$C$10))),"PERT",_xlfn.BETA.INV(C340,1+$B$6*($C$10-$B$10)/($D$10-$B$10),1+$B$6*($D$10-$C$10)/($D$10-$B$10),$B$10,$D$10))</f>
        <v>4879.8904838293829</v>
      </c>
      <c r="F340" s="88">
        <f t="shared" ca="1" si="16"/>
        <v>0.50178357442358024</v>
      </c>
      <c r="G340" s="89">
        <f t="shared" ca="1" si="17"/>
        <v>1.617023615871022E-4</v>
      </c>
    </row>
    <row r="341" spans="1:7" x14ac:dyDescent="0.35">
      <c r="A341" s="84">
        <v>326</v>
      </c>
      <c r="B341" s="84">
        <f t="shared" ca="1" si="15"/>
        <v>0.14862054191923402</v>
      </c>
      <c r="C341" s="84">
        <f t="shared" ca="1" si="15"/>
        <v>0.25468363706409292</v>
      </c>
      <c r="D341" s="93" cm="1">
        <f t="array" aca="1" ref="D341" ca="1">_xlfn.SWITCH($B$4,"Normal MLE",EXP(_xlfn.NORM.INV(B341,LN($C$9),$E$9/$C$9)),"Uniforme",$B$9+($D$9-$B$9)*B341,"Triangular",IF(B341&lt;=($C$9-$B$9)/($D$9-$B$9),$B$9+SQRT(B341*($D$9-$B$9)*($C$9-$B$9)),$D$9-SQRT((1-B341)*($D$9-$B$9)*($D$9-$C$9))),"PERT",_xlfn.BETA.INV(B341,1+$B$6*($C$9-$B$9)/($D$9-$B$9),1+$B$6*($D$9-$C$9)/($D$9-$B$9),$B$9,$D$9))</f>
        <v>1.8098315226668658</v>
      </c>
      <c r="E341" s="94" cm="1">
        <f t="array" aca="1" ref="E341" ca="1">_xlfn.SWITCH($B$4,"Normal MLE",EXP(_xlfn.NORM.INV(C341,LN($C$10),$E$10/$C$10)),"Uniforme",$B$10+($D$10-$B$10)*C341,"Triangular",IF(C341&lt;=($C$10-$B$10)/($D$10-$B$10),$B$10+SQRT(C341*($D$10-$B$10)*($C$10-$B$10)),$D$10-SQRT((1-C341)*($D$10-$B$10)*($D$10-$C$10))),"PERT",_xlfn.BETA.INV(C341,1+$B$6*($C$10-$B$10)/($D$10-$B$10),1+$B$6*($D$10-$C$10)/($D$10-$B$10),$B$10,$D$10))</f>
        <v>4945.5698830154652</v>
      </c>
      <c r="F341" s="88">
        <f t="shared" ca="1" si="16"/>
        <v>0.50605871099410193</v>
      </c>
      <c r="G341" s="89">
        <f t="shared" ca="1" si="17"/>
        <v>1.559522308468343E-4</v>
      </c>
    </row>
    <row r="342" spans="1:7" x14ac:dyDescent="0.35">
      <c r="A342" s="84">
        <v>327</v>
      </c>
      <c r="B342" s="84">
        <f t="shared" ca="1" si="15"/>
        <v>0.83521884322343354</v>
      </c>
      <c r="C342" s="84">
        <f t="shared" ca="1" si="15"/>
        <v>0.28730741103598345</v>
      </c>
      <c r="D342" s="93" cm="1">
        <f t="array" aca="1" ref="D342" ca="1">_xlfn.SWITCH($B$4,"Normal MLE",EXP(_xlfn.NORM.INV(B342,LN($C$9),$E$9/$C$9)),"Uniforme",$B$9+($D$9-$B$9)*B342,"Triangular",IF(B342&lt;=($C$9-$B$9)/($D$9-$B$9),$B$9+SQRT(B342*($D$9-$B$9)*($C$9-$B$9)),$D$9-SQRT((1-B342)*($D$9-$B$9)*($D$9-$C$9))),"PERT",_xlfn.BETA.INV(B342,1+$B$6*($C$9-$B$9)/($D$9-$B$9),1+$B$6*($D$9-$C$9)/($D$9-$B$9),$B$9,$D$9))</f>
        <v>2.0860982722564723</v>
      </c>
      <c r="E342" s="94" cm="1">
        <f t="array" aca="1" ref="E342" ca="1">_xlfn.SWITCH($B$4,"Normal MLE",EXP(_xlfn.NORM.INV(C342,LN($C$10),$E$10/$C$10)),"Uniforme",$B$10+($D$10-$B$10)*C342,"Triangular",IF(C342&lt;=($C$10-$B$10)/($D$10-$B$10),$B$10+SQRT(C342*($D$10-$B$10)*($C$10-$B$10)),$D$10-SQRT((1-C342)*($D$10-$B$10)*($D$10-$C$10))),"PERT",_xlfn.BETA.INV(C342,1+$B$6*($C$10-$B$10)/($D$10-$B$10),1+$B$6*($D$10-$C$10)/($D$10-$B$10),$B$10,$D$10))</f>
        <v>4968.3033278491212</v>
      </c>
      <c r="F342" s="88">
        <f t="shared" ca="1" si="16"/>
        <v>0.52929675058671211</v>
      </c>
      <c r="G342" s="89">
        <f t="shared" ca="1" si="17"/>
        <v>1.7561911619268084E-4</v>
      </c>
    </row>
    <row r="343" spans="1:7" x14ac:dyDescent="0.35">
      <c r="A343" s="84">
        <v>328</v>
      </c>
      <c r="B343" s="84">
        <f t="shared" ca="1" si="15"/>
        <v>0.2533094710380428</v>
      </c>
      <c r="C343" s="84">
        <f t="shared" ca="1" si="15"/>
        <v>8.4086689621500121E-2</v>
      </c>
      <c r="D343" s="93" cm="1">
        <f t="array" aca="1" ref="D343" ca="1">_xlfn.SWITCH($B$4,"Normal MLE",EXP(_xlfn.NORM.INV(B343,LN($C$9),$E$9/$C$9)),"Uniforme",$B$9+($D$9-$B$9)*B343,"Triangular",IF(B343&lt;=($C$9-$B$9)/($D$9-$B$9),$B$9+SQRT(B343*($D$9-$B$9)*($C$9-$B$9)),$D$9-SQRT((1-B343)*($D$9-$B$9)*($D$9-$C$9))),"PERT",_xlfn.BETA.INV(B343,1+$B$6*($C$9-$B$9)/($D$9-$B$9),1+$B$6*($D$9-$C$9)/($D$9-$B$9),$B$9,$D$9))</f>
        <v>1.8586871121604744</v>
      </c>
      <c r="E343" s="94" cm="1">
        <f t="array" aca="1" ref="E343" ca="1">_xlfn.SWITCH($B$4,"Normal MLE",EXP(_xlfn.NORM.INV(C343,LN($C$10),$E$10/$C$10)),"Uniforme",$B$10+($D$10-$B$10)*C343,"Triangular",IF(C343&lt;=($C$10-$B$10)/($D$10-$B$10),$B$10+SQRT(C343*($D$10-$B$10)*($C$10-$B$10)),$D$10-SQRT((1-C343)*($D$10-$B$10)*($D$10-$C$10))),"PERT",_xlfn.BETA.INV(C343,1+$B$6*($C$10-$B$10)/($D$10-$B$10),1+$B$6*($D$10-$C$10)/($D$10-$B$10),$B$10,$D$10))</f>
        <v>4782.9994156597368</v>
      </c>
      <c r="F343" s="88">
        <f t="shared" ca="1" si="16"/>
        <v>0.48807626243655039</v>
      </c>
      <c r="G343" s="89">
        <f t="shared" ca="1" si="17"/>
        <v>1.626765261514565E-4</v>
      </c>
    </row>
    <row r="344" spans="1:7" x14ac:dyDescent="0.35">
      <c r="A344" s="84">
        <v>329</v>
      </c>
      <c r="B344" s="84">
        <f t="shared" ca="1" si="15"/>
        <v>0.5679750786252532</v>
      </c>
      <c r="C344" s="84">
        <f t="shared" ca="1" si="15"/>
        <v>0.22813513928074036</v>
      </c>
      <c r="D344" s="93" cm="1">
        <f t="array" aca="1" ref="D344" ca="1">_xlfn.SWITCH($B$4,"Normal MLE",EXP(_xlfn.NORM.INV(B344,LN($C$9),$E$9/$C$9)),"Uniforme",$B$9+($D$9-$B$9)*B344,"Triangular",IF(B344&lt;=($C$9-$B$9)/($D$9-$B$9),$B$9+SQRT(B344*($D$9-$B$9)*($C$9-$B$9)),$D$9-SQRT((1-B344)*($D$9-$B$9)*($D$9-$C$9))),"PERT",_xlfn.BETA.INV(B344,1+$B$6*($C$9-$B$9)/($D$9-$B$9),1+$B$6*($D$9-$C$9)/($D$9-$B$9),$B$9,$D$9))</f>
        <v>1.9713016797842255</v>
      </c>
      <c r="E344" s="94" cm="1">
        <f t="array" aca="1" ref="E344" ca="1">_xlfn.SWITCH($B$4,"Normal MLE",EXP(_xlfn.NORM.INV(C344,LN($C$10),$E$10/$C$10)),"Uniforme",$B$10+($D$10-$B$10)*C344,"Triangular",IF(C344&lt;=($C$10-$B$10)/($D$10-$B$10),$B$10+SQRT(C344*($D$10-$B$10)*($C$10-$B$10)),$D$10-SQRT((1-C344)*($D$10-$B$10)*($D$10-$C$10))),"PERT",_xlfn.BETA.INV(C344,1+$B$6*($C$10-$B$10)/($D$10-$B$10),1+$B$6*($D$10-$C$10)/($D$10-$B$10),$B$10,$D$10))</f>
        <v>4926.0056691351956</v>
      </c>
      <c r="F344" s="88">
        <f t="shared" ca="1" si="16"/>
        <v>0.51513634023847454</v>
      </c>
      <c r="G344" s="89">
        <f t="shared" ca="1" si="17"/>
        <v>1.6839949588501804E-4</v>
      </c>
    </row>
    <row r="345" spans="1:7" x14ac:dyDescent="0.35">
      <c r="A345" s="84">
        <v>330</v>
      </c>
      <c r="B345" s="84">
        <f t="shared" ca="1" si="15"/>
        <v>0.49057936077490494</v>
      </c>
      <c r="C345" s="84">
        <f t="shared" ca="1" si="15"/>
        <v>0.47854011255303908</v>
      </c>
      <c r="D345" s="93" cm="1">
        <f t="array" aca="1" ref="D345" ca="1">_xlfn.SWITCH($B$4,"Normal MLE",EXP(_xlfn.NORM.INV(B345,LN($C$9),$E$9/$C$9)),"Uniforme",$B$9+($D$9-$B$9)*B345,"Triangular",IF(B345&lt;=($C$9-$B$9)/($D$9-$B$9),$B$9+SQRT(B345*($D$9-$B$9)*($C$9-$B$9)),$D$9-SQRT((1-B345)*($D$9-$B$9)*($D$9-$C$9))),"PERT",_xlfn.BETA.INV(B345,1+$B$6*($C$9-$B$9)/($D$9-$B$9),1+$B$6*($D$9-$C$9)/($D$9-$B$9),$B$9,$D$9))</f>
        <v>1.9444394326947645</v>
      </c>
      <c r="E345" s="94" cm="1">
        <f t="array" aca="1" ref="E345" ca="1">_xlfn.SWITCH($B$4,"Normal MLE",EXP(_xlfn.NORM.INV(C345,LN($C$10),$E$10/$C$10)),"Uniforme",$B$10+($D$10-$B$10)*C345,"Triangular",IF(C345&lt;=($C$10-$B$10)/($D$10-$B$10),$B$10+SQRT(C345*($D$10-$B$10)*($C$10-$B$10)),$D$10-SQRT((1-C345)*($D$10-$B$10)*($D$10-$C$10))),"PERT",_xlfn.BETA.INV(C345,1+$B$6*($C$10-$B$10)/($D$10-$B$10),1+$B$6*($D$10-$C$10)/($D$10-$B$10),$B$10,$D$10))</f>
        <v>5087.0201869362545</v>
      </c>
      <c r="F345" s="88">
        <f t="shared" ca="1" si="16"/>
        <v>0.53440308425112737</v>
      </c>
      <c r="G345" s="89">
        <f t="shared" ca="1" si="17"/>
        <v>1.6277854456404122E-4</v>
      </c>
    </row>
    <row r="346" spans="1:7" x14ac:dyDescent="0.35">
      <c r="A346" s="84">
        <v>331</v>
      </c>
      <c r="B346" s="84">
        <f t="shared" ca="1" si="15"/>
        <v>0.49857577509702289</v>
      </c>
      <c r="C346" s="84">
        <f t="shared" ca="1" si="15"/>
        <v>0.56738947172723997</v>
      </c>
      <c r="D346" s="93" cm="1">
        <f t="array" aca="1" ref="D346" ca="1">_xlfn.SWITCH($B$4,"Normal MLE",EXP(_xlfn.NORM.INV(B346,LN($C$9),$E$9/$C$9)),"Uniforme",$B$9+($D$9-$B$9)*B346,"Triangular",IF(B346&lt;=($C$9-$B$9)/($D$9-$B$9),$B$9+SQRT(B346*($D$9-$B$9)*($C$9-$B$9)),$D$9-SQRT((1-B346)*($D$9-$B$9)*($D$9-$C$9))),"PERT",_xlfn.BETA.INV(B346,1+$B$6*($C$9-$B$9)/($D$9-$B$9),1+$B$6*($D$9-$C$9)/($D$9-$B$9),$B$9,$D$9))</f>
        <v>1.94718622859687</v>
      </c>
      <c r="E346" s="94" cm="1">
        <f t="array" aca="1" ref="E346" ca="1">_xlfn.SWITCH($B$4,"Normal MLE",EXP(_xlfn.NORM.INV(C346,LN($C$10),$E$10/$C$10)),"Uniforme",$B$10+($D$10-$B$10)*C346,"Triangular",IF(C346&lt;=($C$10-$B$10)/($D$10-$B$10),$B$10+SQRT(C346*($D$10-$B$10)*($C$10-$B$10)),$D$10-SQRT((1-C346)*($D$10-$B$10)*($D$10-$C$10))),"PERT",_xlfn.BETA.INV(C346,1+$B$6*($C$10-$B$10)/($D$10-$B$10),1+$B$6*($D$10-$C$10)/($D$10-$B$10),$B$10,$D$10))</f>
        <v>5140.2152929605381</v>
      </c>
      <c r="F346" s="88">
        <f t="shared" ca="1" si="16"/>
        <v>0.5413795370279697</v>
      </c>
      <c r="G346" s="89">
        <f t="shared" ca="1" si="17"/>
        <v>1.6171832850187675E-4</v>
      </c>
    </row>
    <row r="347" spans="1:7" x14ac:dyDescent="0.35">
      <c r="A347" s="84">
        <v>332</v>
      </c>
      <c r="B347" s="84">
        <f t="shared" ca="1" si="15"/>
        <v>0.62137812264477921</v>
      </c>
      <c r="C347" s="84">
        <f t="shared" ca="1" si="15"/>
        <v>0.42009078380369513</v>
      </c>
      <c r="D347" s="93" cm="1">
        <f t="array" aca="1" ref="D347" ca="1">_xlfn.SWITCH($B$4,"Normal MLE",EXP(_xlfn.NORM.INV(B347,LN($C$9),$E$9/$C$9)),"Uniforme",$B$9+($D$9-$B$9)*B347,"Triangular",IF(B347&lt;=($C$9-$B$9)/($D$9-$B$9),$B$9+SQRT(B347*($D$9-$B$9)*($C$9-$B$9)),$D$9-SQRT((1-B347)*($D$9-$B$9)*($D$9-$C$9))),"PERT",_xlfn.BETA.INV(B347,1+$B$6*($C$9-$B$9)/($D$9-$B$9),1+$B$6*($D$9-$C$9)/($D$9-$B$9),$B$9,$D$9))</f>
        <v>1.9905352782837717</v>
      </c>
      <c r="E347" s="94" cm="1">
        <f t="array" aca="1" ref="E347" ca="1">_xlfn.SWITCH($B$4,"Normal MLE",EXP(_xlfn.NORM.INV(C347,LN($C$10),$E$10/$C$10)),"Uniforme",$B$10+($D$10-$B$10)*C347,"Triangular",IF(C347&lt;=($C$10-$B$10)/($D$10-$B$10),$B$10+SQRT(C347*($D$10-$B$10)*($C$10-$B$10)),$D$10-SQRT((1-C347)*($D$10-$B$10)*($D$10-$C$10))),"PERT",_xlfn.BETA.INV(C347,1+$B$6*($C$10-$B$10)/($D$10-$B$10),1+$B$6*($D$10-$C$10)/($D$10-$B$10),$B$10,$D$10))</f>
        <v>5052.1426959389464</v>
      </c>
      <c r="F347" s="88">
        <f t="shared" ca="1" si="16"/>
        <v>0.53352763264924075</v>
      </c>
      <c r="G347" s="89">
        <f t="shared" ca="1" si="17"/>
        <v>1.6679976763595532E-4</v>
      </c>
    </row>
    <row r="348" spans="1:7" x14ac:dyDescent="0.35">
      <c r="A348" s="84">
        <v>333</v>
      </c>
      <c r="B348" s="84">
        <f t="shared" ca="1" si="15"/>
        <v>0.217710358235499</v>
      </c>
      <c r="C348" s="84">
        <f t="shared" ca="1" si="15"/>
        <v>0.15936277036072166</v>
      </c>
      <c r="D348" s="93" cm="1">
        <f t="array" aca="1" ref="D348" ca="1">_xlfn.SWITCH($B$4,"Normal MLE",EXP(_xlfn.NORM.INV(B348,LN($C$9),$E$9/$C$9)),"Uniforme",$B$9+($D$9-$B$9)*B348,"Triangular",IF(B348&lt;=($C$9-$B$9)/($D$9-$B$9),$B$9+SQRT(B348*($D$9-$B$9)*($C$9-$B$9)),$D$9-SQRT((1-B348)*($D$9-$B$9)*($D$9-$C$9))),"PERT",_xlfn.BETA.INV(B348,1+$B$6*($C$9-$B$9)/($D$9-$B$9),1+$B$6*($D$9-$C$9)/($D$9-$B$9),$B$9,$D$9))</f>
        <v>1.8435870331845536</v>
      </c>
      <c r="E348" s="94" cm="1">
        <f t="array" aca="1" ref="E348" ca="1">_xlfn.SWITCH($B$4,"Normal MLE",EXP(_xlfn.NORM.INV(C348,LN($C$10),$E$10/$C$10)),"Uniforme",$B$10+($D$10-$B$10)*C348,"Triangular",IF(C348&lt;=($C$10-$B$10)/($D$10-$B$10),$B$10+SQRT(C348*($D$10-$B$10)*($C$10-$B$10)),$D$10-SQRT((1-C348)*($D$10-$B$10)*($D$10-$C$10))),"PERT",_xlfn.BETA.INV(C348,1+$B$6*($C$10-$B$10)/($D$10-$B$10),1+$B$6*($D$10-$C$10)/($D$10-$B$10),$B$10,$D$10))</f>
        <v>4868.5598868205998</v>
      </c>
      <c r="F348" s="88">
        <f t="shared" ca="1" si="16"/>
        <v>0.49852921933784605</v>
      </c>
      <c r="G348" s="89">
        <f t="shared" ca="1" si="17"/>
        <v>1.5994165506976439E-4</v>
      </c>
    </row>
    <row r="349" spans="1:7" x14ac:dyDescent="0.35">
      <c r="A349" s="84">
        <v>334</v>
      </c>
      <c r="B349" s="84">
        <f t="shared" ca="1" si="15"/>
        <v>0.74764971791914203</v>
      </c>
      <c r="C349" s="84">
        <f t="shared" ca="1" si="15"/>
        <v>0.35316890520308286</v>
      </c>
      <c r="D349" s="93" cm="1">
        <f t="array" aca="1" ref="D349" ca="1">_xlfn.SWITCH($B$4,"Normal MLE",EXP(_xlfn.NORM.INV(B349,LN($C$9),$E$9/$C$9)),"Uniforme",$B$9+($D$9-$B$9)*B349,"Triangular",IF(B349&lt;=($C$9-$B$9)/($D$9-$B$9),$B$9+SQRT(B349*($D$9-$B$9)*($C$9-$B$9)),$D$9-SQRT((1-B349)*($D$9-$B$9)*($D$9-$C$9))),"PERT",_xlfn.BETA.INV(B349,1+$B$6*($C$9-$B$9)/($D$9-$B$9),1+$B$6*($D$9-$C$9)/($D$9-$B$9),$B$9,$D$9))</f>
        <v>2.0413563195751578</v>
      </c>
      <c r="E349" s="94" cm="1">
        <f t="array" aca="1" ref="E349" ca="1">_xlfn.SWITCH($B$4,"Normal MLE",EXP(_xlfn.NORM.INV(C349,LN($C$10),$E$10/$C$10)),"Uniforme",$B$10+($D$10-$B$10)*C349,"Triangular",IF(C349&lt;=($C$10-$B$10)/($D$10-$B$10),$B$10+SQRT(C349*($D$10-$B$10)*($C$10-$B$10)),$D$10-SQRT((1-C349)*($D$10-$B$10)*($D$10-$C$10))),"PERT",_xlfn.BETA.INV(C349,1+$B$6*($C$10-$B$10)/($D$10-$B$10),1+$B$6*($D$10-$C$10)/($D$10-$B$10),$B$10,$D$10))</f>
        <v>5011.1401546698526</v>
      </c>
      <c r="F349" s="88">
        <f t="shared" ca="1" si="16"/>
        <v>0.53192827224864625</v>
      </c>
      <c r="G349" s="89">
        <f t="shared" ca="1" si="17"/>
        <v>1.7136059819897238E-4</v>
      </c>
    </row>
    <row r="350" spans="1:7" x14ac:dyDescent="0.35">
      <c r="A350" s="84">
        <v>335</v>
      </c>
      <c r="B350" s="84">
        <f t="shared" ca="1" si="15"/>
        <v>0.86637994944262875</v>
      </c>
      <c r="C350" s="84">
        <f t="shared" ca="1" si="15"/>
        <v>4.7777224688362652E-2</v>
      </c>
      <c r="D350" s="93" cm="1">
        <f t="array" aca="1" ref="D350" ca="1">_xlfn.SWITCH($B$4,"Normal MLE",EXP(_xlfn.NORM.INV(B350,LN($C$9),$E$9/$C$9)),"Uniforme",$B$9+($D$9-$B$9)*B350,"Triangular",IF(B350&lt;=($C$9-$B$9)/($D$9-$B$9),$B$9+SQRT(B350*($D$9-$B$9)*($C$9-$B$9)),$D$9-SQRT((1-B350)*($D$9-$B$9)*($D$9-$C$9))),"PERT",_xlfn.BETA.INV(B350,1+$B$6*($C$9-$B$9)/($D$9-$B$9),1+$B$6*($D$9-$C$9)/($D$9-$B$9),$B$9,$D$9))</f>
        <v>2.1059422734903221</v>
      </c>
      <c r="E350" s="94" cm="1">
        <f t="array" aca="1" ref="E350" ca="1">_xlfn.SWITCH($B$4,"Normal MLE",EXP(_xlfn.NORM.INV(C350,LN($C$10),$E$10/$C$10)),"Uniforme",$B$10+($D$10-$B$10)*C350,"Triangular",IF(C350&lt;=($C$10-$B$10)/($D$10-$B$10),$B$10+SQRT(C350*($D$10-$B$10)*($C$10-$B$10)),$D$10-SQRT((1-C350)*($D$10-$B$10)*($D$10-$C$10))),"PERT",_xlfn.BETA.INV(C350,1+$B$6*($C$10-$B$10)/($D$10-$B$10),1+$B$6*($D$10-$C$10)/($D$10-$B$10),$B$10,$D$10))</f>
        <v>4719.1717538069406</v>
      </c>
      <c r="F350" s="88">
        <f t="shared" ca="1" si="16"/>
        <v>0.4936336136129017</v>
      </c>
      <c r="G350" s="89">
        <f t="shared" ca="1" si="17"/>
        <v>1.8347307611065529E-4</v>
      </c>
    </row>
    <row r="351" spans="1:7" x14ac:dyDescent="0.35">
      <c r="A351" s="84">
        <v>336</v>
      </c>
      <c r="B351" s="84">
        <f t="shared" ca="1" si="15"/>
        <v>0.98790733221856863</v>
      </c>
      <c r="C351" s="84">
        <f t="shared" ca="1" si="15"/>
        <v>0.13411049003210462</v>
      </c>
      <c r="D351" s="93" cm="1">
        <f t="array" aca="1" ref="D351" ca="1">_xlfn.SWITCH($B$4,"Normal MLE",EXP(_xlfn.NORM.INV(B351,LN($C$9),$E$9/$C$9)),"Uniforme",$B$9+($D$9-$B$9)*B351,"Triangular",IF(B351&lt;=($C$9-$B$9)/($D$9-$B$9),$B$9+SQRT(B351*($D$9-$B$9)*($C$9-$B$9)),$D$9-SQRT((1-B351)*($D$9-$B$9)*($D$9-$C$9))),"PERT",_xlfn.BETA.INV(B351,1+$B$6*($C$9-$B$9)/($D$9-$B$9),1+$B$6*($D$9-$C$9)/($D$9-$B$9),$B$9,$D$9))</f>
        <v>2.2827352477510261</v>
      </c>
      <c r="E351" s="94" cm="1">
        <f t="array" aca="1" ref="E351" ca="1">_xlfn.SWITCH($B$4,"Normal MLE",EXP(_xlfn.NORM.INV(C351,LN($C$10),$E$10/$C$10)),"Uniforme",$B$10+($D$10-$B$10)*C351,"Triangular",IF(C351&lt;=($C$10-$B$10)/($D$10-$B$10),$B$10+SQRT(C351*($D$10-$B$10)*($C$10-$B$10)),$D$10-SQRT((1-C351)*($D$10-$B$10)*($D$10-$C$10))),"PERT",_xlfn.BETA.INV(C351,1+$B$6*($C$10-$B$10)/($D$10-$B$10),1+$B$6*($D$10-$C$10)/($D$10-$B$10),$B$10,$D$10))</f>
        <v>4843.6825716209796</v>
      </c>
      <c r="F351" s="88">
        <f t="shared" ca="1" si="16"/>
        <v>0.52410977556727556</v>
      </c>
      <c r="G351" s="89">
        <f t="shared" ca="1" si="17"/>
        <v>1.9323541084461618E-4</v>
      </c>
    </row>
    <row r="352" spans="1:7" x14ac:dyDescent="0.35">
      <c r="A352" s="84">
        <v>337</v>
      </c>
      <c r="B352" s="84">
        <f t="shared" ca="1" si="15"/>
        <v>0.11180227430800205</v>
      </c>
      <c r="C352" s="84">
        <f t="shared" ca="1" si="15"/>
        <v>0.92812123563143656</v>
      </c>
      <c r="D352" s="93" cm="1">
        <f t="array" aca="1" ref="D352" ca="1">_xlfn.SWITCH($B$4,"Normal MLE",EXP(_xlfn.NORM.INV(B352,LN($C$9),$E$9/$C$9)),"Uniforme",$B$9+($D$9-$B$9)*B352,"Triangular",IF(B352&lt;=($C$9-$B$9)/($D$9-$B$9),$B$9+SQRT(B352*($D$9-$B$9)*($C$9-$B$9)),$D$9-SQRT((1-B352)*($D$9-$B$9)*($D$9-$C$9))),"PERT",_xlfn.BETA.INV(B352,1+$B$6*($C$9-$B$9)/($D$9-$B$9),1+$B$6*($D$9-$C$9)/($D$9-$B$9),$B$9,$D$9))</f>
        <v>1.7877115339998699</v>
      </c>
      <c r="E352" s="94" cm="1">
        <f t="array" aca="1" ref="E352" ca="1">_xlfn.SWITCH($B$4,"Normal MLE",EXP(_xlfn.NORM.INV(C352,LN($C$10),$E$10/$C$10)),"Uniforme",$B$10+($D$10-$B$10)*C352,"Triangular",IF(C352&lt;=($C$10-$B$10)/($D$10-$B$10),$B$10+SQRT(C352*($D$10-$B$10)*($C$10-$B$10)),$D$10-SQRT((1-C352)*($D$10-$B$10)*($D$10-$C$10))),"PERT",_xlfn.BETA.INV(C352,1+$B$6*($C$10-$B$10)/($D$10-$B$10),1+$B$6*($D$10-$C$10)/($D$10-$B$10),$B$10,$D$10))</f>
        <v>5458.7890899143131</v>
      </c>
      <c r="F352" s="88">
        <f t="shared" ca="1" si="16"/>
        <v>0.56350447192328801</v>
      </c>
      <c r="G352" s="89">
        <f t="shared" ca="1" si="17"/>
        <v>1.4445375134731673E-4</v>
      </c>
    </row>
    <row r="353" spans="1:7" x14ac:dyDescent="0.35">
      <c r="A353" s="84">
        <v>338</v>
      </c>
      <c r="B353" s="84">
        <f t="shared" ca="1" si="15"/>
        <v>0.52622904411083904</v>
      </c>
      <c r="C353" s="84">
        <f t="shared" ca="1" si="15"/>
        <v>0.99189118909055096</v>
      </c>
      <c r="D353" s="93" cm="1">
        <f t="array" aca="1" ref="D353" ca="1">_xlfn.SWITCH($B$4,"Normal MLE",EXP(_xlfn.NORM.INV(B353,LN($C$9),$E$9/$C$9)),"Uniforme",$B$9+($D$9-$B$9)*B353,"Triangular",IF(B353&lt;=($C$9-$B$9)/($D$9-$B$9),$B$9+SQRT(B353*($D$9-$B$9)*($C$9-$B$9)),$D$9-SQRT((1-B353)*($D$9-$B$9)*($D$9-$C$9))),"PERT",_xlfn.BETA.INV(B353,1+$B$6*($C$9-$B$9)/($D$9-$B$9),1+$B$6*($D$9-$C$9)/($D$9-$B$9),$B$9,$D$9))</f>
        <v>1.9567206633374286</v>
      </c>
      <c r="E353" s="94" cm="1">
        <f t="array" aca="1" ref="E353" ca="1">_xlfn.SWITCH($B$4,"Normal MLE",EXP(_xlfn.NORM.INV(C353,LN($C$10),$E$10/$C$10)),"Uniforme",$B$10+($D$10-$B$10)*C353,"Triangular",IF(C353&lt;=($C$10-$B$10)/($D$10-$B$10),$B$10+SQRT(C353*($D$10-$B$10)*($C$10-$B$10)),$D$10-SQRT((1-C353)*($D$10-$B$10)*($D$10-$C$10))),"PERT",_xlfn.BETA.INV(C353,1+$B$6*($C$10-$B$10)/($D$10-$B$10),1+$B$6*($D$10-$C$10)/($D$10-$B$10),$B$10,$D$10))</f>
        <v>5703.4096299590774</v>
      </c>
      <c r="F353" s="88">
        <f t="shared" ca="1" si="16"/>
        <v>0.60684544268682361</v>
      </c>
      <c r="G353" s="89">
        <f t="shared" ca="1" si="17"/>
        <v>1.4827435160563409E-4</v>
      </c>
    </row>
    <row r="354" spans="1:7" x14ac:dyDescent="0.35">
      <c r="A354" s="84">
        <v>339</v>
      </c>
      <c r="B354" s="84">
        <f t="shared" ca="1" si="15"/>
        <v>0.35311839215804175</v>
      </c>
      <c r="C354" s="84">
        <f t="shared" ca="1" si="15"/>
        <v>0.60722045402404468</v>
      </c>
      <c r="D354" s="93" cm="1">
        <f t="array" aca="1" ref="D354" ca="1">_xlfn.SWITCH($B$4,"Normal MLE",EXP(_xlfn.NORM.INV(B354,LN($C$9),$E$9/$C$9)),"Uniforme",$B$9+($D$9-$B$9)*B354,"Triangular",IF(B354&lt;=($C$9-$B$9)/($D$9-$B$9),$B$9+SQRT(B354*($D$9-$B$9)*($C$9-$B$9)),$D$9-SQRT((1-B354)*($D$9-$B$9)*($D$9-$C$9))),"PERT",_xlfn.BETA.INV(B354,1+$B$6*($C$9-$B$9)/($D$9-$B$9),1+$B$6*($D$9-$C$9)/($D$9-$B$9),$B$9,$D$9))</f>
        <v>1.8966603205600743</v>
      </c>
      <c r="E354" s="94" cm="1">
        <f t="array" aca="1" ref="E354" ca="1">_xlfn.SWITCH($B$4,"Normal MLE",EXP(_xlfn.NORM.INV(C354,LN($C$10),$E$10/$C$10)),"Uniforme",$B$10+($D$10-$B$10)*C354,"Triangular",IF(C354&lt;=($C$10-$B$10)/($D$10-$B$10),$B$10+SQRT(C354*($D$10-$B$10)*($C$10-$B$10)),$D$10-SQRT((1-C354)*($D$10-$B$10)*($D$10-$C$10))),"PERT",_xlfn.BETA.INV(C354,1+$B$6*($C$10-$B$10)/($D$10-$B$10),1+$B$6*($D$10-$C$10)/($D$10-$B$10),$B$10,$D$10))</f>
        <v>5164.7554362596711</v>
      </c>
      <c r="F354" s="88">
        <f t="shared" ca="1" si="16"/>
        <v>0.5401699321404656</v>
      </c>
      <c r="G354" s="89">
        <f t="shared" ca="1" si="17"/>
        <v>1.5774299427866528E-4</v>
      </c>
    </row>
    <row r="355" spans="1:7" x14ac:dyDescent="0.35">
      <c r="A355" s="84">
        <v>340</v>
      </c>
      <c r="B355" s="84">
        <f t="shared" ca="1" si="15"/>
        <v>0.23907560360585633</v>
      </c>
      <c r="C355" s="84">
        <f t="shared" ca="1" si="15"/>
        <v>0.26635943268961149</v>
      </c>
      <c r="D355" s="93" cm="1">
        <f t="array" aca="1" ref="D355" ca="1">_xlfn.SWITCH($B$4,"Normal MLE",EXP(_xlfn.NORM.INV(B355,LN($C$9),$E$9/$C$9)),"Uniforme",$B$9+($D$9-$B$9)*B355,"Triangular",IF(B355&lt;=($C$9-$B$9)/($D$9-$B$9),$B$9+SQRT(B355*($D$9-$B$9)*($C$9-$B$9)),$D$9-SQRT((1-B355)*($D$9-$B$9)*($D$9-$C$9))),"PERT",_xlfn.BETA.INV(B355,1+$B$6*($C$9-$B$9)/($D$9-$B$9),1+$B$6*($D$9-$C$9)/($D$9-$B$9),$B$9,$D$9))</f>
        <v>1.8527846007358491</v>
      </c>
      <c r="E355" s="94" cm="1">
        <f t="array" aca="1" ref="E355" ca="1">_xlfn.SWITCH($B$4,"Normal MLE",EXP(_xlfn.NORM.INV(C355,LN($C$10),$E$10/$C$10)),"Uniforme",$B$10+($D$10-$B$10)*C355,"Triangular",IF(C355&lt;=($C$10-$B$10)/($D$10-$B$10),$B$10+SQRT(C355*($D$10-$B$10)*($C$10-$B$10)),$D$10-SQRT((1-C355)*($D$10-$B$10)*($D$10-$C$10))),"PERT",_xlfn.BETA.INV(C355,1+$B$6*($C$10-$B$10)/($D$10-$B$10),1+$B$6*($D$10-$C$10)/($D$10-$B$10),$B$10,$D$10))</f>
        <v>4953.8531068220709</v>
      </c>
      <c r="F355" s="88">
        <f t="shared" ca="1" si="16"/>
        <v>0.51026073983357367</v>
      </c>
      <c r="G355" s="89">
        <f t="shared" ca="1" si="17"/>
        <v>1.5902472620724195E-4</v>
      </c>
    </row>
    <row r="356" spans="1:7" x14ac:dyDescent="0.35">
      <c r="A356" s="84">
        <v>341</v>
      </c>
      <c r="B356" s="84">
        <f t="shared" ca="1" si="15"/>
        <v>0.62331206659177918</v>
      </c>
      <c r="C356" s="84">
        <f t="shared" ca="1" si="15"/>
        <v>0.40711479151823438</v>
      </c>
      <c r="D356" s="93" cm="1">
        <f t="array" aca="1" ref="D356" ca="1">_xlfn.SWITCH($B$4,"Normal MLE",EXP(_xlfn.NORM.INV(B356,LN($C$9),$E$9/$C$9)),"Uniforme",$B$9+($D$9-$B$9)*B356,"Triangular",IF(B356&lt;=($C$9-$B$9)/($D$9-$B$9),$B$9+SQRT(B356*($D$9-$B$9)*($C$9-$B$9)),$D$9-SQRT((1-B356)*($D$9-$B$9)*($D$9-$C$9))),"PERT",_xlfn.BETA.INV(B356,1+$B$6*($C$9-$B$9)/($D$9-$B$9),1+$B$6*($D$9-$C$9)/($D$9-$B$9),$B$9,$D$9))</f>
        <v>1.9912487304434765</v>
      </c>
      <c r="E356" s="94" cm="1">
        <f t="array" aca="1" ref="E356" ca="1">_xlfn.SWITCH($B$4,"Normal MLE",EXP(_xlfn.NORM.INV(C356,LN($C$10),$E$10/$C$10)),"Uniforme",$B$10+($D$10-$B$10)*C356,"Triangular",IF(C356&lt;=($C$10-$B$10)/($D$10-$B$10),$B$10+SQRT(C356*($D$10-$B$10)*($C$10-$B$10)),$D$10-SQRT((1-C356)*($D$10-$B$10)*($D$10-$C$10))),"PERT",_xlfn.BETA.INV(C356,1+$B$6*($C$10-$B$10)/($D$10-$B$10),1+$B$6*($D$10-$C$10)/($D$10-$B$10),$B$10,$D$10))</f>
        <v>5044.3172047882799</v>
      </c>
      <c r="F356" s="88">
        <f t="shared" ca="1" si="16"/>
        <v>0.53254831877285635</v>
      </c>
      <c r="G356" s="89">
        <f t="shared" ca="1" si="17"/>
        <v>1.6704034087805086E-4</v>
      </c>
    </row>
    <row r="357" spans="1:7" x14ac:dyDescent="0.35">
      <c r="A357" s="84">
        <v>342</v>
      </c>
      <c r="B357" s="84">
        <f t="shared" ca="1" si="15"/>
        <v>0.8555461156062506</v>
      </c>
      <c r="C357" s="84">
        <f t="shared" ca="1" si="15"/>
        <v>0.49173704412967312</v>
      </c>
      <c r="D357" s="93" cm="1">
        <f t="array" aca="1" ref="D357" ca="1">_xlfn.SWITCH($B$4,"Normal MLE",EXP(_xlfn.NORM.INV(B357,LN($C$9),$E$9/$C$9)),"Uniforme",$B$9+($D$9-$B$9)*B357,"Triangular",IF(B357&lt;=($C$9-$B$9)/($D$9-$B$9),$B$9+SQRT(B357*($D$9-$B$9)*($C$9-$B$9)),$D$9-SQRT((1-B357)*($D$9-$B$9)*($D$9-$C$9))),"PERT",_xlfn.BETA.INV(B357,1+$B$6*($C$9-$B$9)/($D$9-$B$9),1+$B$6*($D$9-$C$9)/($D$9-$B$9),$B$9,$D$9))</f>
        <v>2.0986999500082439</v>
      </c>
      <c r="E357" s="94" cm="1">
        <f t="array" aca="1" ref="E357" ca="1">_xlfn.SWITCH($B$4,"Normal MLE",EXP(_xlfn.NORM.INV(C357,LN($C$10),$E$10/$C$10)),"Uniforme",$B$10+($D$10-$B$10)*C357,"Triangular",IF(C357&lt;=($C$10-$B$10)/($D$10-$B$10),$B$10+SQRT(C357*($D$10-$B$10)*($C$10-$B$10)),$D$10-SQRT((1-C357)*($D$10-$B$10)*($D$10-$C$10))),"PERT",_xlfn.BETA.INV(C357,1+$B$6*($C$10-$B$10)/($D$10-$B$10),1+$B$6*($D$10-$C$10)/($D$10-$B$10),$B$10,$D$10))</f>
        <v>5094.8627035647633</v>
      </c>
      <c r="F357" s="88">
        <f t="shared" ca="1" si="16"/>
        <v>0.54780023557597002</v>
      </c>
      <c r="G357" s="89">
        <f t="shared" ca="1" si="17"/>
        <v>1.7298041633485655E-4</v>
      </c>
    </row>
    <row r="358" spans="1:7" x14ac:dyDescent="0.35">
      <c r="A358" s="84">
        <v>343</v>
      </c>
      <c r="B358" s="84">
        <f t="shared" ca="1" si="15"/>
        <v>0.1128742066044649</v>
      </c>
      <c r="C358" s="84">
        <f t="shared" ca="1" si="15"/>
        <v>0.74607477500228614</v>
      </c>
      <c r="D358" s="93" cm="1">
        <f t="array" aca="1" ref="D358" ca="1">_xlfn.SWITCH($B$4,"Normal MLE",EXP(_xlfn.NORM.INV(B358,LN($C$9),$E$9/$C$9)),"Uniforme",$B$9+($D$9-$B$9)*B358,"Triangular",IF(B358&lt;=($C$9-$B$9)/($D$9-$B$9),$B$9+SQRT(B358*($D$9-$B$9)*($C$9-$B$9)),$D$9-SQRT((1-B358)*($D$9-$B$9)*($D$9-$C$9))),"PERT",_xlfn.BETA.INV(B358,1+$B$6*($C$9-$B$9)/($D$9-$B$9),1+$B$6*($D$9-$C$9)/($D$9-$B$9),$B$9,$D$9))</f>
        <v>1.7884186078234325</v>
      </c>
      <c r="E358" s="94" cm="1">
        <f t="array" aca="1" ref="E358" ca="1">_xlfn.SWITCH($B$4,"Normal MLE",EXP(_xlfn.NORM.INV(C358,LN($C$10),$E$10/$C$10)),"Uniforme",$B$10+($D$10-$B$10)*C358,"Triangular",IF(C358&lt;=($C$10-$B$10)/($D$10-$B$10),$B$10+SQRT(C358*($D$10-$B$10)*($C$10-$B$10)),$D$10-SQRT((1-C358)*($D$10-$B$10)*($D$10-$C$10))),"PERT",_xlfn.BETA.INV(C358,1+$B$6*($C$10-$B$10)/($D$10-$B$10),1+$B$6*($D$10-$C$10)/($D$10-$B$10),$B$10,$D$10))</f>
        <v>5259.3691650863921</v>
      </c>
      <c r="F358" s="88">
        <f t="shared" ca="1" si="16"/>
        <v>0.5417663437017779</v>
      </c>
      <c r="G358" s="89">
        <f t="shared" ca="1" si="17"/>
        <v>1.4846542871777962E-4</v>
      </c>
    </row>
    <row r="359" spans="1:7" x14ac:dyDescent="0.35">
      <c r="A359" s="84">
        <v>344</v>
      </c>
      <c r="B359" s="84">
        <f t="shared" ca="1" si="15"/>
        <v>0.3564400292832034</v>
      </c>
      <c r="C359" s="84">
        <f t="shared" ca="1" si="15"/>
        <v>0.73421291539692846</v>
      </c>
      <c r="D359" s="93" cm="1">
        <f t="array" aca="1" ref="D359" ca="1">_xlfn.SWITCH($B$4,"Normal MLE",EXP(_xlfn.NORM.INV(B359,LN($C$9),$E$9/$C$9)),"Uniforme",$B$9+($D$9-$B$9)*B359,"Triangular",IF(B359&lt;=($C$9-$B$9)/($D$9-$B$9),$B$9+SQRT(B359*($D$9-$B$9)*($C$9-$B$9)),$D$9-SQRT((1-B359)*($D$9-$B$9)*($D$9-$C$9))),"PERT",_xlfn.BETA.INV(B359,1+$B$6*($C$9-$B$9)/($D$9-$B$9),1+$B$6*($D$9-$C$9)/($D$9-$B$9),$B$9,$D$9))</f>
        <v>1.8978526193255125</v>
      </c>
      <c r="E359" s="94" cm="1">
        <f t="array" aca="1" ref="E359" ca="1">_xlfn.SWITCH($B$4,"Normal MLE",EXP(_xlfn.NORM.INV(C359,LN($C$10),$E$10/$C$10)),"Uniforme",$B$10+($D$10-$B$10)*C359,"Triangular",IF(C359&lt;=($C$10-$B$10)/($D$10-$B$10),$B$10+SQRT(C359*($D$10-$B$10)*($C$10-$B$10)),$D$10-SQRT((1-C359)*($D$10-$B$10)*($D$10-$C$10))),"PERT",_xlfn.BETA.INV(C359,1+$B$6*($C$10-$B$10)/($D$10-$B$10),1+$B$6*($D$10-$C$10)/($D$10-$B$10),$B$10,$D$10))</f>
        <v>5250.4232664691162</v>
      </c>
      <c r="F359" s="88">
        <f t="shared" ca="1" si="16"/>
        <v>0.55059360942353497</v>
      </c>
      <c r="G359" s="89">
        <f t="shared" ca="1" si="17"/>
        <v>1.558949767457314E-4</v>
      </c>
    </row>
    <row r="360" spans="1:7" x14ac:dyDescent="0.35">
      <c r="A360" s="84">
        <v>345</v>
      </c>
      <c r="B360" s="84">
        <f t="shared" ca="1" si="15"/>
        <v>8.1027833563235285E-3</v>
      </c>
      <c r="C360" s="84">
        <f t="shared" ca="1" si="15"/>
        <v>8.69238656864042E-2</v>
      </c>
      <c r="D360" s="93" cm="1">
        <f t="array" aca="1" ref="D360" ca="1">_xlfn.SWITCH($B$4,"Normal MLE",EXP(_xlfn.NORM.INV(B360,LN($C$9),$E$9/$C$9)),"Uniforme",$B$9+($D$9-$B$9)*B360,"Triangular",IF(B360&lt;=($C$9-$B$9)/($D$9-$B$9),$B$9+SQRT(B360*($D$9-$B$9)*($C$9-$B$9)),$D$9-SQRT((1-B360)*($D$9-$B$9)*($D$9-$C$9))),"PERT",_xlfn.BETA.INV(B360,1+$B$6*($C$9-$B$9)/($D$9-$B$9),1+$B$6*($D$9-$C$9)/($D$9-$B$9),$B$9,$D$9))</f>
        <v>1.6443259700414856</v>
      </c>
      <c r="E360" s="94" cm="1">
        <f t="array" aca="1" ref="E360" ca="1">_xlfn.SWITCH($B$4,"Normal MLE",EXP(_xlfn.NORM.INV(C360,LN($C$10),$E$10/$C$10)),"Uniforme",$B$10+($D$10-$B$10)*C360,"Triangular",IF(C360&lt;=($C$10-$B$10)/($D$10-$B$10),$B$10+SQRT(C360*($D$10-$B$10)*($C$10-$B$10)),$D$10-SQRT((1-C360)*($D$10-$B$10)*($D$10-$C$10))),"PERT",_xlfn.BETA.INV(C360,1+$B$6*($C$10-$B$10)/($D$10-$B$10),1+$B$6*($D$10-$C$10)/($D$10-$B$10),$B$10,$D$10))</f>
        <v>4787.0415329794005</v>
      </c>
      <c r="F360" s="88">
        <f t="shared" ca="1" si="16"/>
        <v>0.4750808078481209</v>
      </c>
      <c r="G360" s="89">
        <f t="shared" ca="1" si="17"/>
        <v>1.45353716067263E-4</v>
      </c>
    </row>
    <row r="361" spans="1:7" x14ac:dyDescent="0.35">
      <c r="A361" s="84">
        <v>346</v>
      </c>
      <c r="B361" s="84">
        <f t="shared" ca="1" si="15"/>
        <v>0.72822806867554157</v>
      </c>
      <c r="C361" s="84">
        <f t="shared" ca="1" si="15"/>
        <v>5.7057527714839074E-2</v>
      </c>
      <c r="D361" s="93" cm="1">
        <f t="array" aca="1" ref="D361" ca="1">_xlfn.SWITCH($B$4,"Normal MLE",EXP(_xlfn.NORM.INV(B361,LN($C$9),$E$9/$C$9)),"Uniforme",$B$9+($D$9-$B$9)*B361,"Triangular",IF(B361&lt;=($C$9-$B$9)/($D$9-$B$9),$B$9+SQRT(B361*($D$9-$B$9)*($C$9-$B$9)),$D$9-SQRT((1-B361)*($D$9-$B$9)*($D$9-$C$9))),"PERT",_xlfn.BETA.INV(B361,1+$B$6*($C$9-$B$9)/($D$9-$B$9),1+$B$6*($D$9-$C$9)/($D$9-$B$9),$B$9,$D$9))</f>
        <v>2.0327996409789408</v>
      </c>
      <c r="E361" s="94" cm="1">
        <f t="array" aca="1" ref="E361" ca="1">_xlfn.SWITCH($B$4,"Normal MLE",EXP(_xlfn.NORM.INV(C361,LN($C$10),$E$10/$C$10)),"Uniforme",$B$10+($D$10-$B$10)*C361,"Triangular",IF(C361&lt;=($C$10-$B$10)/($D$10-$B$10),$B$10+SQRT(C361*($D$10-$B$10)*($C$10-$B$10)),$D$10-SQRT((1-C361)*($D$10-$B$10)*($D$10-$C$10))),"PERT",_xlfn.BETA.INV(C361,1+$B$6*($C$10-$B$10)/($D$10-$B$10),1+$B$6*($D$10-$C$10)/($D$10-$B$10),$B$10,$D$10))</f>
        <v>4738.2794585037063</v>
      </c>
      <c r="F361" s="88">
        <f t="shared" ca="1" si="16"/>
        <v>0.49228098443422502</v>
      </c>
      <c r="G361" s="89">
        <f t="shared" ca="1" si="17"/>
        <v>1.7730195342585483E-4</v>
      </c>
    </row>
    <row r="362" spans="1:7" x14ac:dyDescent="0.35">
      <c r="A362" s="84">
        <v>347</v>
      </c>
      <c r="B362" s="84">
        <f t="shared" ca="1" si="15"/>
        <v>0.93456173806280174</v>
      </c>
      <c r="C362" s="84">
        <f t="shared" ca="1" si="15"/>
        <v>0.37836623525647861</v>
      </c>
      <c r="D362" s="93" cm="1">
        <f t="array" aca="1" ref="D362" ca="1">_xlfn.SWITCH($B$4,"Normal MLE",EXP(_xlfn.NORM.INV(B362,LN($C$9),$E$9/$C$9)),"Uniforme",$B$9+($D$9-$B$9)*B362,"Triangular",IF(B362&lt;=($C$9-$B$9)/($D$9-$B$9),$B$9+SQRT(B362*($D$9-$B$9)*($C$9-$B$9)),$D$9-SQRT((1-B362)*($D$9-$B$9)*($D$9-$C$9))),"PERT",_xlfn.BETA.INV(B362,1+$B$6*($C$9-$B$9)/($D$9-$B$9),1+$B$6*($D$9-$C$9)/($D$9-$B$9),$B$9,$D$9))</f>
        <v>2.1662905042759277</v>
      </c>
      <c r="E362" s="94" cm="1">
        <f t="array" aca="1" ref="E362" ca="1">_xlfn.SWITCH($B$4,"Normal MLE",EXP(_xlfn.NORM.INV(C362,LN($C$10),$E$10/$C$10)),"Uniforme",$B$10+($D$10-$B$10)*C362,"Triangular",IF(C362&lt;=($C$10-$B$10)/($D$10-$B$10),$B$10+SQRT(C362*($D$10-$B$10)*($C$10-$B$10)),$D$10-SQRT((1-C362)*($D$10-$B$10)*($D$10-$C$10))),"PERT",_xlfn.BETA.INV(C362,1+$B$6*($C$10-$B$10)/($D$10-$B$10),1+$B$6*($D$10-$C$10)/($D$10-$B$10),$B$10,$D$10))</f>
        <v>5026.789331015576</v>
      </c>
      <c r="F362" s="88">
        <f t="shared" ca="1" si="16"/>
        <v>0.54357395007890674</v>
      </c>
      <c r="G362" s="89">
        <f t="shared" ca="1" si="17"/>
        <v>1.7945387131710063E-4</v>
      </c>
    </row>
    <row r="363" spans="1:7" x14ac:dyDescent="0.35">
      <c r="A363" s="84">
        <v>348</v>
      </c>
      <c r="B363" s="84">
        <f t="shared" ca="1" si="15"/>
        <v>0.45722778729439051</v>
      </c>
      <c r="C363" s="84">
        <f t="shared" ca="1" si="15"/>
        <v>0.20555411510400257</v>
      </c>
      <c r="D363" s="93" cm="1">
        <f t="array" aca="1" ref="D363" ca="1">_xlfn.SWITCH($B$4,"Normal MLE",EXP(_xlfn.NORM.INV(B363,LN($C$9),$E$9/$C$9)),"Uniforme",$B$9+($D$9-$B$9)*B363,"Triangular",IF(B363&lt;=($C$9-$B$9)/($D$9-$B$9),$B$9+SQRT(B363*($D$9-$B$9)*($C$9-$B$9)),$D$9-SQRT((1-B363)*($D$9-$B$9)*($D$9-$C$9))),"PERT",_xlfn.BETA.INV(B363,1+$B$6*($C$9-$B$9)/($D$9-$B$9),1+$B$6*($D$9-$C$9)/($D$9-$B$9),$B$9,$D$9))</f>
        <v>1.9329982405664436</v>
      </c>
      <c r="E363" s="94" cm="1">
        <f t="array" aca="1" ref="E363" ca="1">_xlfn.SWITCH($B$4,"Normal MLE",EXP(_xlfn.NORM.INV(C363,LN($C$10),$E$10/$C$10)),"Uniforme",$B$10+($D$10-$B$10)*C363,"Triangular",IF(C363&lt;=($C$10-$B$10)/($D$10-$B$10),$B$10+SQRT(C363*($D$10-$B$10)*($C$10-$B$10)),$D$10-SQRT((1-C363)*($D$10-$B$10)*($D$10-$C$10))),"PERT",_xlfn.BETA.INV(C363,1+$B$6*($C$10-$B$10)/($D$10-$B$10),1+$B$6*($D$10-$C$10)/($D$10-$B$10),$B$10,$D$10))</f>
        <v>4908.3998000281226</v>
      </c>
      <c r="F363" s="88">
        <f t="shared" ca="1" si="16"/>
        <v>0.51003330147922021</v>
      </c>
      <c r="G363" s="89">
        <f t="shared" ca="1" si="17"/>
        <v>1.6594540681905248E-4</v>
      </c>
    </row>
    <row r="364" spans="1:7" x14ac:dyDescent="0.35">
      <c r="A364" s="84">
        <v>349</v>
      </c>
      <c r="B364" s="84">
        <f t="shared" ca="1" si="15"/>
        <v>0.53045867958120396</v>
      </c>
      <c r="C364" s="84">
        <f t="shared" ca="1" si="15"/>
        <v>0.44699526759421293</v>
      </c>
      <c r="D364" s="93" cm="1">
        <f t="array" aca="1" ref="D364" ca="1">_xlfn.SWITCH($B$4,"Normal MLE",EXP(_xlfn.NORM.INV(B364,LN($C$9),$E$9/$C$9)),"Uniforme",$B$9+($D$9-$B$9)*B364,"Triangular",IF(B364&lt;=($C$9-$B$9)/($D$9-$B$9),$B$9+SQRT(B364*($D$9-$B$9)*($C$9-$B$9)),$D$9-SQRT((1-B364)*($D$9-$B$9)*($D$9-$C$9))),"PERT",_xlfn.BETA.INV(B364,1+$B$6*($C$9-$B$9)/($D$9-$B$9),1+$B$6*($D$9-$C$9)/($D$9-$B$9),$B$9,$D$9))</f>
        <v>1.9581857963374893</v>
      </c>
      <c r="E364" s="94" cm="1">
        <f t="array" aca="1" ref="E364" ca="1">_xlfn.SWITCH($B$4,"Normal MLE",EXP(_xlfn.NORM.INV(C364,LN($C$10),$E$10/$C$10)),"Uniforme",$B$10+($D$10-$B$10)*C364,"Triangular",IF(C364&lt;=($C$10-$B$10)/($D$10-$B$10),$B$10+SQRT(C364*($D$10-$B$10)*($C$10-$B$10)),$D$10-SQRT((1-C364)*($D$10-$B$10)*($D$10-$C$10))),"PERT",_xlfn.BETA.INV(C364,1+$B$6*($C$10-$B$10)/($D$10-$B$10),1+$B$6*($D$10-$C$10)/($D$10-$B$10),$B$10,$D$10))</f>
        <v>5068.2501318773975</v>
      </c>
      <c r="F364" s="88">
        <f t="shared" ca="1" si="16"/>
        <v>0.53308475801116084</v>
      </c>
      <c r="G364" s="89">
        <f t="shared" ca="1" si="17"/>
        <v>1.641695057179188E-4</v>
      </c>
    </row>
    <row r="365" spans="1:7" x14ac:dyDescent="0.35">
      <c r="A365" s="84">
        <v>350</v>
      </c>
      <c r="B365" s="84">
        <f t="shared" ca="1" si="15"/>
        <v>0.8221794090703286</v>
      </c>
      <c r="C365" s="84">
        <f t="shared" ca="1" si="15"/>
        <v>0.54289675872767507</v>
      </c>
      <c r="D365" s="93" cm="1">
        <f t="array" aca="1" ref="D365" ca="1">_xlfn.SWITCH($B$4,"Normal MLE",EXP(_xlfn.NORM.INV(B365,LN($C$9),$E$9/$C$9)),"Uniforme",$B$9+($D$9-$B$9)*B365,"Triangular",IF(B365&lt;=($C$9-$B$9)/($D$9-$B$9),$B$9+SQRT(B365*($D$9-$B$9)*($C$9-$B$9)),$D$9-SQRT((1-B365)*($D$9-$B$9)*($D$9-$C$9))),"PERT",_xlfn.BETA.INV(B365,1+$B$6*($C$9-$B$9)/($D$9-$B$9),1+$B$6*($D$9-$C$9)/($D$9-$B$9),$B$9,$D$9))</f>
        <v>2.0785767836470996</v>
      </c>
      <c r="E365" s="94" cm="1">
        <f t="array" aca="1" ref="E365" ca="1">_xlfn.SWITCH($B$4,"Normal MLE",EXP(_xlfn.NORM.INV(C365,LN($C$10),$E$10/$C$10)),"Uniforme",$B$10+($D$10-$B$10)*C365,"Triangular",IF(C365&lt;=($C$10-$B$10)/($D$10-$B$10),$B$10+SQRT(C365*($D$10-$B$10)*($C$10-$B$10)),$D$10-SQRT((1-C365)*($D$10-$B$10)*($D$10-$C$10))),"PERT",_xlfn.BETA.INV(C365,1+$B$6*($C$10-$B$10)/($D$10-$B$10),1+$B$6*($D$10-$C$10)/($D$10-$B$10),$B$10,$D$10))</f>
        <v>5125.4070818424598</v>
      </c>
      <c r="F365" s="88">
        <f t="shared" ca="1" si="16"/>
        <v>0.55028747971385394</v>
      </c>
      <c r="G365" s="89">
        <f t="shared" ca="1" si="17"/>
        <v>1.7080427312413858E-4</v>
      </c>
    </row>
    <row r="366" spans="1:7" x14ac:dyDescent="0.35">
      <c r="A366" s="84">
        <v>351</v>
      </c>
      <c r="B366" s="84">
        <f t="shared" ca="1" si="15"/>
        <v>0.80570555431751745</v>
      </c>
      <c r="C366" s="84">
        <f t="shared" ca="1" si="15"/>
        <v>0.37777755795694112</v>
      </c>
      <c r="D366" s="93" cm="1">
        <f t="array" aca="1" ref="D366" ca="1">_xlfn.SWITCH($B$4,"Normal MLE",EXP(_xlfn.NORM.INV(B366,LN($C$9),$E$9/$C$9)),"Uniforme",$B$9+($D$9-$B$9)*B366,"Triangular",IF(B366&lt;=($C$9-$B$9)/($D$9-$B$9),$B$9+SQRT(B366*($D$9-$B$9)*($C$9-$B$9)),$D$9-SQRT((1-B366)*($D$9-$B$9)*($D$9-$C$9))),"PERT",_xlfn.BETA.INV(B366,1+$B$6*($C$9-$B$9)/($D$9-$B$9),1+$B$6*($D$9-$C$9)/($D$9-$B$9),$B$9,$D$9))</f>
        <v>2.0695909493298683</v>
      </c>
      <c r="E366" s="94" cm="1">
        <f t="array" aca="1" ref="E366" ca="1">_xlfn.SWITCH($B$4,"Normal MLE",EXP(_xlfn.NORM.INV(C366,LN($C$10),$E$10/$C$10)),"Uniforme",$B$10+($D$10-$B$10)*C366,"Triangular",IF(C366&lt;=($C$10-$B$10)/($D$10-$B$10),$B$10+SQRT(C366*($D$10-$B$10)*($C$10-$B$10)),$D$10-SQRT((1-C366)*($D$10-$B$10)*($D$10-$C$10))),"PERT",_xlfn.BETA.INV(C366,1+$B$6*($C$10-$B$10)/($D$10-$B$10),1+$B$6*($D$10-$C$10)/($D$10-$B$10),$B$10,$D$10))</f>
        <v>5026.4271236661452</v>
      </c>
      <c r="F366" s="88">
        <f t="shared" ca="1" si="16"/>
        <v>0.53617161210200925</v>
      </c>
      <c r="G366" s="89">
        <f t="shared" ca="1" si="17"/>
        <v>1.7291240973442814E-4</v>
      </c>
    </row>
    <row r="367" spans="1:7" x14ac:dyDescent="0.35">
      <c r="A367" s="84">
        <v>352</v>
      </c>
      <c r="B367" s="84">
        <f t="shared" ca="1" si="15"/>
        <v>0.58884524394791282</v>
      </c>
      <c r="C367" s="84">
        <f t="shared" ca="1" si="15"/>
        <v>0.95999475744758422</v>
      </c>
      <c r="D367" s="93" cm="1">
        <f t="array" aca="1" ref="D367" ca="1">_xlfn.SWITCH($B$4,"Normal MLE",EXP(_xlfn.NORM.INV(B367,LN($C$9),$E$9/$C$9)),"Uniforme",$B$9+($D$9-$B$9)*B367,"Triangular",IF(B367&lt;=($C$9-$B$9)/($D$9-$B$9),$B$9+SQRT(B367*($D$9-$B$9)*($C$9-$B$9)),$D$9-SQRT((1-B367)*($D$9-$B$9)*($D$9-$C$9))),"PERT",_xlfn.BETA.INV(B367,1+$B$6*($C$9-$B$9)/($D$9-$B$9),1+$B$6*($D$9-$C$9)/($D$9-$B$9),$B$9,$D$9))</f>
        <v>1.9787221531802295</v>
      </c>
      <c r="E367" s="94" cm="1">
        <f t="array" aca="1" ref="E367" ca="1">_xlfn.SWITCH($B$4,"Normal MLE",EXP(_xlfn.NORM.INV(C367,LN($C$10),$E$10/$C$10)),"Uniforme",$B$10+($D$10-$B$10)*C367,"Triangular",IF(C367&lt;=($C$10-$B$10)/($D$10-$B$10),$B$10+SQRT(C367*($D$10-$B$10)*($C$10-$B$10)),$D$10-SQRT((1-C367)*($D$10-$B$10)*($D$10-$C$10))),"PERT",_xlfn.BETA.INV(C367,1+$B$6*($C$10-$B$10)/($D$10-$B$10),1+$B$6*($D$10-$C$10)/($D$10-$B$10),$B$10,$D$10))</f>
        <v>5532.6158393439127</v>
      </c>
      <c r="F367" s="88">
        <f t="shared" ca="1" si="16"/>
        <v>0.59077037324626724</v>
      </c>
      <c r="G367" s="89">
        <f t="shared" ca="1" si="17"/>
        <v>1.5381543034602844E-4</v>
      </c>
    </row>
    <row r="368" spans="1:7" x14ac:dyDescent="0.35">
      <c r="A368" s="84">
        <v>353</v>
      </c>
      <c r="B368" s="84">
        <f t="shared" ca="1" si="15"/>
        <v>0.16035458761989252</v>
      </c>
      <c r="C368" s="84">
        <f t="shared" ca="1" si="15"/>
        <v>0.27394442138072839</v>
      </c>
      <c r="D368" s="93" cm="1">
        <f t="array" aca="1" ref="D368" ca="1">_xlfn.SWITCH($B$4,"Normal MLE",EXP(_xlfn.NORM.INV(B368,LN($C$9),$E$9/$C$9)),"Uniforme",$B$9+($D$9-$B$9)*B368,"Triangular",IF(B368&lt;=($C$9-$B$9)/($D$9-$B$9),$B$9+SQRT(B368*($D$9-$B$9)*($C$9-$B$9)),$D$9-SQRT((1-B368)*($D$9-$B$9)*($D$9-$C$9))),"PERT",_xlfn.BETA.INV(B368,1+$B$6*($C$9-$B$9)/($D$9-$B$9),1+$B$6*($D$9-$C$9)/($D$9-$B$9),$B$9,$D$9))</f>
        <v>1.8161340936082584</v>
      </c>
      <c r="E368" s="94" cm="1">
        <f t="array" aca="1" ref="E368" ca="1">_xlfn.SWITCH($B$4,"Normal MLE",EXP(_xlfn.NORM.INV(C368,LN($C$10),$E$10/$C$10)),"Uniforme",$B$10+($D$10-$B$10)*C368,"Triangular",IF(C368&lt;=($C$10-$B$10)/($D$10-$B$10),$B$10+SQRT(C368*($D$10-$B$10)*($C$10-$B$10)),$D$10-SQRT((1-C368)*($D$10-$B$10)*($D$10-$C$10))),"PERT",_xlfn.BETA.INV(C368,1+$B$6*($C$10-$B$10)/($D$10-$B$10),1+$B$6*($D$10-$C$10)/($D$10-$B$10),$B$10,$D$10))</f>
        <v>4959.1428524409457</v>
      </c>
      <c r="F368" s="88">
        <f t="shared" ca="1" si="16"/>
        <v>0.50823311428730922</v>
      </c>
      <c r="G368" s="89">
        <f t="shared" ca="1" si="17"/>
        <v>1.5617837001429279E-4</v>
      </c>
    </row>
    <row r="369" spans="1:7" x14ac:dyDescent="0.35">
      <c r="A369" s="84">
        <v>354</v>
      </c>
      <c r="B369" s="84">
        <f t="shared" ca="1" si="15"/>
        <v>0.52594943714873865</v>
      </c>
      <c r="C369" s="84">
        <f t="shared" ca="1" si="15"/>
        <v>0.61486984602665518</v>
      </c>
      <c r="D369" s="93" cm="1">
        <f t="array" aca="1" ref="D369" ca="1">_xlfn.SWITCH($B$4,"Normal MLE",EXP(_xlfn.NORM.INV(B369,LN($C$9),$E$9/$C$9)),"Uniforme",$B$9+($D$9-$B$9)*B369,"Triangular",IF(B369&lt;=($C$9-$B$9)/($D$9-$B$9),$B$9+SQRT(B369*($D$9-$B$9)*($C$9-$B$9)),$D$9-SQRT((1-B369)*($D$9-$B$9)*($D$9-$C$9))),"PERT",_xlfn.BETA.INV(B369,1+$B$6*($C$9-$B$9)/($D$9-$B$9),1+$B$6*($D$9-$C$9)/($D$9-$B$9),$B$9,$D$9))</f>
        <v>1.9566238848597246</v>
      </c>
      <c r="E369" s="94" cm="1">
        <f t="array" aca="1" ref="E369" ca="1">_xlfn.SWITCH($B$4,"Normal MLE",EXP(_xlfn.NORM.INV(C369,LN($C$10),$E$10/$C$10)),"Uniforme",$B$10+($D$10-$B$10)*C369,"Triangular",IF(C369&lt;=($C$10-$B$10)/($D$10-$B$10),$B$10+SQRT(C369*($D$10-$B$10)*($C$10-$B$10)),$D$10-SQRT((1-C369)*($D$10-$B$10)*($D$10-$C$10))),"PERT",_xlfn.BETA.INV(C369,1+$B$6*($C$10-$B$10)/($D$10-$B$10),1+$B$6*($D$10-$C$10)/($D$10-$B$10),$B$10,$D$10))</f>
        <v>5169.553031252919</v>
      </c>
      <c r="F369" s="88">
        <f t="shared" ca="1" si="16"/>
        <v>0.54585347466815271</v>
      </c>
      <c r="G369" s="89">
        <f t="shared" ca="1" si="17"/>
        <v>1.6164758746581336E-4</v>
      </c>
    </row>
    <row r="370" spans="1:7" x14ac:dyDescent="0.35">
      <c r="A370" s="84">
        <v>355</v>
      </c>
      <c r="B370" s="84">
        <f t="shared" ca="1" si="15"/>
        <v>6.998008013201551E-2</v>
      </c>
      <c r="C370" s="84">
        <f t="shared" ca="1" si="15"/>
        <v>0.6051464486792475</v>
      </c>
      <c r="D370" s="93" cm="1">
        <f t="array" aca="1" ref="D370" ca="1">_xlfn.SWITCH($B$4,"Normal MLE",EXP(_xlfn.NORM.INV(B370,LN($C$9),$E$9/$C$9)),"Uniforme",$B$9+($D$9-$B$9)*B370,"Triangular",IF(B370&lt;=($C$9-$B$9)/($D$9-$B$9),$B$9+SQRT(B370*($D$9-$B$9)*($C$9-$B$9)),$D$9-SQRT((1-B370)*($D$9-$B$9)*($D$9-$C$9))),"PERT",_xlfn.BETA.INV(B370,1+$B$6*($C$9-$B$9)/($D$9-$B$9),1+$B$6*($D$9-$C$9)/($D$9-$B$9),$B$9,$D$9))</f>
        <v>1.7554090220919518</v>
      </c>
      <c r="E370" s="94" cm="1">
        <f t="array" aca="1" ref="E370" ca="1">_xlfn.SWITCH($B$4,"Normal MLE",EXP(_xlfn.NORM.INV(C370,LN($C$10),$E$10/$C$10)),"Uniforme",$B$10+($D$10-$B$10)*C370,"Triangular",IF(C370&lt;=($C$10-$B$10)/($D$10-$B$10),$B$10+SQRT(C370*($D$10-$B$10)*($C$10-$B$10)),$D$10-SQRT((1-C370)*($D$10-$B$10)*($D$10-$C$10))),"PERT",_xlfn.BETA.INV(C370,1+$B$6*($C$10-$B$10)/($D$10-$B$10),1+$B$6*($D$10-$C$10)/($D$10-$B$10),$B$10,$D$10))</f>
        <v>5163.4599675799927</v>
      </c>
      <c r="F370" s="88">
        <f t="shared" ca="1" si="16"/>
        <v>0.52793029497289756</v>
      </c>
      <c r="G370" s="89">
        <f t="shared" ca="1" si="17"/>
        <v>1.479972761071851E-4</v>
      </c>
    </row>
    <row r="371" spans="1:7" x14ac:dyDescent="0.35">
      <c r="A371" s="84">
        <v>356</v>
      </c>
      <c r="B371" s="84">
        <f t="shared" ca="1" si="15"/>
        <v>0.25793238009218211</v>
      </c>
      <c r="C371" s="84">
        <f t="shared" ca="1" si="15"/>
        <v>0.49402649973067103</v>
      </c>
      <c r="D371" s="93" cm="1">
        <f t="array" aca="1" ref="D371" ca="1">_xlfn.SWITCH($B$4,"Normal MLE",EXP(_xlfn.NORM.INV(B371,LN($C$9),$E$9/$C$9)),"Uniforme",$B$9+($D$9-$B$9)*B371,"Triangular",IF(B371&lt;=($C$9-$B$9)/($D$9-$B$9),$B$9+SQRT(B371*($D$9-$B$9)*($C$9-$B$9)),$D$9-SQRT((1-B371)*($D$9-$B$9)*($D$9-$C$9))),"PERT",_xlfn.BETA.INV(B371,1+$B$6*($C$9-$B$9)/($D$9-$B$9),1+$B$6*($D$9-$C$9)/($D$9-$B$9),$B$9,$D$9))</f>
        <v>1.8605700481893797</v>
      </c>
      <c r="E371" s="94" cm="1">
        <f t="array" aca="1" ref="E371" ca="1">_xlfn.SWITCH($B$4,"Normal MLE",EXP(_xlfn.NORM.INV(C371,LN($C$10),$E$10/$C$10)),"Uniforme",$B$10+($D$10-$B$10)*C371,"Triangular",IF(C371&lt;=($C$10-$B$10)/($D$10-$B$10),$B$10+SQRT(C371*($D$10-$B$10)*($C$10-$B$10)),$D$10-SQRT((1-C371)*($D$10-$B$10)*($D$10-$C$10))),"PERT",_xlfn.BETA.INV(C371,1+$B$6*($C$10-$B$10)/($D$10-$B$10),1+$B$6*($D$10-$C$10)/($D$10-$B$10),$B$10,$D$10))</f>
        <v>5096.2236954950895</v>
      </c>
      <c r="F371" s="88">
        <f t="shared" ca="1" si="16"/>
        <v>0.52876030148334541</v>
      </c>
      <c r="G371" s="89">
        <f t="shared" ca="1" si="17"/>
        <v>1.5672357106738332E-4</v>
      </c>
    </row>
    <row r="372" spans="1:7" x14ac:dyDescent="0.35">
      <c r="A372" s="84">
        <v>357</v>
      </c>
      <c r="B372" s="84">
        <f t="shared" ca="1" si="15"/>
        <v>0.56876647600315011</v>
      </c>
      <c r="C372" s="84">
        <f t="shared" ca="1" si="15"/>
        <v>0.52845587469179944</v>
      </c>
      <c r="D372" s="93" cm="1">
        <f t="array" aca="1" ref="D372" ca="1">_xlfn.SWITCH($B$4,"Normal MLE",EXP(_xlfn.NORM.INV(B372,LN($C$9),$E$9/$C$9)),"Uniforme",$B$9+($D$9-$B$9)*B372,"Triangular",IF(B372&lt;=($C$9-$B$9)/($D$9-$B$9),$B$9+SQRT(B372*($D$9-$B$9)*($C$9-$B$9)),$D$9-SQRT((1-B372)*($D$9-$B$9)*($D$9-$C$9))),"PERT",_xlfn.BETA.INV(B372,1+$B$6*($C$9-$B$9)/($D$9-$B$9),1+$B$6*($D$9-$C$9)/($D$9-$B$9),$B$9,$D$9))</f>
        <v>1.9715811930306182</v>
      </c>
      <c r="E372" s="94" cm="1">
        <f t="array" aca="1" ref="E372" ca="1">_xlfn.SWITCH($B$4,"Normal MLE",EXP(_xlfn.NORM.INV(C372,LN($C$10),$E$10/$C$10)),"Uniforme",$B$10+($D$10-$B$10)*C372,"Triangular",IF(C372&lt;=($C$10-$B$10)/($D$10-$B$10),$B$10+SQRT(C372*($D$10-$B$10)*($C$10-$B$10)),$D$10-SQRT((1-C372)*($D$10-$B$10)*($D$10-$C$10))),"PERT",_xlfn.BETA.INV(C372,1+$B$6*($C$10-$B$10)/($D$10-$B$10),1+$B$6*($D$10-$C$10)/($D$10-$B$10),$B$10,$D$10))</f>
        <v>5116.745772543878</v>
      </c>
      <c r="F372" s="88">
        <f t="shared" ca="1" si="16"/>
        <v>0.54041415692664119</v>
      </c>
      <c r="G372" s="89">
        <f t="shared" ca="1" si="17"/>
        <v>1.6392780703695359E-4</v>
      </c>
    </row>
    <row r="373" spans="1:7" x14ac:dyDescent="0.35">
      <c r="A373" s="84">
        <v>358</v>
      </c>
      <c r="B373" s="84">
        <f t="shared" ca="1" si="15"/>
        <v>0.48370417717903424</v>
      </c>
      <c r="C373" s="84">
        <f t="shared" ca="1" si="15"/>
        <v>0.20352756491063484</v>
      </c>
      <c r="D373" s="93" cm="1">
        <f t="array" aca="1" ref="D373" ca="1">_xlfn.SWITCH($B$4,"Normal MLE",EXP(_xlfn.NORM.INV(B373,LN($C$9),$E$9/$C$9)),"Uniforme",$B$9+($D$9-$B$9)*B373,"Triangular",IF(B373&lt;=($C$9-$B$9)/($D$9-$B$9),$B$9+SQRT(B373*($D$9-$B$9)*($C$9-$B$9)),$D$9-SQRT((1-B373)*($D$9-$B$9)*($D$9-$C$9))),"PERT",_xlfn.BETA.INV(B373,1+$B$6*($C$9-$B$9)/($D$9-$B$9),1+$B$6*($D$9-$C$9)/($D$9-$B$9),$B$9,$D$9))</f>
        <v>1.9420798845267948</v>
      </c>
      <c r="E373" s="94" cm="1">
        <f t="array" aca="1" ref="E373" ca="1">_xlfn.SWITCH($B$4,"Normal MLE",EXP(_xlfn.NORM.INV(C373,LN($C$10),$E$10/$C$10)),"Uniforme",$B$10+($D$10-$B$10)*C373,"Triangular",IF(C373&lt;=($C$10-$B$10)/($D$10-$B$10),$B$10+SQRT(C373*($D$10-$B$10)*($C$10-$B$10)),$D$10-SQRT((1-C373)*($D$10-$B$10)*($D$10-$C$10))),"PERT",_xlfn.BETA.INV(C373,1+$B$6*($C$10-$B$10)/($D$10-$B$10),1+$B$6*($D$10-$C$10)/($D$10-$B$10),$B$10,$D$10))</f>
        <v>4906.7687423905663</v>
      </c>
      <c r="F373" s="88">
        <f t="shared" ca="1" si="16"/>
        <v>0.51044980226002379</v>
      </c>
      <c r="G373" s="89">
        <f t="shared" ca="1" si="17"/>
        <v>1.6665890241150991E-4</v>
      </c>
    </row>
    <row r="374" spans="1:7" x14ac:dyDescent="0.35">
      <c r="A374" s="84">
        <v>359</v>
      </c>
      <c r="B374" s="84">
        <f t="shared" ca="1" si="15"/>
        <v>0.98124507924045168</v>
      </c>
      <c r="C374" s="84">
        <f t="shared" ca="1" si="15"/>
        <v>1.281629808031548E-2</v>
      </c>
      <c r="D374" s="93" cm="1">
        <f t="array" aca="1" ref="D374" ca="1">_xlfn.SWITCH($B$4,"Normal MLE",EXP(_xlfn.NORM.INV(B374,LN($C$9),$E$9/$C$9)),"Uniforme",$B$9+($D$9-$B$9)*B374,"Triangular",IF(B374&lt;=($C$9-$B$9)/($D$9-$B$9),$B$9+SQRT(B374*($D$9-$B$9)*($C$9-$B$9)),$D$9-SQRT((1-B374)*($D$9-$B$9)*($D$9-$C$9))),"PERT",_xlfn.BETA.INV(B374,1+$B$6*($C$9-$B$9)/($D$9-$B$9),1+$B$6*($D$9-$C$9)/($D$9-$B$9),$B$9,$D$9))</f>
        <v>2.2549354035122389</v>
      </c>
      <c r="E374" s="94" cm="1">
        <f t="array" aca="1" ref="E374" ca="1">_xlfn.SWITCH($B$4,"Normal MLE",EXP(_xlfn.NORM.INV(C374,LN($C$10),$E$10/$C$10)),"Uniforme",$B$10+($D$10-$B$10)*C374,"Triangular",IF(C374&lt;=($C$10-$B$10)/($D$10-$B$10),$B$10+SQRT(C374*($D$10-$B$10)*($C$10-$B$10)),$D$10-SQRT((1-C374)*($D$10-$B$10)*($D$10-$C$10))),"PERT",_xlfn.BETA.INV(C374,1+$B$6*($C$10-$B$10)/($D$10-$B$10),1+$B$6*($D$10-$C$10)/($D$10-$B$10),$B$10,$D$10))</f>
        <v>4596.7267378987208</v>
      </c>
      <c r="F374" s="88">
        <f t="shared" ca="1" si="16"/>
        <v>0.48150023758215876</v>
      </c>
      <c r="G374" s="89">
        <f t="shared" ca="1" si="17"/>
        <v>1.983800575596136E-4</v>
      </c>
    </row>
    <row r="375" spans="1:7" x14ac:dyDescent="0.35">
      <c r="A375" s="84">
        <v>360</v>
      </c>
      <c r="B375" s="84">
        <f t="shared" ca="1" si="15"/>
        <v>0.7945770134373209</v>
      </c>
      <c r="C375" s="84">
        <f t="shared" ca="1" si="15"/>
        <v>0.1813675106873226</v>
      </c>
      <c r="D375" s="93" cm="1">
        <f t="array" aca="1" ref="D375" ca="1">_xlfn.SWITCH($B$4,"Normal MLE",EXP(_xlfn.NORM.INV(B375,LN($C$9),$E$9/$C$9)),"Uniforme",$B$9+($D$9-$B$9)*B375,"Triangular",IF(B375&lt;=($C$9-$B$9)/($D$9-$B$9),$B$9+SQRT(B375*($D$9-$B$9)*($C$9-$B$9)),$D$9-SQRT((1-B375)*($D$9-$B$9)*($D$9-$C$9))),"PERT",_xlfn.BETA.INV(B375,1+$B$6*($C$9-$B$9)/($D$9-$B$9),1+$B$6*($D$9-$C$9)/($D$9-$B$9),$B$9,$D$9))</f>
        <v>2.0638024992318367</v>
      </c>
      <c r="E375" s="94" cm="1">
        <f t="array" aca="1" ref="E375" ca="1">_xlfn.SWITCH($B$4,"Normal MLE",EXP(_xlfn.NORM.INV(C375,LN($C$10),$E$10/$C$10)),"Uniforme",$B$10+($D$10-$B$10)*C375,"Triangular",IF(C375&lt;=($C$10-$B$10)/($D$10-$B$10),$B$10+SQRT(C375*($D$10-$B$10)*($C$10-$B$10)),$D$10-SQRT((1-C375)*($D$10-$B$10)*($D$10-$C$10))),"PERT",_xlfn.BETA.INV(C375,1+$B$6*($C$10-$B$10)/($D$10-$B$10),1+$B$6*($D$10-$C$10)/($D$10-$B$10),$B$10,$D$10))</f>
        <v>4888.2906495430698</v>
      </c>
      <c r="F375" s="88">
        <f t="shared" ca="1" si="16"/>
        <v>0.51629743245043569</v>
      </c>
      <c r="G375" s="89">
        <f t="shared" ca="1" si="17"/>
        <v>1.7609906160043849E-4</v>
      </c>
    </row>
    <row r="376" spans="1:7" x14ac:dyDescent="0.35">
      <c r="A376" s="84">
        <v>361</v>
      </c>
      <c r="B376" s="84">
        <f t="shared" ca="1" si="15"/>
        <v>0.9176390233498759</v>
      </c>
      <c r="C376" s="84">
        <f t="shared" ca="1" si="15"/>
        <v>0.85317780871684856</v>
      </c>
      <c r="D376" s="93" cm="1">
        <f t="array" aca="1" ref="D376" ca="1">_xlfn.SWITCH($B$4,"Normal MLE",EXP(_xlfn.NORM.INV(B376,LN($C$9),$E$9/$C$9)),"Uniforme",$B$9+($D$9-$B$9)*B376,"Triangular",IF(B376&lt;=($C$9-$B$9)/($D$9-$B$9),$B$9+SQRT(B376*($D$9-$B$9)*($C$9-$B$9)),$D$9-SQRT((1-B376)*($D$9-$B$9)*($D$9-$C$9))),"PERT",_xlfn.BETA.INV(B376,1+$B$6*($C$9-$B$9)/($D$9-$B$9),1+$B$6*($D$9-$C$9)/($D$9-$B$9),$B$9,$D$9))</f>
        <v>2.1478666309428127</v>
      </c>
      <c r="E376" s="94" cm="1">
        <f t="array" aca="1" ref="E376" ca="1">_xlfn.SWITCH($B$4,"Normal MLE",EXP(_xlfn.NORM.INV(C376,LN($C$10),$E$10/$C$10)),"Uniforme",$B$10+($D$10-$B$10)*C376,"Triangular",IF(C376&lt;=($C$10-$B$10)/($D$10-$B$10),$B$10+SQRT(C376*($D$10-$B$10)*($C$10-$B$10)),$D$10-SQRT((1-C376)*($D$10-$B$10)*($D$10-$C$10))),"PERT",_xlfn.BETA.INV(C376,1+$B$6*($C$10-$B$10)/($D$10-$B$10),1+$B$6*($D$10-$C$10)/($D$10-$B$10),$B$10,$D$10))</f>
        <v>5355.1841408645269</v>
      </c>
      <c r="F376" s="88">
        <f t="shared" ca="1" si="16"/>
        <v>0.58604395744499327</v>
      </c>
      <c r="G376" s="89">
        <f t="shared" ca="1" si="17"/>
        <v>1.6815579665135791E-4</v>
      </c>
    </row>
    <row r="377" spans="1:7" x14ac:dyDescent="0.35">
      <c r="A377" s="84">
        <v>362</v>
      </c>
      <c r="B377" s="84">
        <f t="shared" ca="1" si="15"/>
        <v>0.96330535002946316</v>
      </c>
      <c r="C377" s="84">
        <f t="shared" ca="1" si="15"/>
        <v>0.80424405006036681</v>
      </c>
      <c r="D377" s="93" cm="1">
        <f t="array" aca="1" ref="D377" ca="1">_xlfn.SWITCH($B$4,"Normal MLE",EXP(_xlfn.NORM.INV(B377,LN($C$9),$E$9/$C$9)),"Uniforme",$B$9+($D$9-$B$9)*B377,"Triangular",IF(B377&lt;=($C$9-$B$9)/($D$9-$B$9),$B$9+SQRT(B377*($D$9-$B$9)*($C$9-$B$9)),$D$9-SQRT((1-B377)*($D$9-$B$9)*($D$9-$C$9))),"PERT",_xlfn.BETA.INV(B377,1+$B$6*($C$9-$B$9)/($D$9-$B$9),1+$B$6*($D$9-$C$9)/($D$9-$B$9),$B$9,$D$9))</f>
        <v>2.2093888577020779</v>
      </c>
      <c r="E377" s="94" cm="1">
        <f t="array" aca="1" ref="E377" ca="1">_xlfn.SWITCH($B$4,"Normal MLE",EXP(_xlfn.NORM.INV(C377,LN($C$10),$E$10/$C$10)),"Uniforme",$B$10+($D$10-$B$10)*C377,"Triangular",IF(C377&lt;=($C$10-$B$10)/($D$10-$B$10),$B$10+SQRT(C377*($D$10-$B$10)*($C$10-$B$10)),$D$10-SQRT((1-C377)*($D$10-$B$10)*($D$10-$C$10))),"PERT",_xlfn.BETA.INV(C377,1+$B$6*($C$10-$B$10)/($D$10-$B$10),1+$B$6*($D$10-$C$10)/($D$10-$B$10),$B$10,$D$10))</f>
        <v>5307.2343678675606</v>
      </c>
      <c r="F377" s="88">
        <f t="shared" ca="1" si="16"/>
        <v>0.58544199905504435</v>
      </c>
      <c r="G377" s="89">
        <f t="shared" ca="1" si="17"/>
        <v>1.7312700193754916E-4</v>
      </c>
    </row>
    <row r="378" spans="1:7" x14ac:dyDescent="0.35">
      <c r="A378" s="84">
        <v>363</v>
      </c>
      <c r="B378" s="84">
        <f t="shared" ca="1" si="15"/>
        <v>0.68090529758401541</v>
      </c>
      <c r="C378" s="84">
        <f t="shared" ca="1" si="15"/>
        <v>0.54421044161757481</v>
      </c>
      <c r="D378" s="93" cm="1">
        <f t="array" aca="1" ref="D378" ca="1">_xlfn.SWITCH($B$4,"Normal MLE",EXP(_xlfn.NORM.INV(B378,LN($C$9),$E$9/$C$9)),"Uniforme",$B$9+($D$9-$B$9)*B378,"Triangular",IF(B378&lt;=($C$9-$B$9)/($D$9-$B$9),$B$9+SQRT(B378*($D$9-$B$9)*($C$9-$B$9)),$D$9-SQRT((1-B378)*($D$9-$B$9)*($D$9-$C$9))),"PERT",_xlfn.BETA.INV(B378,1+$B$6*($C$9-$B$9)/($D$9-$B$9),1+$B$6*($D$9-$C$9)/($D$9-$B$9),$B$9,$D$9))</f>
        <v>2.0132498291384535</v>
      </c>
      <c r="E378" s="94" cm="1">
        <f t="array" aca="1" ref="E378" ca="1">_xlfn.SWITCH($B$4,"Normal MLE",EXP(_xlfn.NORM.INV(C378,LN($C$10),$E$10/$C$10)),"Uniforme",$B$10+($D$10-$B$10)*C378,"Triangular",IF(C378&lt;=($C$10-$B$10)/($D$10-$B$10),$B$10+SQRT(C378*($D$10-$B$10)*($C$10-$B$10)),$D$10-SQRT((1-C378)*($D$10-$B$10)*($D$10-$C$10))),"PERT",_xlfn.BETA.INV(C378,1+$B$6*($C$10-$B$10)/($D$10-$B$10),1+$B$6*($D$10-$C$10)/($D$10-$B$10),$B$10,$D$10))</f>
        <v>5126.1972401897556</v>
      </c>
      <c r="F378" s="88">
        <f t="shared" ca="1" si="16"/>
        <v>0.54504948879938142</v>
      </c>
      <c r="G378" s="89">
        <f t="shared" ca="1" si="17"/>
        <v>1.6648514907952972E-4</v>
      </c>
    </row>
    <row r="379" spans="1:7" x14ac:dyDescent="0.35">
      <c r="A379" s="84">
        <v>364</v>
      </c>
      <c r="B379" s="84">
        <f t="shared" ca="1" si="15"/>
        <v>0.4428005843000713</v>
      </c>
      <c r="C379" s="84">
        <f t="shared" ca="1" si="15"/>
        <v>0.26111082956885734</v>
      </c>
      <c r="D379" s="93" cm="1">
        <f t="array" aca="1" ref="D379" ca="1">_xlfn.SWITCH($B$4,"Normal MLE",EXP(_xlfn.NORM.INV(B379,LN($C$9),$E$9/$C$9)),"Uniforme",$B$9+($D$9-$B$9)*B379,"Triangular",IF(B379&lt;=($C$9-$B$9)/($D$9-$B$9),$B$9+SQRT(B379*($D$9-$B$9)*($C$9-$B$9)),$D$9-SQRT((1-B379)*($D$9-$B$9)*($D$9-$C$9))),"PERT",_xlfn.BETA.INV(B379,1+$B$6*($C$9-$B$9)/($D$9-$B$9),1+$B$6*($D$9-$C$9)/($D$9-$B$9),$B$9,$D$9))</f>
        <v>1.9280427026383198</v>
      </c>
      <c r="E379" s="94" cm="1">
        <f t="array" aca="1" ref="E379" ca="1">_xlfn.SWITCH($B$4,"Normal MLE",EXP(_xlfn.NORM.INV(C379,LN($C$10),$E$10/$C$10)),"Uniforme",$B$10+($D$10-$B$10)*C379,"Triangular",IF(C379&lt;=($C$10-$B$10)/($D$10-$B$10),$B$10+SQRT(C379*($D$10-$B$10)*($C$10-$B$10)),$D$10-SQRT((1-C379)*($D$10-$B$10)*($D$10-$C$10))),"PERT",_xlfn.BETA.INV(C379,1+$B$6*($C$10-$B$10)/($D$10-$B$10),1+$B$6*($D$10-$C$10)/($D$10-$B$10),$B$10,$D$10))</f>
        <v>4950.151461099289</v>
      </c>
      <c r="F379" s="88">
        <f t="shared" ca="1" si="16"/>
        <v>0.51527970917379384</v>
      </c>
      <c r="G379" s="89">
        <f t="shared" ca="1" si="17"/>
        <v>1.6468079896985135E-4</v>
      </c>
    </row>
    <row r="380" spans="1:7" x14ac:dyDescent="0.35">
      <c r="A380" s="84">
        <v>365</v>
      </c>
      <c r="B380" s="84">
        <f t="shared" ca="1" si="15"/>
        <v>0.58597657020515803</v>
      </c>
      <c r="C380" s="84">
        <f t="shared" ca="1" si="15"/>
        <v>0.70438481801521158</v>
      </c>
      <c r="D380" s="93" cm="1">
        <f t="array" aca="1" ref="D380" ca="1">_xlfn.SWITCH($B$4,"Normal MLE",EXP(_xlfn.NORM.INV(B380,LN($C$9),$E$9/$C$9)),"Uniforme",$B$9+($D$9-$B$9)*B380,"Triangular",IF(B380&lt;=($C$9-$B$9)/($D$9-$B$9),$B$9+SQRT(B380*($D$9-$B$9)*($C$9-$B$9)),$D$9-SQRT((1-B380)*($D$9-$B$9)*($D$9-$C$9))),"PERT",_xlfn.BETA.INV(B380,1+$B$6*($C$9-$B$9)/($D$9-$B$9),1+$B$6*($D$9-$C$9)/($D$9-$B$9),$B$9,$D$9))</f>
        <v>1.9776957163538875</v>
      </c>
      <c r="E380" s="94" cm="1">
        <f t="array" aca="1" ref="E380" ca="1">_xlfn.SWITCH($B$4,"Normal MLE",EXP(_xlfn.NORM.INV(C380,LN($C$10),$E$10/$C$10)),"Uniforme",$B$10+($D$10-$B$10)*C380,"Triangular",IF(C380&lt;=($C$10-$B$10)/($D$10-$B$10),$B$10+SQRT(C380*($D$10-$B$10)*($C$10-$B$10)),$D$10-SQRT((1-C380)*($D$10-$B$10)*($D$10-$C$10))),"PERT",_xlfn.BETA.INV(C380,1+$B$6*($C$10-$B$10)/($D$10-$B$10),1+$B$6*($D$10-$C$10)/($D$10-$B$10),$B$10,$D$10))</f>
        <v>5228.8326024157222</v>
      </c>
      <c r="F380" s="88">
        <f t="shared" ca="1" si="16"/>
        <v>0.5550397592297498</v>
      </c>
      <c r="G380" s="89">
        <f t="shared" ca="1" si="17"/>
        <v>1.6155822302525136E-4</v>
      </c>
    </row>
    <row r="381" spans="1:7" x14ac:dyDescent="0.35">
      <c r="A381" s="84">
        <v>366</v>
      </c>
      <c r="B381" s="84">
        <f t="shared" ca="1" si="15"/>
        <v>0.95026282749580404</v>
      </c>
      <c r="C381" s="84">
        <f t="shared" ca="1" si="15"/>
        <v>0.93629066089601898</v>
      </c>
      <c r="D381" s="93" cm="1">
        <f t="array" aca="1" ref="D381" ca="1">_xlfn.SWITCH($B$4,"Normal MLE",EXP(_xlfn.NORM.INV(B381,LN($C$9),$E$9/$C$9)),"Uniforme",$B$9+($D$9-$B$9)*B381,"Triangular",IF(B381&lt;=($C$9-$B$9)/($D$9-$B$9),$B$9+SQRT(B381*($D$9-$B$9)*($C$9-$B$9)),$D$9-SQRT((1-B381)*($D$9-$B$9)*($D$9-$C$9))),"PERT",_xlfn.BETA.INV(B381,1+$B$6*($C$9-$B$9)/($D$9-$B$9),1+$B$6*($D$9-$C$9)/($D$9-$B$9),$B$9,$D$9))</f>
        <v>2.1872528069386479</v>
      </c>
      <c r="E381" s="94" cm="1">
        <f t="array" aca="1" ref="E381" ca="1">_xlfn.SWITCH($B$4,"Normal MLE",EXP(_xlfn.NORM.INV(C381,LN($C$10),$E$10/$C$10)),"Uniforme",$B$10+($D$10-$B$10)*C381,"Triangular",IF(C381&lt;=($C$10-$B$10)/($D$10-$B$10),$B$10+SQRT(C381*($D$10-$B$10)*($C$10-$B$10)),$D$10-SQRT((1-C381)*($D$10-$B$10)*($D$10-$C$10))),"PERT",_xlfn.BETA.INV(C381,1+$B$6*($C$10-$B$10)/($D$10-$B$10),1+$B$6*($D$10-$C$10)/($D$10-$B$10),$B$10,$D$10))</f>
        <v>5474.6681421204594</v>
      </c>
      <c r="F381" s="88">
        <f t="shared" ca="1" si="16"/>
        <v>0.60449365824922141</v>
      </c>
      <c r="G381" s="89">
        <f t="shared" ca="1" si="17"/>
        <v>1.6638454312344324E-4</v>
      </c>
    </row>
    <row r="382" spans="1:7" x14ac:dyDescent="0.35">
      <c r="A382" s="84">
        <v>367</v>
      </c>
      <c r="B382" s="84">
        <f t="shared" ca="1" si="15"/>
        <v>0.34797850740533531</v>
      </c>
      <c r="C382" s="84">
        <f t="shared" ca="1" si="15"/>
        <v>0.85390156399882156</v>
      </c>
      <c r="D382" s="93" cm="1">
        <f t="array" aca="1" ref="D382" ca="1">_xlfn.SWITCH($B$4,"Normal MLE",EXP(_xlfn.NORM.INV(B382,LN($C$9),$E$9/$C$9)),"Uniforme",$B$9+($D$9-$B$9)*B382,"Triangular",IF(B382&lt;=($C$9-$B$9)/($D$9-$B$9),$B$9+SQRT(B382*($D$9-$B$9)*($C$9-$B$9)),$D$9-SQRT((1-B382)*($D$9-$B$9)*($D$9-$C$9))),"PERT",_xlfn.BETA.INV(B382,1+$B$6*($C$9-$B$9)/($D$9-$B$9),1+$B$6*($D$9-$C$9)/($D$9-$B$9),$B$9,$D$9))</f>
        <v>1.8948088742392886</v>
      </c>
      <c r="E382" s="94" cm="1">
        <f t="array" aca="1" ref="E382" ca="1">_xlfn.SWITCH($B$4,"Normal MLE",EXP(_xlfn.NORM.INV(C382,LN($C$10),$E$10/$C$10)),"Uniforme",$B$10+($D$10-$B$10)*C382,"Triangular",IF(C382&lt;=($C$10-$B$10)/($D$10-$B$10),$B$10+SQRT(C382*($D$10-$B$10)*($C$10-$B$10)),$D$10-SQRT((1-C382)*($D$10-$B$10)*($D$10-$C$10))),"PERT",_xlfn.BETA.INV(C382,1+$B$6*($C$10-$B$10)/($D$10-$B$10),1+$B$6*($D$10-$C$10)/($D$10-$B$10),$B$10,$D$10))</f>
        <v>5355.9702066444561</v>
      </c>
      <c r="F382" s="88">
        <f t="shared" ca="1" si="16"/>
        <v>0.56262159376787746</v>
      </c>
      <c r="G382" s="89">
        <f t="shared" ca="1" si="17"/>
        <v>1.5328562552874918E-4</v>
      </c>
    </row>
    <row r="383" spans="1:7" x14ac:dyDescent="0.35">
      <c r="A383" s="84">
        <v>368</v>
      </c>
      <c r="B383" s="84">
        <f t="shared" ca="1" si="15"/>
        <v>0.26641687830692196</v>
      </c>
      <c r="C383" s="84">
        <f t="shared" ca="1" si="15"/>
        <v>9.2796966146714621E-2</v>
      </c>
      <c r="D383" s="93" cm="1">
        <f t="array" aca="1" ref="D383" ca="1">_xlfn.SWITCH($B$4,"Normal MLE",EXP(_xlfn.NORM.INV(B383,LN($C$9),$E$9/$C$9)),"Uniforme",$B$9+($D$9-$B$9)*B383,"Triangular",IF(B383&lt;=($C$9-$B$9)/($D$9-$B$9),$B$9+SQRT(B383*($D$9-$B$9)*($C$9-$B$9)),$D$9-SQRT((1-B383)*($D$9-$B$9)*($D$9-$C$9))),"PERT",_xlfn.BETA.INV(B383,1+$B$6*($C$9-$B$9)/($D$9-$B$9),1+$B$6*($D$9-$C$9)/($D$9-$B$9),$B$9,$D$9))</f>
        <v>1.8639858434523384</v>
      </c>
      <c r="E383" s="94" cm="1">
        <f t="array" aca="1" ref="E383" ca="1">_xlfn.SWITCH($B$4,"Normal MLE",EXP(_xlfn.NORM.INV(C383,LN($C$10),$E$10/$C$10)),"Uniforme",$B$10+($D$10-$B$10)*C383,"Triangular",IF(C383&lt;=($C$10-$B$10)/($D$10-$B$10),$B$10+SQRT(C383*($D$10-$B$10)*($C$10-$B$10)),$D$10-SQRT((1-C383)*($D$10-$B$10)*($D$10-$C$10))),"PERT",_xlfn.BETA.INV(C383,1+$B$6*($C$10-$B$10)/($D$10-$B$10),1+$B$6*($D$10-$C$10)/($D$10-$B$10),$B$10,$D$10))</f>
        <v>4795.1161695975661</v>
      </c>
      <c r="F383" s="88">
        <f t="shared" ca="1" si="16"/>
        <v>0.49005733847878435</v>
      </c>
      <c r="G383" s="89">
        <f t="shared" ca="1" si="17"/>
        <v>1.6287741560389599E-4</v>
      </c>
    </row>
    <row r="384" spans="1:7" x14ac:dyDescent="0.35">
      <c r="A384" s="84">
        <v>369</v>
      </c>
      <c r="B384" s="84">
        <f t="shared" ca="1" si="15"/>
        <v>0.84103416182545154</v>
      </c>
      <c r="C384" s="84">
        <f t="shared" ca="1" si="15"/>
        <v>9.8886786802994342E-2</v>
      </c>
      <c r="D384" s="93" cm="1">
        <f t="array" aca="1" ref="D384" ca="1">_xlfn.SWITCH($B$4,"Normal MLE",EXP(_xlfn.NORM.INV(B384,LN($C$9),$E$9/$C$9)),"Uniforme",$B$9+($D$9-$B$9)*B384,"Triangular",IF(B384&lt;=($C$9-$B$9)/($D$9-$B$9),$B$9+SQRT(B384*($D$9-$B$9)*($C$9-$B$9)),$D$9-SQRT((1-B384)*($D$9-$B$9)*($D$9-$C$9))),"PERT",_xlfn.BETA.INV(B384,1+$B$6*($C$9-$B$9)/($D$9-$B$9),1+$B$6*($D$9-$C$9)/($D$9-$B$9),$B$9,$D$9))</f>
        <v>2.0895859044268636</v>
      </c>
      <c r="E384" s="94" cm="1">
        <f t="array" aca="1" ref="E384" ca="1">_xlfn.SWITCH($B$4,"Normal MLE",EXP(_xlfn.NORM.INV(C384,LN($C$10),$E$10/$C$10)),"Uniforme",$B$10+($D$10-$B$10)*C384,"Triangular",IF(C384&lt;=($C$10-$B$10)/($D$10-$B$10),$B$10+SQRT(C384*($D$10-$B$10)*($C$10-$B$10)),$D$10-SQRT((1-C384)*($D$10-$B$10)*($D$10-$C$10))),"PERT",_xlfn.BETA.INV(C384,1+$B$6*($C$10-$B$10)/($D$10-$B$10),1+$B$6*($D$10-$C$10)/($D$10-$B$10),$B$10,$D$10))</f>
        <v>4803.1124186282595</v>
      </c>
      <c r="F384" s="88">
        <f t="shared" ca="1" si="16"/>
        <v>0.50546870420847845</v>
      </c>
      <c r="G384" s="89">
        <f t="shared" ca="1" si="17"/>
        <v>1.8015662886054993E-4</v>
      </c>
    </row>
    <row r="385" spans="1:7" x14ac:dyDescent="0.35">
      <c r="A385" s="84">
        <v>370</v>
      </c>
      <c r="B385" s="84">
        <f t="shared" ca="1" si="15"/>
        <v>0.58790862918493003</v>
      </c>
      <c r="C385" s="84">
        <f t="shared" ca="1" si="15"/>
        <v>0.26719631139096545</v>
      </c>
      <c r="D385" s="93" cm="1">
        <f t="array" aca="1" ref="D385" ca="1">_xlfn.SWITCH($B$4,"Normal MLE",EXP(_xlfn.NORM.INV(B385,LN($C$9),$E$9/$C$9)),"Uniforme",$B$9+($D$9-$B$9)*B385,"Triangular",IF(B385&lt;=($C$9-$B$9)/($D$9-$B$9),$B$9+SQRT(B385*($D$9-$B$9)*($C$9-$B$9)),$D$9-SQRT((1-B385)*($D$9-$B$9)*($D$9-$C$9))),"PERT",_xlfn.BETA.INV(B385,1+$B$6*($C$9-$B$9)/($D$9-$B$9),1+$B$6*($D$9-$C$9)/($D$9-$B$9),$B$9,$D$9))</f>
        <v>1.9783867814912266</v>
      </c>
      <c r="E385" s="94" cm="1">
        <f t="array" aca="1" ref="E385" ca="1">_xlfn.SWITCH($B$4,"Normal MLE",EXP(_xlfn.NORM.INV(C385,LN($C$10),$E$10/$C$10)),"Uniforme",$B$10+($D$10-$B$10)*C385,"Triangular",IF(C385&lt;=($C$10-$B$10)/($D$10-$B$10),$B$10+SQRT(C385*($D$10-$B$10)*($C$10-$B$10)),$D$10-SQRT((1-C385)*($D$10-$B$10)*($D$10-$C$10))),"PERT",_xlfn.BETA.INV(C385,1+$B$6*($C$10-$B$10)/($D$10-$B$10),1+$B$6*($D$10-$C$10)/($D$10-$B$10),$B$10,$D$10))</f>
        <v>4954.4401421048851</v>
      </c>
      <c r="F385" s="88">
        <f t="shared" ca="1" si="16"/>
        <v>0.51952186875366702</v>
      </c>
      <c r="G385" s="89">
        <f t="shared" ca="1" si="17"/>
        <v>1.6826526374763307E-4</v>
      </c>
    </row>
    <row r="386" spans="1:7" x14ac:dyDescent="0.35">
      <c r="A386" s="84">
        <v>371</v>
      </c>
      <c r="B386" s="84">
        <f t="shared" ca="1" si="15"/>
        <v>0.94013327054076323</v>
      </c>
      <c r="C386" s="84">
        <f t="shared" ca="1" si="15"/>
        <v>0.18699009046175219</v>
      </c>
      <c r="D386" s="93" cm="1">
        <f t="array" aca="1" ref="D386" ca="1">_xlfn.SWITCH($B$4,"Normal MLE",EXP(_xlfn.NORM.INV(B386,LN($C$9),$E$9/$C$9)),"Uniforme",$B$9+($D$9-$B$9)*B386,"Triangular",IF(B386&lt;=($C$9-$B$9)/($D$9-$B$9),$B$9+SQRT(B386*($D$9-$B$9)*($C$9-$B$9)),$D$9-SQRT((1-B386)*($D$9-$B$9)*($D$9-$C$9))),"PERT",_xlfn.BETA.INV(B386,1+$B$6*($C$9-$B$9)/($D$9-$B$9),1+$B$6*($D$9-$C$9)/($D$9-$B$9),$B$9,$D$9))</f>
        <v>2.1732026630246226</v>
      </c>
      <c r="E386" s="94" cm="1">
        <f t="array" aca="1" ref="E386" ca="1">_xlfn.SWITCH($B$4,"Normal MLE",EXP(_xlfn.NORM.INV(C386,LN($C$10),$E$10/$C$10)),"Uniforme",$B$10+($D$10-$B$10)*C386,"Triangular",IF(C386&lt;=($C$10-$B$10)/($D$10-$B$10),$B$10+SQRT(C386*($D$10-$B$10)*($C$10-$B$10)),$D$10-SQRT((1-C386)*($D$10-$B$10)*($D$10-$C$10))),"PERT",_xlfn.BETA.INV(C386,1+$B$6*($C$10-$B$10)/($D$10-$B$10),1+$B$6*($D$10-$C$10)/($D$10-$B$10),$B$10,$D$10))</f>
        <v>4893.0979954360255</v>
      </c>
      <c r="F386" s="88">
        <f t="shared" ca="1" si="16"/>
        <v>0.52448091827419885</v>
      </c>
      <c r="G386" s="89">
        <f t="shared" ca="1" si="17"/>
        <v>1.8389194595578619E-4</v>
      </c>
    </row>
    <row r="387" spans="1:7" x14ac:dyDescent="0.35">
      <c r="A387" s="84">
        <v>372</v>
      </c>
      <c r="B387" s="84">
        <f t="shared" ca="1" si="15"/>
        <v>0.26858295506507179</v>
      </c>
      <c r="C387" s="84">
        <f t="shared" ca="1" si="15"/>
        <v>0.54476928015035508</v>
      </c>
      <c r="D387" s="93" cm="1">
        <f t="array" aca="1" ref="D387" ca="1">_xlfn.SWITCH($B$4,"Normal MLE",EXP(_xlfn.NORM.INV(B387,LN($C$9),$E$9/$C$9)),"Uniforme",$B$9+($D$9-$B$9)*B387,"Triangular",IF(B387&lt;=($C$9-$B$9)/($D$9-$B$9),$B$9+SQRT(B387*($D$9-$B$9)*($C$9-$B$9)),$D$9-SQRT((1-B387)*($D$9-$B$9)*($D$9-$C$9))),"PERT",_xlfn.BETA.INV(B387,1+$B$6*($C$9-$B$9)/($D$9-$B$9),1+$B$6*($D$9-$C$9)/($D$9-$B$9),$B$9,$D$9))</f>
        <v>1.8648499715979439</v>
      </c>
      <c r="E387" s="94" cm="1">
        <f t="array" aca="1" ref="E387" ca="1">_xlfn.SWITCH($B$4,"Normal MLE",EXP(_xlfn.NORM.INV(C387,LN($C$10),$E$10/$C$10)),"Uniforme",$B$10+($D$10-$B$10)*C387,"Triangular",IF(C387&lt;=($C$10-$B$10)/($D$10-$B$10),$B$10+SQRT(C387*($D$10-$B$10)*($C$10-$B$10)),$D$10-SQRT((1-C387)*($D$10-$B$10)*($D$10-$C$10))),"PERT",_xlfn.BETA.INV(C387,1+$B$6*($C$10-$B$10)/($D$10-$B$10),1+$B$6*($D$10-$C$10)/($D$10-$B$10),$B$10,$D$10))</f>
        <v>5126.5334968315483</v>
      </c>
      <c r="F387" s="88">
        <f t="shared" ca="1" si="16"/>
        <v>0.53282654913847538</v>
      </c>
      <c r="G387" s="89">
        <f t="shared" ca="1" si="17"/>
        <v>1.5638908143950431E-4</v>
      </c>
    </row>
    <row r="388" spans="1:7" x14ac:dyDescent="0.35">
      <c r="A388" s="84">
        <v>373</v>
      </c>
      <c r="B388" s="84">
        <f t="shared" ca="1" si="15"/>
        <v>0.12942827261103107</v>
      </c>
      <c r="C388" s="84">
        <f t="shared" ca="1" si="15"/>
        <v>0.81620035619601494</v>
      </c>
      <c r="D388" s="93" cm="1">
        <f t="array" aca="1" ref="D388" ca="1">_xlfn.SWITCH($B$4,"Normal MLE",EXP(_xlfn.NORM.INV(B388,LN($C$9),$E$9/$C$9)),"Uniforme",$B$9+($D$9-$B$9)*B388,"Triangular",IF(B388&lt;=($C$9-$B$9)/($D$9-$B$9),$B$9+SQRT(B388*($D$9-$B$9)*($C$9-$B$9)),$D$9-SQRT((1-B388)*($D$9-$B$9)*($D$9-$C$9))),"PERT",_xlfn.BETA.INV(B388,1+$B$6*($C$9-$B$9)/($D$9-$B$9),1+$B$6*($D$9-$C$9)/($D$9-$B$9),$B$9,$D$9))</f>
        <v>1.7988117154230188</v>
      </c>
      <c r="E388" s="94" cm="1">
        <f t="array" aca="1" ref="E388" ca="1">_xlfn.SWITCH($B$4,"Normal MLE",EXP(_xlfn.NORM.INV(C388,LN($C$10),$E$10/$C$10)),"Uniforme",$B$10+($D$10-$B$10)*C388,"Triangular",IF(C388&lt;=($C$10-$B$10)/($D$10-$B$10),$B$10+SQRT(C388*($D$10-$B$10)*($C$10-$B$10)),$D$10-SQRT((1-C388)*($D$10-$B$10)*($D$10-$C$10))),"PERT",_xlfn.BETA.INV(C388,1+$B$6*($C$10-$B$10)/($D$10-$B$10),1+$B$6*($D$10-$C$10)/($D$10-$B$10),$B$10,$D$10))</f>
        <v>5318.1370132985357</v>
      </c>
      <c r="F388" s="88">
        <f t="shared" ca="1" si="16"/>
        <v>0.54931449140092803</v>
      </c>
      <c r="G388" s="89">
        <f t="shared" ca="1" si="17"/>
        <v>1.4799076231516965E-4</v>
      </c>
    </row>
    <row r="389" spans="1:7" x14ac:dyDescent="0.35">
      <c r="A389" s="84">
        <v>374</v>
      </c>
      <c r="B389" s="84">
        <f t="shared" ca="1" si="15"/>
        <v>0.56963542678440393</v>
      </c>
      <c r="C389" s="84">
        <f t="shared" ca="1" si="15"/>
        <v>0.96575759690983476</v>
      </c>
      <c r="D389" s="93" cm="1">
        <f t="array" aca="1" ref="D389" ca="1">_xlfn.SWITCH($B$4,"Normal MLE",EXP(_xlfn.NORM.INV(B389,LN($C$9),$E$9/$C$9)),"Uniforme",$B$9+($D$9-$B$9)*B389,"Triangular",IF(B389&lt;=($C$9-$B$9)/($D$9-$B$9),$B$9+SQRT(B389*($D$9-$B$9)*($C$9-$B$9)),$D$9-SQRT((1-B389)*($D$9-$B$9)*($D$9-$C$9))),"PERT",_xlfn.BETA.INV(B389,1+$B$6*($C$9-$B$9)/($D$9-$B$9),1+$B$6*($D$9-$C$9)/($D$9-$B$9),$B$9,$D$9))</f>
        <v>1.9718882553728865</v>
      </c>
      <c r="E389" s="94" cm="1">
        <f t="array" aca="1" ref="E389" ca="1">_xlfn.SWITCH($B$4,"Normal MLE",EXP(_xlfn.NORM.INV(C389,LN($C$10),$E$10/$C$10)),"Uniforme",$B$10+($D$10-$B$10)*C389,"Triangular",IF(C389&lt;=($C$10-$B$10)/($D$10-$B$10),$B$10+SQRT(C389*($D$10-$B$10)*($C$10-$B$10)),$D$10-SQRT((1-C389)*($D$10-$B$10)*($D$10-$C$10))),"PERT",_xlfn.BETA.INV(C389,1+$B$6*($C$10-$B$10)/($D$10-$B$10),1+$B$6*($D$10-$C$10)/($D$10-$B$10),$B$10,$D$10))</f>
        <v>5550.9715211602115</v>
      </c>
      <c r="F389" s="88">
        <f t="shared" ca="1" si="16"/>
        <v>0.59211059738422045</v>
      </c>
      <c r="G389" s="89">
        <f t="shared" ca="1" si="17"/>
        <v>1.5297049840807929E-4</v>
      </c>
    </row>
    <row r="390" spans="1:7" x14ac:dyDescent="0.35">
      <c r="A390" s="84">
        <v>375</v>
      </c>
      <c r="B390" s="84">
        <f t="shared" ca="1" si="15"/>
        <v>0.57111769141305757</v>
      </c>
      <c r="C390" s="84">
        <f t="shared" ca="1" si="15"/>
        <v>0.69962975690355356</v>
      </c>
      <c r="D390" s="93" cm="1">
        <f t="array" aca="1" ref="D390" ca="1">_xlfn.SWITCH($B$4,"Normal MLE",EXP(_xlfn.NORM.INV(B390,LN($C$9),$E$9/$C$9)),"Uniforme",$B$9+($D$9-$B$9)*B390,"Triangular",IF(B390&lt;=($C$9-$B$9)/($D$9-$B$9),$B$9+SQRT(B390*($D$9-$B$9)*($C$9-$B$9)),$D$9-SQRT((1-B390)*($D$9-$B$9)*($D$9-$C$9))),"PERT",_xlfn.BETA.INV(B390,1+$B$6*($C$9-$B$9)/($D$9-$B$9),1+$B$6*($D$9-$C$9)/($D$9-$B$9),$B$9,$D$9))</f>
        <v>1.9724124316686524</v>
      </c>
      <c r="E390" s="94" cm="1">
        <f t="array" aca="1" ref="E390" ca="1">_xlfn.SWITCH($B$4,"Normal MLE",EXP(_xlfn.NORM.INV(C390,LN($C$10),$E$10/$C$10)),"Uniforme",$B$10+($D$10-$B$10)*C390,"Triangular",IF(C390&lt;=($C$10-$B$10)/($D$10-$B$10),$B$10+SQRT(C390*($D$10-$B$10)*($C$10-$B$10)),$D$10-SQRT((1-C390)*($D$10-$B$10)*($D$10-$C$10))),"PERT",_xlfn.BETA.INV(C390,1+$B$6*($C$10-$B$10)/($D$10-$B$10),1+$B$6*($D$10-$C$10)/($D$10-$B$10),$B$10,$D$10))</f>
        <v>5225.4958089873317</v>
      </c>
      <c r="F390" s="88">
        <f t="shared" ca="1" si="16"/>
        <v>0.55416537087933948</v>
      </c>
      <c r="G390" s="89">
        <f t="shared" ca="1" si="17"/>
        <v>1.6130362190536321E-4</v>
      </c>
    </row>
    <row r="391" spans="1:7" x14ac:dyDescent="0.35">
      <c r="A391" s="84">
        <v>376</v>
      </c>
      <c r="B391" s="84">
        <f t="shared" ca="1" si="15"/>
        <v>0.51853203061738484</v>
      </c>
      <c r="C391" s="84">
        <f t="shared" ca="1" si="15"/>
        <v>8.3954387714093248E-2</v>
      </c>
      <c r="D391" s="93" cm="1">
        <f t="array" aca="1" ref="D391" ca="1">_xlfn.SWITCH($B$4,"Normal MLE",EXP(_xlfn.NORM.INV(B391,LN($C$9),$E$9/$C$9)),"Uniforme",$B$9+($D$9-$B$9)*B391,"Triangular",IF(B391&lt;=($C$9-$B$9)/($D$9-$B$9),$B$9+SQRT(B391*($D$9-$B$9)*($C$9-$B$9)),$D$9-SQRT((1-B391)*($D$9-$B$9)*($D$9-$C$9))),"PERT",_xlfn.BETA.INV(B391,1+$B$6*($C$9-$B$9)/($D$9-$B$9),1+$B$6*($D$9-$C$9)/($D$9-$B$9),$B$9,$D$9))</f>
        <v>1.9540597590435418</v>
      </c>
      <c r="E391" s="94" cm="1">
        <f t="array" aca="1" ref="E391" ca="1">_xlfn.SWITCH($B$4,"Normal MLE",EXP(_xlfn.NORM.INV(C391,LN($C$10),$E$10/$C$10)),"Uniforme",$B$10+($D$10-$B$10)*C391,"Triangular",IF(C391&lt;=($C$10-$B$10)/($D$10-$B$10),$B$10+SQRT(C391*($D$10-$B$10)*($C$10-$B$10)),$D$10-SQRT((1-C391)*($D$10-$B$10)*($D$10-$C$10))),"PERT",_xlfn.BETA.INV(C391,1+$B$6*($C$10-$B$10)/($D$10-$B$10),1+$B$6*($D$10-$C$10)/($D$10-$B$10),$B$10,$D$10))</f>
        <v>4782.8085301552446</v>
      </c>
      <c r="F391" s="88">
        <f t="shared" ca="1" si="16"/>
        <v>0.49400357912109027</v>
      </c>
      <c r="G391" s="89">
        <f t="shared" ca="1" si="17"/>
        <v>1.7018761697277981E-4</v>
      </c>
    </row>
    <row r="392" spans="1:7" x14ac:dyDescent="0.35">
      <c r="A392" s="84">
        <v>377</v>
      </c>
      <c r="B392" s="84">
        <f t="shared" ca="1" si="15"/>
        <v>0.2102361803437276</v>
      </c>
      <c r="C392" s="84">
        <f t="shared" ca="1" si="15"/>
        <v>0.876619155058871</v>
      </c>
      <c r="D392" s="93" cm="1">
        <f t="array" aca="1" ref="D392" ca="1">_xlfn.SWITCH($B$4,"Normal MLE",EXP(_xlfn.NORM.INV(B392,LN($C$9),$E$9/$C$9)),"Uniforme",$B$9+($D$9-$B$9)*B392,"Triangular",IF(B392&lt;=($C$9-$B$9)/($D$9-$B$9),$B$9+SQRT(B392*($D$9-$B$9)*($C$9-$B$9)),$D$9-SQRT((1-B392)*($D$9-$B$9)*($D$9-$C$9))),"PERT",_xlfn.BETA.INV(B392,1+$B$6*($C$9-$B$9)/($D$9-$B$9),1+$B$6*($D$9-$C$9)/($D$9-$B$9),$B$9,$D$9))</f>
        <v>1.8402596900827008</v>
      </c>
      <c r="E392" s="94" cm="1">
        <f t="array" aca="1" ref="E392" ca="1">_xlfn.SWITCH($B$4,"Normal MLE",EXP(_xlfn.NORM.INV(C392,LN($C$10),$E$10/$C$10)),"Uniforme",$B$10+($D$10-$B$10)*C392,"Triangular",IF(C392&lt;=($C$10-$B$10)/($D$10-$B$10),$B$10+SQRT(C392*($D$10-$B$10)*($C$10-$B$10)),$D$10-SQRT((1-C392)*($D$10-$B$10)*($D$10-$C$10))),"PERT",_xlfn.BETA.INV(C392,1+$B$6*($C$10-$B$10)/($D$10-$B$10),1+$B$6*($D$10-$C$10)/($D$10-$B$10),$B$10,$D$10))</f>
        <v>5382.1881101655908</v>
      </c>
      <c r="F392" s="88">
        <f t="shared" ca="1" si="16"/>
        <v>0.56037334348920231</v>
      </c>
      <c r="G392" s="89">
        <f t="shared" ca="1" si="17"/>
        <v>1.4931009605215198E-4</v>
      </c>
    </row>
    <row r="393" spans="1:7" x14ac:dyDescent="0.35">
      <c r="A393" s="84">
        <v>378</v>
      </c>
      <c r="B393" s="84">
        <f t="shared" ca="1" si="15"/>
        <v>0.77530781992857489</v>
      </c>
      <c r="C393" s="84">
        <f t="shared" ca="1" si="15"/>
        <v>0.77718297988234619</v>
      </c>
      <c r="D393" s="93" cm="1">
        <f t="array" aca="1" ref="D393" ca="1">_xlfn.SWITCH($B$4,"Normal MLE",EXP(_xlfn.NORM.INV(B393,LN($C$9),$E$9/$C$9)),"Uniforme",$B$9+($D$9-$B$9)*B393,"Triangular",IF(B393&lt;=($C$9-$B$9)/($D$9-$B$9),$B$9+SQRT(B393*($D$9-$B$9)*($C$9-$B$9)),$D$9-SQRT((1-B393)*($D$9-$B$9)*($D$9-$C$9))),"PERT",_xlfn.BETA.INV(B393,1+$B$6*($C$9-$B$9)/($D$9-$B$9),1+$B$6*($D$9-$C$9)/($D$9-$B$9),$B$9,$D$9))</f>
        <v>2.0542380548362922</v>
      </c>
      <c r="E393" s="94" cm="1">
        <f t="array" aca="1" ref="E393" ca="1">_xlfn.SWITCH($B$4,"Normal MLE",EXP(_xlfn.NORM.INV(C393,LN($C$10),$E$10/$C$10)),"Uniforme",$B$10+($D$10-$B$10)*C393,"Triangular",IF(C393&lt;=($C$10-$B$10)/($D$10-$B$10),$B$10+SQRT(C393*($D$10-$B$10)*($C$10-$B$10)),$D$10-SQRT((1-C393)*($D$10-$B$10)*($D$10-$C$10))),"PERT",_xlfn.BETA.INV(C393,1+$B$6*($C$10-$B$10)/($D$10-$B$10),1+$B$6*($D$10-$C$10)/($D$10-$B$10),$B$10,$D$10))</f>
        <v>5284.0295011423605</v>
      </c>
      <c r="F393" s="88">
        <f t="shared" ca="1" si="16"/>
        <v>0.56866812064736116</v>
      </c>
      <c r="G393" s="89">
        <f t="shared" ca="1" si="17"/>
        <v>1.6484717601360547E-4</v>
      </c>
    </row>
    <row r="394" spans="1:7" x14ac:dyDescent="0.35">
      <c r="A394" s="84">
        <v>379</v>
      </c>
      <c r="B394" s="84">
        <f t="shared" ca="1" si="15"/>
        <v>0.29495611635206154</v>
      </c>
      <c r="C394" s="84">
        <f t="shared" ca="1" si="15"/>
        <v>0.45052496407817233</v>
      </c>
      <c r="D394" s="93" cm="1">
        <f t="array" aca="1" ref="D394" ca="1">_xlfn.SWITCH($B$4,"Normal MLE",EXP(_xlfn.NORM.INV(B394,LN($C$9),$E$9/$C$9)),"Uniforme",$B$9+($D$9-$B$9)*B394,"Triangular",IF(B394&lt;=($C$9-$B$9)/($D$9-$B$9),$B$9+SQRT(B394*($D$9-$B$9)*($C$9-$B$9)),$D$9-SQRT((1-B394)*($D$9-$B$9)*($D$9-$C$9))),"PERT",_xlfn.BETA.INV(B394,1+$B$6*($C$9-$B$9)/($D$9-$B$9),1+$B$6*($D$9-$C$9)/($D$9-$B$9),$B$9,$D$9))</f>
        <v>1.8751398847966179</v>
      </c>
      <c r="E394" s="94" cm="1">
        <f t="array" aca="1" ref="E394" ca="1">_xlfn.SWITCH($B$4,"Normal MLE",EXP(_xlfn.NORM.INV(C394,LN($C$10),$E$10/$C$10)),"Uniforme",$B$10+($D$10-$B$10)*C394,"Triangular",IF(C394&lt;=($C$10-$B$10)/($D$10-$B$10),$B$10+SQRT(C394*($D$10-$B$10)*($C$10-$B$10)),$D$10-SQRT((1-C394)*($D$10-$B$10)*($D$10-$C$10))),"PERT",_xlfn.BETA.INV(C394,1+$B$6*($C$10-$B$10)/($D$10-$B$10),1+$B$6*($D$10-$C$10)/($D$10-$B$10),$B$10,$D$10))</f>
        <v>5070.3546476794218</v>
      </c>
      <c r="F394" s="88">
        <f t="shared" ca="1" si="16"/>
        <v>0.52673183317325989</v>
      </c>
      <c r="G394" s="89">
        <f t="shared" ca="1" si="17"/>
        <v>1.5829399586517941E-4</v>
      </c>
    </row>
    <row r="395" spans="1:7" x14ac:dyDescent="0.35">
      <c r="A395" s="84">
        <v>380</v>
      </c>
      <c r="B395" s="84">
        <f t="shared" ca="1" si="15"/>
        <v>0.13747445024311133</v>
      </c>
      <c r="C395" s="84">
        <f t="shared" ca="1" si="15"/>
        <v>0.22429567950247176</v>
      </c>
      <c r="D395" s="93" cm="1">
        <f t="array" aca="1" ref="D395" ca="1">_xlfn.SWITCH($B$4,"Normal MLE",EXP(_xlfn.NORM.INV(B395,LN($C$9),$E$9/$C$9)),"Uniforme",$B$9+($D$9-$B$9)*B395,"Triangular",IF(B395&lt;=($C$9-$B$9)/($D$9-$B$9),$B$9+SQRT(B395*($D$9-$B$9)*($C$9-$B$9)),$D$9-SQRT((1-B395)*($D$9-$B$9)*($D$9-$C$9))),"PERT",_xlfn.BETA.INV(B395,1+$B$6*($C$9-$B$9)/($D$9-$B$9),1+$B$6*($D$9-$C$9)/($D$9-$B$9),$B$9,$D$9))</f>
        <v>1.8035505535714145</v>
      </c>
      <c r="E395" s="94" cm="1">
        <f t="array" aca="1" ref="E395" ca="1">_xlfn.SWITCH($B$4,"Normal MLE",EXP(_xlfn.NORM.INV(C395,LN($C$10),$E$10/$C$10)),"Uniforme",$B$10+($D$10-$B$10)*C395,"Triangular",IF(C395&lt;=($C$10-$B$10)/($D$10-$B$10),$B$10+SQRT(C395*($D$10-$B$10)*($C$10-$B$10)),$D$10-SQRT((1-C395)*($D$10-$B$10)*($D$10-$C$10))),"PERT",_xlfn.BETA.INV(C395,1+$B$6*($C$10-$B$10)/($D$10-$B$10),1+$B$6*($D$10-$C$10)/($D$10-$B$10),$B$10,$D$10))</f>
        <v>4923.0808637257705</v>
      </c>
      <c r="F395" s="88">
        <f t="shared" ca="1" si="16"/>
        <v>0.50276108314960166</v>
      </c>
      <c r="G395" s="89">
        <f t="shared" ca="1" si="17"/>
        <v>1.558803037671268E-4</v>
      </c>
    </row>
    <row r="396" spans="1:7" x14ac:dyDescent="0.35">
      <c r="A396" s="84">
        <v>381</v>
      </c>
      <c r="B396" s="84">
        <f t="shared" ca="1" si="15"/>
        <v>4.6381770110864529E-2</v>
      </c>
      <c r="C396" s="84">
        <f t="shared" ca="1" si="15"/>
        <v>0.57290486637206883</v>
      </c>
      <c r="D396" s="93" cm="1">
        <f t="array" aca="1" ref="D396" ca="1">_xlfn.SWITCH($B$4,"Normal MLE",EXP(_xlfn.NORM.INV(B396,LN($C$9),$E$9/$C$9)),"Uniforme",$B$9+($D$9-$B$9)*B396,"Triangular",IF(B396&lt;=($C$9-$B$9)/($D$9-$B$9),$B$9+SQRT(B396*($D$9-$B$9)*($C$9-$B$9)),$D$9-SQRT((1-B396)*($D$9-$B$9)*($D$9-$C$9))),"PERT",_xlfn.BETA.INV(B396,1+$B$6*($C$9-$B$9)/($D$9-$B$9),1+$B$6*($D$9-$C$9)/($D$9-$B$9),$B$9,$D$9))</f>
        <v>1.7302429947147866</v>
      </c>
      <c r="E396" s="94" cm="1">
        <f t="array" aca="1" ref="E396" ca="1">_xlfn.SWITCH($B$4,"Normal MLE",EXP(_xlfn.NORM.INV(C396,LN($C$10),$E$10/$C$10)),"Uniforme",$B$10+($D$10-$B$10)*C396,"Triangular",IF(C396&lt;=($C$10-$B$10)/($D$10-$B$10),$B$10+SQRT(C396*($D$10-$B$10)*($C$10-$B$10)),$D$10-SQRT((1-C396)*($D$10-$B$10)*($D$10-$C$10))),"PERT",_xlfn.BETA.INV(C396,1+$B$6*($C$10-$B$10)/($D$10-$B$10),1+$B$6*($D$10-$C$10)/($D$10-$B$10),$B$10,$D$10))</f>
        <v>5143.5753791614634</v>
      </c>
      <c r="F396" s="88">
        <f t="shared" ca="1" si="16"/>
        <v>0.52350167223353394</v>
      </c>
      <c r="G396" s="89">
        <f t="shared" ca="1" si="17"/>
        <v>1.4655943835850961E-4</v>
      </c>
    </row>
    <row r="397" spans="1:7" x14ac:dyDescent="0.35">
      <c r="A397" s="84">
        <v>382</v>
      </c>
      <c r="B397" s="84">
        <f t="shared" ca="1" si="15"/>
        <v>5.0954120561095051E-2</v>
      </c>
      <c r="C397" s="84">
        <f t="shared" ca="1" si="15"/>
        <v>0.51643131599074632</v>
      </c>
      <c r="D397" s="93" cm="1">
        <f t="array" aca="1" ref="D397" ca="1">_xlfn.SWITCH($B$4,"Normal MLE",EXP(_xlfn.NORM.INV(B397,LN($C$9),$E$9/$C$9)),"Uniforme",$B$9+($D$9-$B$9)*B397,"Triangular",IF(B397&lt;=($C$9-$B$9)/($D$9-$B$9),$B$9+SQRT(B397*($D$9-$B$9)*($C$9-$B$9)),$D$9-SQRT((1-B397)*($D$9-$B$9)*($D$9-$C$9))),"PERT",_xlfn.BETA.INV(B397,1+$B$6*($C$9-$B$9)/($D$9-$B$9),1+$B$6*($D$9-$C$9)/($D$9-$B$9),$B$9,$D$9))</f>
        <v>1.7357743087489843</v>
      </c>
      <c r="E397" s="94" cm="1">
        <f t="array" aca="1" ref="E397" ca="1">_xlfn.SWITCH($B$4,"Normal MLE",EXP(_xlfn.NORM.INV(C397,LN($C$10),$E$10/$C$10)),"Uniforme",$B$10+($D$10-$B$10)*C397,"Triangular",IF(C397&lt;=($C$10-$B$10)/($D$10-$B$10),$B$10+SQRT(C397*($D$10-$B$10)*($C$10-$B$10)),$D$10-SQRT((1-C397)*($D$10-$B$10)*($D$10-$C$10))),"PERT",_xlfn.BETA.INV(C397,1+$B$6*($C$10-$B$10)/($D$10-$B$10),1+$B$6*($D$10-$C$10)/($D$10-$B$10),$B$10,$D$10))</f>
        <v>5109.5624454687768</v>
      </c>
      <c r="F397" s="88">
        <f t="shared" ca="1" si="16"/>
        <v>0.52006490406994621</v>
      </c>
      <c r="G397" s="89">
        <f t="shared" ca="1" si="17"/>
        <v>1.4754919023528094E-4</v>
      </c>
    </row>
    <row r="398" spans="1:7" x14ac:dyDescent="0.35">
      <c r="A398" s="84">
        <v>383</v>
      </c>
      <c r="B398" s="84">
        <f t="shared" ca="1" si="15"/>
        <v>0.59393435027325847</v>
      </c>
      <c r="C398" s="84">
        <f t="shared" ca="1" si="15"/>
        <v>0.22510322014492534</v>
      </c>
      <c r="D398" s="93" cm="1">
        <f t="array" aca="1" ref="D398" ca="1">_xlfn.SWITCH($B$4,"Normal MLE",EXP(_xlfn.NORM.INV(B398,LN($C$9),$E$9/$C$9)),"Uniforme",$B$9+($D$9-$B$9)*B398,"Triangular",IF(B398&lt;=($C$9-$B$9)/($D$9-$B$9),$B$9+SQRT(B398*($D$9-$B$9)*($C$9-$B$9)),$D$9-SQRT((1-B398)*($D$9-$B$9)*($D$9-$C$9))),"PERT",_xlfn.BETA.INV(B398,1+$B$6*($C$9-$B$9)/($D$9-$B$9),1+$B$6*($D$9-$C$9)/($D$9-$B$9),$B$9,$D$9))</f>
        <v>1.9805486219305304</v>
      </c>
      <c r="E398" s="94" cm="1">
        <f t="array" aca="1" ref="E398" ca="1">_xlfn.SWITCH($B$4,"Normal MLE",EXP(_xlfn.NORM.INV(C398,LN($C$10),$E$10/$C$10)),"Uniforme",$B$10+($D$10-$B$10)*C398,"Triangular",IF(C398&lt;=($C$10-$B$10)/($D$10-$B$10),$B$10+SQRT(C398*($D$10-$B$10)*($C$10-$B$10)),$D$10-SQRT((1-C398)*($D$10-$B$10)*($D$10-$C$10))),"PERT",_xlfn.BETA.INV(C398,1+$B$6*($C$10-$B$10)/($D$10-$B$10),1+$B$6*($D$10-$C$10)/($D$10-$B$10),$B$10,$D$10))</f>
        <v>4923.6982209901435</v>
      </c>
      <c r="F398" s="88">
        <f t="shared" ca="1" si="16"/>
        <v>0.51547715789988835</v>
      </c>
      <c r="G398" s="89">
        <f t="shared" ca="1" si="17"/>
        <v>1.6913255040079987E-4</v>
      </c>
    </row>
    <row r="399" spans="1:7" x14ac:dyDescent="0.35">
      <c r="A399" s="84">
        <v>384</v>
      </c>
      <c r="B399" s="84">
        <f t="shared" ca="1" si="15"/>
        <v>0.24126300952982893</v>
      </c>
      <c r="C399" s="84">
        <f t="shared" ca="1" si="15"/>
        <v>0.44515631798071653</v>
      </c>
      <c r="D399" s="93" cm="1">
        <f t="array" aca="1" ref="D399" ca="1">_xlfn.SWITCH($B$4,"Normal MLE",EXP(_xlfn.NORM.INV(B399,LN($C$9),$E$9/$C$9)),"Uniforme",$B$9+($D$9-$B$9)*B399,"Triangular",IF(B399&lt;=($C$9-$B$9)/($D$9-$B$9),$B$9+SQRT(B399*($D$9-$B$9)*($C$9-$B$9)),$D$9-SQRT((1-B399)*($D$9-$B$9)*($D$9-$C$9))),"PERT",_xlfn.BETA.INV(B399,1+$B$6*($C$9-$B$9)/($D$9-$B$9),1+$B$6*($D$9-$C$9)/($D$9-$B$9),$B$9,$D$9))</f>
        <v>1.8537025236500493</v>
      </c>
      <c r="E399" s="94" cm="1">
        <f t="array" aca="1" ref="E399" ca="1">_xlfn.SWITCH($B$4,"Normal MLE",EXP(_xlfn.NORM.INV(C399,LN($C$10),$E$10/$C$10)),"Uniforme",$B$10+($D$10-$B$10)*C399,"Triangular",IF(C399&lt;=($C$10-$B$10)/($D$10-$B$10),$B$10+SQRT(C399*($D$10-$B$10)*($C$10-$B$10)),$D$10-SQRT((1-C399)*($D$10-$B$10)*($D$10-$C$10))),"PERT",_xlfn.BETA.INV(C399,1+$B$6*($C$10-$B$10)/($D$10-$B$10),1+$B$6*($D$10-$C$10)/($D$10-$B$10),$B$10,$D$10))</f>
        <v>5067.1530574609778</v>
      </c>
      <c r="F399" s="88">
        <f t="shared" ca="1" si="16"/>
        <v>0.52461768712369949</v>
      </c>
      <c r="G399" s="89">
        <f t="shared" ca="1" si="17"/>
        <v>1.5683401336499255E-4</v>
      </c>
    </row>
    <row r="400" spans="1:7" x14ac:dyDescent="0.35">
      <c r="A400" s="84">
        <v>385</v>
      </c>
      <c r="B400" s="84">
        <f t="shared" ca="1" si="15"/>
        <v>0.76760060991447132</v>
      </c>
      <c r="C400" s="84">
        <f t="shared" ca="1" si="15"/>
        <v>0.66584384643632</v>
      </c>
      <c r="D400" s="93" cm="1">
        <f t="array" aca="1" ref="D400" ca="1">_xlfn.SWITCH($B$4,"Normal MLE",EXP(_xlfn.NORM.INV(B400,LN($C$9),$E$9/$C$9)),"Uniforme",$B$9+($D$9-$B$9)*B400,"Triangular",IF(B400&lt;=($C$9-$B$9)/($D$9-$B$9),$B$9+SQRT(B400*($D$9-$B$9)*($C$9-$B$9)),$D$9-SQRT((1-B400)*($D$9-$B$9)*($D$9-$C$9))),"PERT",_xlfn.BETA.INV(B400,1+$B$6*($C$9-$B$9)/($D$9-$B$9),1+$B$6*($D$9-$C$9)/($D$9-$B$9),$B$9,$D$9))</f>
        <v>2.0505563419625794</v>
      </c>
      <c r="E400" s="94" cm="1">
        <f t="array" aca="1" ref="E400" ca="1">_xlfn.SWITCH($B$4,"Normal MLE",EXP(_xlfn.NORM.INV(C400,LN($C$10),$E$10/$C$10)),"Uniforme",$B$10+($D$10-$B$10)*C400,"Triangular",IF(C400&lt;=($C$10-$B$10)/($D$10-$B$10),$B$10+SQRT(C400*($D$10-$B$10)*($C$10-$B$10)),$D$10-SQRT((1-C400)*($D$10-$B$10)*($D$10-$C$10))),"PERT",_xlfn.BETA.INV(C400,1+$B$6*($C$10-$B$10)/($D$10-$B$10),1+$B$6*($D$10-$C$10)/($D$10-$B$10),$B$10,$D$10))</f>
        <v>5202.4774831956174</v>
      </c>
      <c r="F400" s="88">
        <f t="shared" ca="1" si="16"/>
        <v>0.55802633654517531</v>
      </c>
      <c r="G400" s="89">
        <f t="shared" ca="1" si="17"/>
        <v>1.6687641391096173E-4</v>
      </c>
    </row>
    <row r="401" spans="1:7" x14ac:dyDescent="0.35">
      <c r="A401" s="84">
        <v>386</v>
      </c>
      <c r="B401" s="84">
        <f t="shared" ref="B401:C464" ca="1" si="18">RAND()</f>
        <v>0.59208885780767173</v>
      </c>
      <c r="C401" s="84">
        <f t="shared" ca="1" si="18"/>
        <v>0.42320958294664646</v>
      </c>
      <c r="D401" s="93" cm="1">
        <f t="array" aca="1" ref="D401" ca="1">_xlfn.SWITCH($B$4,"Normal MLE",EXP(_xlfn.NORM.INV(B401,LN($C$9),$E$9/$C$9)),"Uniforme",$B$9+($D$9-$B$9)*B401,"Triangular",IF(B401&lt;=($C$9-$B$9)/($D$9-$B$9),$B$9+SQRT(B401*($D$9-$B$9)*($C$9-$B$9)),$D$9-SQRT((1-B401)*($D$9-$B$9)*($D$9-$C$9))),"PERT",_xlfn.BETA.INV(B401,1+$B$6*($C$9-$B$9)/($D$9-$B$9),1+$B$6*($D$9-$C$9)/($D$9-$B$9),$B$9,$D$9))</f>
        <v>1.9798854430110242</v>
      </c>
      <c r="E401" s="94" cm="1">
        <f t="array" aca="1" ref="E401" ca="1">_xlfn.SWITCH($B$4,"Normal MLE",EXP(_xlfn.NORM.INV(C401,LN($C$10),$E$10/$C$10)),"Uniforme",$B$10+($D$10-$B$10)*C401,"Triangular",IF(C401&lt;=($C$10-$B$10)/($D$10-$B$10),$B$10+SQRT(C401*($D$10-$B$10)*($C$10-$B$10)),$D$10-SQRT((1-C401)*($D$10-$B$10)*($D$10-$C$10))),"PERT",_xlfn.BETA.INV(C401,1+$B$6*($C$10-$B$10)/($D$10-$B$10),1+$B$6*($D$10-$C$10)/($D$10-$B$10),$B$10,$D$10))</f>
        <v>5054.0172282054436</v>
      </c>
      <c r="F401" s="88">
        <f t="shared" ref="F401:F464" ca="1" si="19">EXP(-POWER($B$12/E401,D401))</f>
        <v>0.53294004366654457</v>
      </c>
      <c r="G401" s="89">
        <f t="shared" ref="G401:G464" ca="1" si="20">(D401/E401)*POWER($B$12/E401,D401-1)*EXP(-POWER($B$12/E401,D401))</f>
        <v>1.6601531044219177E-4</v>
      </c>
    </row>
    <row r="402" spans="1:7" x14ac:dyDescent="0.35">
      <c r="A402" s="84">
        <v>387</v>
      </c>
      <c r="B402" s="84">
        <f t="shared" ca="1" si="18"/>
        <v>0.16652631559620723</v>
      </c>
      <c r="C402" s="84">
        <f t="shared" ca="1" si="18"/>
        <v>0.13023304186533613</v>
      </c>
      <c r="D402" s="93" cm="1">
        <f t="array" aca="1" ref="D402" ca="1">_xlfn.SWITCH($B$4,"Normal MLE",EXP(_xlfn.NORM.INV(B402,LN($C$9),$E$9/$C$9)),"Uniforme",$B$9+($D$9-$B$9)*B402,"Triangular",IF(B402&lt;=($C$9-$B$9)/($D$9-$B$9),$B$9+SQRT(B402*($D$9-$B$9)*($C$9-$B$9)),$D$9-SQRT((1-B402)*($D$9-$B$9)*($D$9-$C$9))),"PERT",_xlfn.BETA.INV(B402,1+$B$6*($C$9-$B$9)/($D$9-$B$9),1+$B$6*($D$9-$C$9)/($D$9-$B$9),$B$9,$D$9))</f>
        <v>1.8193365140494373</v>
      </c>
      <c r="E402" s="94" cm="1">
        <f t="array" aca="1" ref="E402" ca="1">_xlfn.SWITCH($B$4,"Normal MLE",EXP(_xlfn.NORM.INV(C402,LN($C$10),$E$10/$C$10)),"Uniforme",$B$10+($D$10-$B$10)*C402,"Triangular",IF(C402&lt;=($C$10-$B$10)/($D$10-$B$10),$B$10+SQRT(C402*($D$10-$B$10)*($C$10-$B$10)),$D$10-SQRT((1-C402)*($D$10-$B$10)*($D$10-$C$10))),"PERT",_xlfn.BETA.INV(C402,1+$B$6*($C$10-$B$10)/($D$10-$B$10),1+$B$6*($D$10-$C$10)/($D$10-$B$10),$B$10,$D$10))</f>
        <v>4839.5997653025261</v>
      </c>
      <c r="F402" s="88">
        <f t="shared" ca="1" si="19"/>
        <v>0.49309607333448613</v>
      </c>
      <c r="G402" s="89">
        <f t="shared" ca="1" si="20"/>
        <v>1.5857527838073358E-4</v>
      </c>
    </row>
    <row r="403" spans="1:7" x14ac:dyDescent="0.35">
      <c r="A403" s="84">
        <v>388</v>
      </c>
      <c r="B403" s="84">
        <f t="shared" ca="1" si="18"/>
        <v>0.71172176920742625</v>
      </c>
      <c r="C403" s="84">
        <f t="shared" ca="1" si="18"/>
        <v>0.43675241919843921</v>
      </c>
      <c r="D403" s="93" cm="1">
        <f t="array" aca="1" ref="D403" ca="1">_xlfn.SWITCH($B$4,"Normal MLE",EXP(_xlfn.NORM.INV(B403,LN($C$9),$E$9/$C$9)),"Uniforme",$B$9+($D$9-$B$9)*B403,"Triangular",IF(B403&lt;=($C$9-$B$9)/($D$9-$B$9),$B$9+SQRT(B403*($D$9-$B$9)*($C$9-$B$9)),$D$9-SQRT((1-B403)*($D$9-$B$9)*($D$9-$C$9))),"PERT",_xlfn.BETA.INV(B403,1+$B$6*($C$9-$B$9)/($D$9-$B$9),1+$B$6*($D$9-$C$9)/($D$9-$B$9),$B$9,$D$9))</f>
        <v>2.0257915878812511</v>
      </c>
      <c r="E403" s="94" cm="1">
        <f t="array" aca="1" ref="E403" ca="1">_xlfn.SWITCH($B$4,"Normal MLE",EXP(_xlfn.NORM.INV(C403,LN($C$10),$E$10/$C$10)),"Uniforme",$B$10+($D$10-$B$10)*C403,"Triangular",IF(C403&lt;=($C$10-$B$10)/($D$10-$B$10),$B$10+SQRT(C403*($D$10-$B$10)*($C$10-$B$10)),$D$10-SQRT((1-C403)*($D$10-$B$10)*($D$10-$C$10))),"PERT",_xlfn.BETA.INV(C403,1+$B$6*($C$10-$B$10)/($D$10-$B$10),1+$B$6*($D$10-$C$10)/($D$10-$B$10),$B$10,$D$10))</f>
        <v>5062.1331800601574</v>
      </c>
      <c r="F403" s="88">
        <f t="shared" ca="1" si="19"/>
        <v>0.53761924804113814</v>
      </c>
      <c r="G403" s="89">
        <f t="shared" ca="1" si="20"/>
        <v>1.6897584705265943E-4</v>
      </c>
    </row>
    <row r="404" spans="1:7" x14ac:dyDescent="0.35">
      <c r="A404" s="84">
        <v>389</v>
      </c>
      <c r="B404" s="84">
        <f t="shared" ca="1" si="18"/>
        <v>0.90697614715859776</v>
      </c>
      <c r="C404" s="84">
        <f t="shared" ca="1" si="18"/>
        <v>0.10546499833691669</v>
      </c>
      <c r="D404" s="93" cm="1">
        <f t="array" aca="1" ref="D404" ca="1">_xlfn.SWITCH($B$4,"Normal MLE",EXP(_xlfn.NORM.INV(B404,LN($C$9),$E$9/$C$9)),"Uniforme",$B$9+($D$9-$B$9)*B404,"Triangular",IF(B404&lt;=($C$9-$B$9)/($D$9-$B$9),$B$9+SQRT(B404*($D$9-$B$9)*($C$9-$B$9)),$D$9-SQRT((1-B404)*($D$9-$B$9)*($D$9-$C$9))),"PERT",_xlfn.BETA.INV(B404,1+$B$6*($C$9-$B$9)/($D$9-$B$9),1+$B$6*($D$9-$C$9)/($D$9-$B$9),$B$9,$D$9))</f>
        <v>2.1377562388021536</v>
      </c>
      <c r="E404" s="94" cm="1">
        <f t="array" aca="1" ref="E404" ca="1">_xlfn.SWITCH($B$4,"Normal MLE",EXP(_xlfn.NORM.INV(C404,LN($C$10),$E$10/$C$10)),"Uniforme",$B$10+($D$10-$B$10)*C404,"Triangular",IF(C404&lt;=($C$10-$B$10)/($D$10-$B$10),$B$10+SQRT(C404*($D$10-$B$10)*($C$10-$B$10)),$D$10-SQRT((1-C404)*($D$10-$B$10)*($D$10-$C$10))),"PERT",_xlfn.BETA.INV(C404,1+$B$6*($C$10-$B$10)/($D$10-$B$10),1+$B$6*($D$10-$C$10)/($D$10-$B$10),$B$10,$D$10))</f>
        <v>4811.3688848067759</v>
      </c>
      <c r="F404" s="88">
        <f t="shared" ca="1" si="19"/>
        <v>0.50976585982917211</v>
      </c>
      <c r="G404" s="89">
        <f t="shared" ca="1" si="20"/>
        <v>1.8357027810990162E-4</v>
      </c>
    </row>
    <row r="405" spans="1:7" x14ac:dyDescent="0.35">
      <c r="A405" s="84">
        <v>390</v>
      </c>
      <c r="B405" s="84">
        <f t="shared" ca="1" si="18"/>
        <v>0.1048982990642312</v>
      </c>
      <c r="C405" s="84">
        <f t="shared" ca="1" si="18"/>
        <v>0.48311418132324258</v>
      </c>
      <c r="D405" s="93" cm="1">
        <f t="array" aca="1" ref="D405" ca="1">_xlfn.SWITCH($B$4,"Normal MLE",EXP(_xlfn.NORM.INV(B405,LN($C$9),$E$9/$C$9)),"Uniforme",$B$9+($D$9-$B$9)*B405,"Triangular",IF(B405&lt;=($C$9-$B$9)/($D$9-$B$9),$B$9+SQRT(B405*($D$9-$B$9)*($C$9-$B$9)),$D$9-SQRT((1-B405)*($D$9-$B$9)*($D$9-$C$9))),"PERT",_xlfn.BETA.INV(B405,1+$B$6*($C$9-$B$9)/($D$9-$B$9),1+$B$6*($D$9-$C$9)/($D$9-$B$9),$B$9,$D$9))</f>
        <v>1.7830438807263742</v>
      </c>
      <c r="E405" s="94" cm="1">
        <f t="array" aca="1" ref="E405" ca="1">_xlfn.SWITCH($B$4,"Normal MLE",EXP(_xlfn.NORM.INV(C405,LN($C$10),$E$10/$C$10)),"Uniforme",$B$10+($D$10-$B$10)*C405,"Triangular",IF(C405&lt;=($C$10-$B$10)/($D$10-$B$10),$B$10+SQRT(C405*($D$10-$B$10)*($C$10-$B$10)),$D$10-SQRT((1-C405)*($D$10-$B$10)*($D$10-$C$10))),"PERT",_xlfn.BETA.INV(C405,1+$B$6*($C$10-$B$10)/($D$10-$B$10),1+$B$6*($D$10-$C$10)/($D$10-$B$10),$B$10,$D$10))</f>
        <v>5089.738187702711</v>
      </c>
      <c r="F405" s="88">
        <f t="shared" ca="1" si="19"/>
        <v>0.52164170984105518</v>
      </c>
      <c r="G405" s="89">
        <f t="shared" ca="1" si="20"/>
        <v>1.5132293207114356E-4</v>
      </c>
    </row>
    <row r="406" spans="1:7" x14ac:dyDescent="0.35">
      <c r="A406" s="84">
        <v>391</v>
      </c>
      <c r="B406" s="84">
        <f t="shared" ca="1" si="18"/>
        <v>0.39837853850260818</v>
      </c>
      <c r="C406" s="84">
        <f t="shared" ca="1" si="18"/>
        <v>0.86604653061655412</v>
      </c>
      <c r="D406" s="93" cm="1">
        <f t="array" aca="1" ref="D406" ca="1">_xlfn.SWITCH($B$4,"Normal MLE",EXP(_xlfn.NORM.INV(B406,LN($C$9),$E$9/$C$9)),"Uniforme",$B$9+($D$9-$B$9)*B406,"Triangular",IF(B406&lt;=($C$9-$B$9)/($D$9-$B$9),$B$9+SQRT(B406*($D$9-$B$9)*($C$9-$B$9)),$D$9-SQRT((1-B406)*($D$9-$B$9)*($D$9-$C$9))),"PERT",_xlfn.BETA.INV(B406,1+$B$6*($C$9-$B$9)/($D$9-$B$9),1+$B$6*($D$9-$C$9)/($D$9-$B$9),$B$9,$D$9))</f>
        <v>1.912670615864474</v>
      </c>
      <c r="E406" s="94" cm="1">
        <f t="array" aca="1" ref="E406" ca="1">_xlfn.SWITCH($B$4,"Normal MLE",EXP(_xlfn.NORM.INV(C406,LN($C$10),$E$10/$C$10)),"Uniforme",$B$10+($D$10-$B$10)*C406,"Triangular",IF(C406&lt;=($C$10-$B$10)/($D$10-$B$10),$B$10+SQRT(C406*($D$10-$B$10)*($C$10-$B$10)),$D$10-SQRT((1-C406)*($D$10-$B$10)*($D$10-$C$10))),"PERT",_xlfn.BETA.INV(C406,1+$B$6*($C$10-$B$10)/($D$10-$B$10),1+$B$6*($D$10-$C$10)/($D$10-$B$10),$B$10,$D$10))</f>
        <v>5369.5910685379231</v>
      </c>
      <c r="F406" s="88">
        <f t="shared" ca="1" si="19"/>
        <v>0.56587384514346661</v>
      </c>
      <c r="G406" s="89">
        <f t="shared" ca="1" si="20"/>
        <v>1.540654163151652E-4</v>
      </c>
    </row>
    <row r="407" spans="1:7" x14ac:dyDescent="0.35">
      <c r="A407" s="84">
        <v>392</v>
      </c>
      <c r="B407" s="84">
        <f t="shared" ca="1" si="18"/>
        <v>0.23447350505048881</v>
      </c>
      <c r="C407" s="84">
        <f t="shared" ca="1" si="18"/>
        <v>0.72333642971001821</v>
      </c>
      <c r="D407" s="93" cm="1">
        <f t="array" aca="1" ref="D407" ca="1">_xlfn.SWITCH($B$4,"Normal MLE",EXP(_xlfn.NORM.INV(B407,LN($C$9),$E$9/$C$9)),"Uniforme",$B$9+($D$9-$B$9)*B407,"Triangular",IF(B407&lt;=($C$9-$B$9)/($D$9-$B$9),$B$9+SQRT(B407*($D$9-$B$9)*($C$9-$B$9)),$D$9-SQRT((1-B407)*($D$9-$B$9)*($D$9-$C$9))),"PERT",_xlfn.BETA.INV(B407,1+$B$6*($C$9-$B$9)/($D$9-$B$9),1+$B$6*($D$9-$C$9)/($D$9-$B$9),$B$9,$D$9))</f>
        <v>1.8508397404807038</v>
      </c>
      <c r="E407" s="94" cm="1">
        <f t="array" aca="1" ref="E407" ca="1">_xlfn.SWITCH($B$4,"Normal MLE",EXP(_xlfn.NORM.INV(C407,LN($C$10),$E$10/$C$10)),"Uniforme",$B$10+($D$10-$B$10)*C407,"Triangular",IF(C407&lt;=($C$10-$B$10)/($D$10-$B$10),$B$10+SQRT(C407*($D$10-$B$10)*($C$10-$B$10)),$D$10-SQRT((1-C407)*($D$10-$B$10)*($D$10-$C$10))),"PERT",_xlfn.BETA.INV(C407,1+$B$6*($C$10-$B$10)/($D$10-$B$10),1+$B$6*($D$10-$C$10)/($D$10-$B$10),$B$10,$D$10))</f>
        <v>5242.409926323855</v>
      </c>
      <c r="F407" s="88">
        <f t="shared" ca="1" si="19"/>
        <v>0.54544686186574154</v>
      </c>
      <c r="G407" s="89">
        <f t="shared" ca="1" si="20"/>
        <v>1.5298234118458275E-4</v>
      </c>
    </row>
    <row r="408" spans="1:7" x14ac:dyDescent="0.35">
      <c r="A408" s="84">
        <v>393</v>
      </c>
      <c r="B408" s="84">
        <f t="shared" ca="1" si="18"/>
        <v>0.80401652213901076</v>
      </c>
      <c r="C408" s="84">
        <f t="shared" ca="1" si="18"/>
        <v>0.75925570633547368</v>
      </c>
      <c r="D408" s="93" cm="1">
        <f t="array" aca="1" ref="D408" ca="1">_xlfn.SWITCH($B$4,"Normal MLE",EXP(_xlfn.NORM.INV(B408,LN($C$9),$E$9/$C$9)),"Uniforme",$B$9+($D$9-$B$9)*B408,"Triangular",IF(B408&lt;=($C$9-$B$9)/($D$9-$B$9),$B$9+SQRT(B408*($D$9-$B$9)*($C$9-$B$9)),$D$9-SQRT((1-B408)*($D$9-$B$9)*($D$9-$C$9))),"PERT",_xlfn.BETA.INV(B408,1+$B$6*($C$9-$B$9)/($D$9-$B$9),1+$B$6*($D$9-$C$9)/($D$9-$B$9),$B$9,$D$9))</f>
        <v>2.0686987038482654</v>
      </c>
      <c r="E408" s="94" cm="1">
        <f t="array" aca="1" ref="E408" ca="1">_xlfn.SWITCH($B$4,"Normal MLE",EXP(_xlfn.NORM.INV(C408,LN($C$10),$E$10/$C$10)),"Uniforme",$B$10+($D$10-$B$10)*C408,"Triangular",IF(C408&lt;=($C$10-$B$10)/($D$10-$B$10),$B$10+SQRT(C408*($D$10-$B$10)*($C$10-$B$10)),$D$10-SQRT((1-C408)*($D$10-$B$10)*($D$10-$C$10))),"PERT",_xlfn.BETA.INV(C408,1+$B$6*($C$10-$B$10)/($D$10-$B$10),1+$B$6*($D$10-$C$10)/($D$10-$B$10),$B$10,$D$10))</f>
        <v>5269.5901507292401</v>
      </c>
      <c r="F408" s="88">
        <f t="shared" ca="1" si="19"/>
        <v>0.56814312256389499</v>
      </c>
      <c r="G408" s="89">
        <f t="shared" ca="1" si="20"/>
        <v>1.6612573593670677E-4</v>
      </c>
    </row>
    <row r="409" spans="1:7" x14ac:dyDescent="0.35">
      <c r="A409" s="84">
        <v>394</v>
      </c>
      <c r="B409" s="84">
        <f t="shared" ca="1" si="18"/>
        <v>0.36429401375408654</v>
      </c>
      <c r="C409" s="84">
        <f t="shared" ca="1" si="18"/>
        <v>0.98873320908187134</v>
      </c>
      <c r="D409" s="93" cm="1">
        <f t="array" aca="1" ref="D409" ca="1">_xlfn.SWITCH($B$4,"Normal MLE",EXP(_xlfn.NORM.INV(B409,LN($C$9),$E$9/$C$9)),"Uniforme",$B$9+($D$9-$B$9)*B409,"Triangular",IF(B409&lt;=($C$9-$B$9)/($D$9-$B$9),$B$9+SQRT(B409*($D$9-$B$9)*($C$9-$B$9)),$D$9-SQRT((1-B409)*($D$9-$B$9)*($D$9-$C$9))),"PERT",_xlfn.BETA.INV(B409,1+$B$6*($C$9-$B$9)/($D$9-$B$9),1+$B$6*($D$9-$C$9)/($D$9-$B$9),$B$9,$D$9))</f>
        <v>1.9006594456926824</v>
      </c>
      <c r="E409" s="94" cm="1">
        <f t="array" aca="1" ref="E409" ca="1">_xlfn.SWITCH($B$4,"Normal MLE",EXP(_xlfn.NORM.INV(C409,LN($C$10),$E$10/$C$10)),"Uniforme",$B$10+($D$10-$B$10)*C409,"Triangular",IF(C409&lt;=($C$10-$B$10)/($D$10-$B$10),$B$10+SQRT(C409*($D$10-$B$10)*($C$10-$B$10)),$D$10-SQRT((1-C409)*($D$10-$B$10)*($D$10-$C$10))),"PERT",_xlfn.BETA.INV(C409,1+$B$6*($C$10-$B$10)/($D$10-$B$10),1+$B$6*($D$10-$C$10)/($D$10-$B$10),$B$10,$D$10))</f>
        <v>5670.9295225863971</v>
      </c>
      <c r="F409" s="88">
        <f t="shared" ca="1" si="19"/>
        <v>0.59745545129914979</v>
      </c>
      <c r="G409" s="89">
        <f t="shared" ca="1" si="20"/>
        <v>1.462247156209915E-4</v>
      </c>
    </row>
    <row r="410" spans="1:7" x14ac:dyDescent="0.35">
      <c r="A410" s="84">
        <v>395</v>
      </c>
      <c r="B410" s="84">
        <f t="shared" ca="1" si="18"/>
        <v>0.8066748937275029</v>
      </c>
      <c r="C410" s="84">
        <f t="shared" ca="1" si="18"/>
        <v>0.37436828282954504</v>
      </c>
      <c r="D410" s="93" cm="1">
        <f t="array" aca="1" ref="D410" ca="1">_xlfn.SWITCH($B$4,"Normal MLE",EXP(_xlfn.NORM.INV(B410,LN($C$9),$E$9/$C$9)),"Uniforme",$B$9+($D$9-$B$9)*B410,"Triangular",IF(B410&lt;=($C$9-$B$9)/($D$9-$B$9),$B$9+SQRT(B410*($D$9-$B$9)*($C$9-$B$9)),$D$9-SQRT((1-B410)*($D$9-$B$9)*($D$9-$C$9))),"PERT",_xlfn.BETA.INV(B410,1+$B$6*($C$9-$B$9)/($D$9-$B$9),1+$B$6*($D$9-$C$9)/($D$9-$B$9),$B$9,$D$9))</f>
        <v>2.0701053192360348</v>
      </c>
      <c r="E410" s="94" cm="1">
        <f t="array" aca="1" ref="E410" ca="1">_xlfn.SWITCH($B$4,"Normal MLE",EXP(_xlfn.NORM.INV(C410,LN($C$10),$E$10/$C$10)),"Uniforme",$B$10+($D$10-$B$10)*C410,"Triangular",IF(C410&lt;=($C$10-$B$10)/($D$10-$B$10),$B$10+SQRT(C410*($D$10-$B$10)*($C$10-$B$10)),$D$10-SQRT((1-C410)*($D$10-$B$10)*($D$10-$C$10))),"PERT",_xlfn.BETA.INV(C410,1+$B$6*($C$10-$B$10)/($D$10-$B$10),1+$B$6*($D$10-$C$10)/($D$10-$B$10),$B$10,$D$10))</f>
        <v>5024.3264766719449</v>
      </c>
      <c r="F410" s="88">
        <f t="shared" ca="1" si="19"/>
        <v>0.53592165473351538</v>
      </c>
      <c r="G410" s="89">
        <f t="shared" ca="1" si="20"/>
        <v>1.7300408430867347E-4</v>
      </c>
    </row>
    <row r="411" spans="1:7" x14ac:dyDescent="0.35">
      <c r="A411" s="84">
        <v>396</v>
      </c>
      <c r="B411" s="84">
        <f t="shared" ca="1" si="18"/>
        <v>0.54917928216794343</v>
      </c>
      <c r="C411" s="84">
        <f t="shared" ca="1" si="18"/>
        <v>0.18173920692780621</v>
      </c>
      <c r="D411" s="93" cm="1">
        <f t="array" aca="1" ref="D411" ca="1">_xlfn.SWITCH($B$4,"Normal MLE",EXP(_xlfn.NORM.INV(B411,LN($C$9),$E$9/$C$9)),"Uniforme",$B$9+($D$9-$B$9)*B411,"Triangular",IF(B411&lt;=($C$9-$B$9)/($D$9-$B$9),$B$9+SQRT(B411*($D$9-$B$9)*($C$9-$B$9)),$D$9-SQRT((1-B411)*($D$9-$B$9)*($D$9-$C$9))),"PERT",_xlfn.BETA.INV(B411,1+$B$6*($C$9-$B$9)/($D$9-$B$9),1+$B$6*($D$9-$C$9)/($D$9-$B$9),$B$9,$D$9))</f>
        <v>1.9647004213253279</v>
      </c>
      <c r="E411" s="94" cm="1">
        <f t="array" aca="1" ref="E411" ca="1">_xlfn.SWITCH($B$4,"Normal MLE",EXP(_xlfn.NORM.INV(C411,LN($C$10),$E$10/$C$10)),"Uniforme",$B$10+($D$10-$B$10)*C411,"Triangular",IF(C411&lt;=($C$10-$B$10)/($D$10-$B$10),$B$10+SQRT(C411*($D$10-$B$10)*($C$10-$B$10)),$D$10-SQRT((1-C411)*($D$10-$B$10)*($D$10-$C$10))),"PERT",_xlfn.BETA.INV(C411,1+$B$6*($C$10-$B$10)/($D$10-$B$10),1+$B$6*($D$10-$C$10)/($D$10-$B$10),$B$10,$D$10))</f>
        <v>4888.6111505429881</v>
      </c>
      <c r="F411" s="88">
        <f t="shared" ca="1" si="19"/>
        <v>0.50953563630092114</v>
      </c>
      <c r="G411" s="89">
        <f t="shared" ca="1" si="20"/>
        <v>1.6874674273146693E-4</v>
      </c>
    </row>
    <row r="412" spans="1:7" x14ac:dyDescent="0.35">
      <c r="A412" s="84">
        <v>397</v>
      </c>
      <c r="B412" s="84">
        <f t="shared" ca="1" si="18"/>
        <v>0.12497565025569968</v>
      </c>
      <c r="C412" s="84">
        <f t="shared" ca="1" si="18"/>
        <v>0.61405986463103668</v>
      </c>
      <c r="D412" s="93" cm="1">
        <f t="array" aca="1" ref="D412" ca="1">_xlfn.SWITCH($B$4,"Normal MLE",EXP(_xlfn.NORM.INV(B412,LN($C$9),$E$9/$C$9)),"Uniforme",$B$9+($D$9-$B$9)*B412,"Triangular",IF(B412&lt;=($C$9-$B$9)/($D$9-$B$9),$B$9+SQRT(B412*($D$9-$B$9)*($C$9-$B$9)),$D$9-SQRT((1-B412)*($D$9-$B$9)*($D$9-$C$9))),"PERT",_xlfn.BETA.INV(B412,1+$B$6*($C$9-$B$9)/($D$9-$B$9),1+$B$6*($D$9-$C$9)/($D$9-$B$9),$B$9,$D$9))</f>
        <v>1.796106809887279</v>
      </c>
      <c r="E412" s="94" cm="1">
        <f t="array" aca="1" ref="E412" ca="1">_xlfn.SWITCH($B$4,"Normal MLE",EXP(_xlfn.NORM.INV(C412,LN($C$10),$E$10/$C$10)),"Uniforme",$B$10+($D$10-$B$10)*C412,"Triangular",IF(C412&lt;=($C$10-$B$10)/($D$10-$B$10),$B$10+SQRT(C412*($D$10-$B$10)*($C$10-$B$10)),$D$10-SQRT((1-C412)*($D$10-$B$10)*($D$10-$C$10))),"PERT",_xlfn.BETA.INV(C412,1+$B$6*($C$10-$B$10)/($D$10-$B$10),1+$B$6*($D$10-$C$10)/($D$10-$B$10),$B$10,$D$10))</f>
        <v>5169.0435186334062</v>
      </c>
      <c r="F412" s="88">
        <f t="shared" ca="1" si="19"/>
        <v>0.53207973420642907</v>
      </c>
      <c r="G412" s="89">
        <f t="shared" ca="1" si="20"/>
        <v>1.507481664528933E-4</v>
      </c>
    </row>
    <row r="413" spans="1:7" x14ac:dyDescent="0.35">
      <c r="A413" s="84">
        <v>398</v>
      </c>
      <c r="B413" s="84">
        <f t="shared" ca="1" si="18"/>
        <v>5.1735612300159661E-2</v>
      </c>
      <c r="C413" s="84">
        <f t="shared" ca="1" si="18"/>
        <v>0.91296870770387661</v>
      </c>
      <c r="D413" s="93" cm="1">
        <f t="array" aca="1" ref="D413" ca="1">_xlfn.SWITCH($B$4,"Normal MLE",EXP(_xlfn.NORM.INV(B413,LN($C$9),$E$9/$C$9)),"Uniforme",$B$9+($D$9-$B$9)*B413,"Triangular",IF(B413&lt;=($C$9-$B$9)/($D$9-$B$9),$B$9+SQRT(B413*($D$9-$B$9)*($C$9-$B$9)),$D$9-SQRT((1-B413)*($D$9-$B$9)*($D$9-$C$9))),"PERT",_xlfn.BETA.INV(B413,1+$B$6*($C$9-$B$9)/($D$9-$B$9),1+$B$6*($D$9-$C$9)/($D$9-$B$9),$B$9,$D$9))</f>
        <v>1.7366813787795106</v>
      </c>
      <c r="E413" s="94" cm="1">
        <f t="array" aca="1" ref="E413" ca="1">_xlfn.SWITCH($B$4,"Normal MLE",EXP(_xlfn.NORM.INV(C413,LN($C$10),$E$10/$C$10)),"Uniforme",$B$10+($D$10-$B$10)*C413,"Triangular",IF(C413&lt;=($C$10-$B$10)/($D$10-$B$10),$B$10+SQRT(C413*($D$10-$B$10)*($C$10-$B$10)),$D$10-SQRT((1-C413)*($D$10-$B$10)*($D$10-$C$10))),"PERT",_xlfn.BETA.INV(C413,1+$B$6*($C$10-$B$10)/($D$10-$B$10),1+$B$6*($D$10-$C$10)/($D$10-$B$10),$B$10,$D$10))</f>
        <v>5432.7696232000817</v>
      </c>
      <c r="F413" s="88">
        <f t="shared" ca="1" si="19"/>
        <v>0.55565415351151293</v>
      </c>
      <c r="G413" s="89">
        <f t="shared" ca="1" si="20"/>
        <v>1.4175987166120395E-4</v>
      </c>
    </row>
    <row r="414" spans="1:7" x14ac:dyDescent="0.35">
      <c r="A414" s="84">
        <v>399</v>
      </c>
      <c r="B414" s="84">
        <f t="shared" ca="1" si="18"/>
        <v>0.62953228246926685</v>
      </c>
      <c r="C414" s="84">
        <f t="shared" ca="1" si="18"/>
        <v>0.50844400085319774</v>
      </c>
      <c r="D414" s="93" cm="1">
        <f t="array" aca="1" ref="D414" ca="1">_xlfn.SWITCH($B$4,"Normal MLE",EXP(_xlfn.NORM.INV(B414,LN($C$9),$E$9/$C$9)),"Uniforme",$B$9+($D$9-$B$9)*B414,"Triangular",IF(B414&lt;=($C$9-$B$9)/($D$9-$B$9),$B$9+SQRT(B414*($D$9-$B$9)*($C$9-$B$9)),$D$9-SQRT((1-B414)*($D$9-$B$9)*($D$9-$C$9))),"PERT",_xlfn.BETA.INV(B414,1+$B$6*($C$9-$B$9)/($D$9-$B$9),1+$B$6*($D$9-$C$9)/($D$9-$B$9),$B$9,$D$9))</f>
        <v>1.9935530373022006</v>
      </c>
      <c r="E414" s="94" cm="1">
        <f t="array" aca="1" ref="E414" ca="1">_xlfn.SWITCH($B$4,"Normal MLE",EXP(_xlfn.NORM.INV(C414,LN($C$10),$E$10/$C$10)),"Uniforme",$B$10+($D$10-$B$10)*C414,"Triangular",IF(C414&lt;=($C$10-$B$10)/($D$10-$B$10),$B$10+SQRT(C414*($D$10-$B$10)*($C$10-$B$10)),$D$10-SQRT((1-C414)*($D$10-$B$10)*($D$10-$C$10))),"PERT",_xlfn.BETA.INV(C414,1+$B$6*($C$10-$B$10)/($D$10-$B$10),1+$B$6*($D$10-$C$10)/($D$10-$B$10),$B$10,$D$10))</f>
        <v>5104.8018240746114</v>
      </c>
      <c r="F414" s="88">
        <f t="shared" ca="1" si="19"/>
        <v>0.54066390235071893</v>
      </c>
      <c r="G414" s="89">
        <f t="shared" ca="1" si="20"/>
        <v>1.6570676613794023E-4</v>
      </c>
    </row>
    <row r="415" spans="1:7" x14ac:dyDescent="0.35">
      <c r="A415" s="84">
        <v>400</v>
      </c>
      <c r="B415" s="84">
        <f t="shared" ca="1" si="18"/>
        <v>0.12100394195054864</v>
      </c>
      <c r="C415" s="84">
        <f t="shared" ca="1" si="18"/>
        <v>0.47884569926526854</v>
      </c>
      <c r="D415" s="93" cm="1">
        <f t="array" aca="1" ref="D415" ca="1">_xlfn.SWITCH($B$4,"Normal MLE",EXP(_xlfn.NORM.INV(B415,LN($C$9),$E$9/$C$9)),"Uniforme",$B$9+($D$9-$B$9)*B415,"Triangular",IF(B415&lt;=($C$9-$B$9)/($D$9-$B$9),$B$9+SQRT(B415*($D$9-$B$9)*($C$9-$B$9)),$D$9-SQRT((1-B415)*($D$9-$B$9)*($D$9-$C$9))),"PERT",_xlfn.BETA.INV(B415,1+$B$6*($C$9-$B$9)/($D$9-$B$9),1+$B$6*($D$9-$C$9)/($D$9-$B$9),$B$9,$D$9))</f>
        <v>1.7936402124754136</v>
      </c>
      <c r="E415" s="94" cm="1">
        <f t="array" aca="1" ref="E415" ca="1">_xlfn.SWITCH($B$4,"Normal MLE",EXP(_xlfn.NORM.INV(C415,LN($C$10),$E$10/$C$10)),"Uniforme",$B$10+($D$10-$B$10)*C415,"Triangular",IF(C415&lt;=($C$10-$B$10)/($D$10-$B$10),$B$10+SQRT(C415*($D$10-$B$10)*($C$10-$B$10)),$D$10-SQRT((1-C415)*($D$10-$B$10)*($D$10-$C$10))),"PERT",_xlfn.BETA.INV(C415,1+$B$6*($C$10-$B$10)/($D$10-$B$10),1+$B$6*($D$10-$C$10)/($D$10-$B$10),$B$10,$D$10))</f>
        <v>5087.2017756274599</v>
      </c>
      <c r="F415" s="88">
        <f t="shared" ca="1" si="19"/>
        <v>0.52220470629438864</v>
      </c>
      <c r="G415" s="89">
        <f t="shared" ca="1" si="20"/>
        <v>1.5213391961013971E-4</v>
      </c>
    </row>
    <row r="416" spans="1:7" x14ac:dyDescent="0.35">
      <c r="A416" s="84">
        <v>401</v>
      </c>
      <c r="B416" s="84">
        <f t="shared" ca="1" si="18"/>
        <v>0.95023402934302625</v>
      </c>
      <c r="C416" s="84">
        <f t="shared" ca="1" si="18"/>
        <v>0.2585542053335661</v>
      </c>
      <c r="D416" s="93" cm="1">
        <f t="array" aca="1" ref="D416" ca="1">_xlfn.SWITCH($B$4,"Normal MLE",EXP(_xlfn.NORM.INV(B416,LN($C$9),$E$9/$C$9)),"Uniforme",$B$9+($D$9-$B$9)*B416,"Triangular",IF(B416&lt;=($C$9-$B$9)/($D$9-$B$9),$B$9+SQRT(B416*($D$9-$B$9)*($C$9-$B$9)),$D$9-SQRT((1-B416)*($D$9-$B$9)*($D$9-$C$9))),"PERT",_xlfn.BETA.INV(B416,1+$B$6*($C$9-$B$9)/($D$9-$B$9),1+$B$6*($D$9-$C$9)/($D$9-$B$9),$B$9,$D$9))</f>
        <v>2.1872096283213169</v>
      </c>
      <c r="E416" s="94" cm="1">
        <f t="array" aca="1" ref="E416" ca="1">_xlfn.SWITCH($B$4,"Normal MLE",EXP(_xlfn.NORM.INV(C416,LN($C$10),$E$10/$C$10)),"Uniforme",$B$10+($D$10-$B$10)*C416,"Triangular",IF(C416&lt;=($C$10-$B$10)/($D$10-$B$10),$B$10+SQRT(C416*($D$10-$B$10)*($C$10-$B$10)),$D$10-SQRT((1-C416)*($D$10-$B$10)*($D$10-$C$10))),"PERT",_xlfn.BETA.INV(C416,1+$B$6*($C$10-$B$10)/($D$10-$B$10),1+$B$6*($D$10-$C$10)/($D$10-$B$10),$B$10,$D$10))</f>
        <v>4948.3355649047689</v>
      </c>
      <c r="F416" s="88">
        <f t="shared" ca="1" si="19"/>
        <v>0.53370123130755454</v>
      </c>
      <c r="G416" s="89">
        <f t="shared" ca="1" si="20"/>
        <v>1.8324507374366022E-4</v>
      </c>
    </row>
    <row r="417" spans="1:7" x14ac:dyDescent="0.35">
      <c r="A417" s="84">
        <v>402</v>
      </c>
      <c r="B417" s="84">
        <f t="shared" ca="1" si="18"/>
        <v>0.88765642621968643</v>
      </c>
      <c r="C417" s="84">
        <f t="shared" ca="1" si="18"/>
        <v>0.14429951542411013</v>
      </c>
      <c r="D417" s="93" cm="1">
        <f t="array" aca="1" ref="D417" ca="1">_xlfn.SWITCH($B$4,"Normal MLE",EXP(_xlfn.NORM.INV(B417,LN($C$9),$E$9/$C$9)),"Uniforme",$B$9+($D$9-$B$9)*B417,"Triangular",IF(B417&lt;=($C$9-$B$9)/($D$9-$B$9),$B$9+SQRT(B417*($D$9-$B$9)*($C$9-$B$9)),$D$9-SQRT((1-B417)*($D$9-$B$9)*($D$9-$C$9))),"PERT",_xlfn.BETA.INV(B417,1+$B$6*($C$9-$B$9)/($D$9-$B$9),1+$B$6*($D$9-$C$9)/($D$9-$B$9),$B$9,$D$9))</f>
        <v>2.1215292732623694</v>
      </c>
      <c r="E417" s="94" cm="1">
        <f t="array" aca="1" ref="E417" ca="1">_xlfn.SWITCH($B$4,"Normal MLE",EXP(_xlfn.NORM.INV(C417,LN($C$10),$E$10/$C$10)),"Uniforme",$B$10+($D$10-$B$10)*C417,"Triangular",IF(C417&lt;=($C$10-$B$10)/($D$10-$B$10),$B$10+SQRT(C417*($D$10-$B$10)*($C$10-$B$10)),$D$10-SQRT((1-C417)*($D$10-$B$10)*($D$10-$C$10))),"PERT",_xlfn.BETA.INV(C417,1+$B$6*($C$10-$B$10)/($D$10-$B$10),1+$B$6*($D$10-$C$10)/($D$10-$B$10),$B$10,$D$10))</f>
        <v>4854.0549002972057</v>
      </c>
      <c r="F417" s="88">
        <f t="shared" ca="1" si="19"/>
        <v>0.51515897925803444</v>
      </c>
      <c r="G417" s="89">
        <f t="shared" ca="1" si="20"/>
        <v>1.8122872521764467E-4</v>
      </c>
    </row>
    <row r="418" spans="1:7" x14ac:dyDescent="0.35">
      <c r="A418" s="84">
        <v>403</v>
      </c>
      <c r="B418" s="84">
        <f t="shared" ca="1" si="18"/>
        <v>0.19626041661673965</v>
      </c>
      <c r="C418" s="84">
        <f t="shared" ca="1" si="18"/>
        <v>0.92083941977400874</v>
      </c>
      <c r="D418" s="93" cm="1">
        <f t="array" aca="1" ref="D418" ca="1">_xlfn.SWITCH($B$4,"Normal MLE",EXP(_xlfn.NORM.INV(B418,LN($C$9),$E$9/$C$9)),"Uniforme",$B$9+($D$9-$B$9)*B418,"Triangular",IF(B418&lt;=($C$9-$B$9)/($D$9-$B$9),$B$9+SQRT(B418*($D$9-$B$9)*($C$9-$B$9)),$D$9-SQRT((1-B418)*($D$9-$B$9)*($D$9-$C$9))),"PERT",_xlfn.BETA.INV(B418,1+$B$6*($C$9-$B$9)/($D$9-$B$9),1+$B$6*($D$9-$C$9)/($D$9-$B$9),$B$9,$D$9))</f>
        <v>1.8338622492987484</v>
      </c>
      <c r="E418" s="94" cm="1">
        <f t="array" aca="1" ref="E418" ca="1">_xlfn.SWITCH($B$4,"Normal MLE",EXP(_xlfn.NORM.INV(C418,LN($C$10),$E$10/$C$10)),"Uniforme",$B$10+($D$10-$B$10)*C418,"Triangular",IF(C418&lt;=($C$10-$B$10)/($D$10-$B$10),$B$10+SQRT(C418*($D$10-$B$10)*($C$10-$B$10)),$D$10-SQRT((1-C418)*($D$10-$B$10)*($D$10-$C$10))),"PERT",_xlfn.BETA.INV(C418,1+$B$6*($C$10-$B$10)/($D$10-$B$10),1+$B$6*($D$10-$C$10)/($D$10-$B$10),$B$10,$D$10))</f>
        <v>5445.7986986509595</v>
      </c>
      <c r="F418" s="88">
        <f t="shared" ca="1" si="19"/>
        <v>0.566723427517419</v>
      </c>
      <c r="G418" s="89">
        <f t="shared" ca="1" si="20"/>
        <v>1.4754939173294387E-4</v>
      </c>
    </row>
    <row r="419" spans="1:7" x14ac:dyDescent="0.35">
      <c r="A419" s="84">
        <v>404</v>
      </c>
      <c r="B419" s="84">
        <f t="shared" ca="1" si="18"/>
        <v>0.2132127633182862</v>
      </c>
      <c r="C419" s="84">
        <f t="shared" ca="1" si="18"/>
        <v>0.35040620473722217</v>
      </c>
      <c r="D419" s="93" cm="1">
        <f t="array" aca="1" ref="D419" ca="1">_xlfn.SWITCH($B$4,"Normal MLE",EXP(_xlfn.NORM.INV(B419,LN($C$9),$E$9/$C$9)),"Uniforme",$B$9+($D$9-$B$9)*B419,"Triangular",IF(B419&lt;=($C$9-$B$9)/($D$9-$B$9),$B$9+SQRT(B419*($D$9-$B$9)*($C$9-$B$9)),$D$9-SQRT((1-B419)*($D$9-$B$9)*($D$9-$C$9))),"PERT",_xlfn.BETA.INV(B419,1+$B$6*($C$9-$B$9)/($D$9-$B$9),1+$B$6*($D$9-$C$9)/($D$9-$B$9),$B$9,$D$9))</f>
        <v>1.8415922069199122</v>
      </c>
      <c r="E419" s="94" cm="1">
        <f t="array" aca="1" ref="E419" ca="1">_xlfn.SWITCH($B$4,"Normal MLE",EXP(_xlfn.NORM.INV(C419,LN($C$10),$E$10/$C$10)),"Uniforme",$B$10+($D$10-$B$10)*C419,"Triangular",IF(C419&lt;=($C$10-$B$10)/($D$10-$B$10),$B$10+SQRT(C419*($D$10-$B$10)*($C$10-$B$10)),$D$10-SQRT((1-C419)*($D$10-$B$10)*($D$10-$C$10))),"PERT",_xlfn.BETA.INV(C419,1+$B$6*($C$10-$B$10)/($D$10-$B$10),1+$B$6*($D$10-$C$10)/($D$10-$B$10),$B$10,$D$10))</f>
        <v>5009.4043615195205</v>
      </c>
      <c r="F419" s="88">
        <f t="shared" ca="1" si="19"/>
        <v>0.51647075031334388</v>
      </c>
      <c r="G419" s="89">
        <f t="shared" ca="1" si="20"/>
        <v>1.5711135965163015E-4</v>
      </c>
    </row>
    <row r="420" spans="1:7" x14ac:dyDescent="0.35">
      <c r="A420" s="84">
        <v>405</v>
      </c>
      <c r="B420" s="84">
        <f t="shared" ca="1" si="18"/>
        <v>0.34465017648800778</v>
      </c>
      <c r="C420" s="84">
        <f t="shared" ca="1" si="18"/>
        <v>0.63909174911946953</v>
      </c>
      <c r="D420" s="93" cm="1">
        <f t="array" aca="1" ref="D420" ca="1">_xlfn.SWITCH($B$4,"Normal MLE",EXP(_xlfn.NORM.INV(B420,LN($C$9),$E$9/$C$9)),"Uniforme",$B$9+($D$9-$B$9)*B420,"Triangular",IF(B420&lt;=($C$9-$B$9)/($D$9-$B$9),$B$9+SQRT(B420*($D$9-$B$9)*($C$9-$B$9)),$D$9-SQRT((1-B420)*($D$9-$B$9)*($D$9-$C$9))),"PERT",_xlfn.BETA.INV(B420,1+$B$6*($C$9-$B$9)/($D$9-$B$9),1+$B$6*($D$9-$C$9)/($D$9-$B$9),$B$9,$D$9))</f>
        <v>1.8936055883153065</v>
      </c>
      <c r="E420" s="94" cm="1">
        <f t="array" aca="1" ref="E420" ca="1">_xlfn.SWITCH($B$4,"Normal MLE",EXP(_xlfn.NORM.INV(C420,LN($C$10),$E$10/$C$10)),"Uniforme",$B$10+($D$10-$B$10)*C420,"Triangular",IF(C420&lt;=($C$10-$B$10)/($D$10-$B$10),$B$10+SQRT(C420*($D$10-$B$10)*($C$10-$B$10)),$D$10-SQRT((1-C420)*($D$10-$B$10)*($D$10-$C$10))),"PERT",_xlfn.BETA.INV(C420,1+$B$6*($C$10-$B$10)/($D$10-$B$10),1+$B$6*($D$10-$C$10)/($D$10-$B$10),$B$10,$D$10))</f>
        <v>5184.9713657931425</v>
      </c>
      <c r="F420" s="88">
        <f t="shared" ca="1" si="19"/>
        <v>0.54236837989235065</v>
      </c>
      <c r="G420" s="89">
        <f t="shared" ca="1" si="20"/>
        <v>1.5708703974048443E-4</v>
      </c>
    </row>
    <row r="421" spans="1:7" x14ac:dyDescent="0.35">
      <c r="A421" s="84">
        <v>406</v>
      </c>
      <c r="B421" s="84">
        <f t="shared" ca="1" si="18"/>
        <v>0.63472790921880073</v>
      </c>
      <c r="C421" s="84">
        <f t="shared" ca="1" si="18"/>
        <v>0.24356238683606402</v>
      </c>
      <c r="D421" s="93" cm="1">
        <f t="array" aca="1" ref="D421" ca="1">_xlfn.SWITCH($B$4,"Normal MLE",EXP(_xlfn.NORM.INV(B421,LN($C$9),$E$9/$C$9)),"Uniforme",$B$9+($D$9-$B$9)*B421,"Triangular",IF(B421&lt;=($C$9-$B$9)/($D$9-$B$9),$B$9+SQRT(B421*($D$9-$B$9)*($C$9-$B$9)),$D$9-SQRT((1-B421)*($D$9-$B$9)*($D$9-$C$9))),"PERT",_xlfn.BETA.INV(B421,1+$B$6*($C$9-$B$9)/($D$9-$B$9),1+$B$6*($D$9-$C$9)/($D$9-$B$9),$B$9,$D$9))</f>
        <v>1.9954894502842673</v>
      </c>
      <c r="E421" s="94" cm="1">
        <f t="array" aca="1" ref="E421" ca="1">_xlfn.SWITCH($B$4,"Normal MLE",EXP(_xlfn.NORM.INV(C421,LN($C$10),$E$10/$C$10)),"Uniforme",$B$10+($D$10-$B$10)*C421,"Triangular",IF(C421&lt;=($C$10-$B$10)/($D$10-$B$10),$B$10+SQRT(C421*($D$10-$B$10)*($C$10-$B$10)),$D$10-SQRT((1-C421)*($D$10-$B$10)*($D$10-$C$10))),"PERT",_xlfn.BETA.INV(C421,1+$B$6*($C$10-$B$10)/($D$10-$B$10),1+$B$6*($D$10-$C$10)/($D$10-$B$10),$B$10,$D$10))</f>
        <v>4937.5064413901327</v>
      </c>
      <c r="F421" s="88">
        <f t="shared" ca="1" si="19"/>
        <v>0.51844206183508112</v>
      </c>
      <c r="G421" s="89">
        <f t="shared" ca="1" si="20"/>
        <v>1.699052448680803E-4</v>
      </c>
    </row>
    <row r="422" spans="1:7" x14ac:dyDescent="0.35">
      <c r="A422" s="84">
        <v>407</v>
      </c>
      <c r="B422" s="84">
        <f t="shared" ca="1" si="18"/>
        <v>0.6464700765895901</v>
      </c>
      <c r="C422" s="84">
        <f t="shared" ca="1" si="18"/>
        <v>0.96969642495106123</v>
      </c>
      <c r="D422" s="93" cm="1">
        <f t="array" aca="1" ref="D422" ca="1">_xlfn.SWITCH($B$4,"Normal MLE",EXP(_xlfn.NORM.INV(B422,LN($C$9),$E$9/$C$9)),"Uniforme",$B$9+($D$9-$B$9)*B422,"Triangular",IF(B422&lt;=($C$9-$B$9)/($D$9-$B$9),$B$9+SQRT(B422*($D$9-$B$9)*($C$9-$B$9)),$D$9-SQRT((1-B422)*($D$9-$B$9)*($D$9-$C$9))),"PERT",_xlfn.BETA.INV(B422,1+$B$6*($C$9-$B$9)/($D$9-$B$9),1+$B$6*($D$9-$C$9)/($D$9-$B$9),$B$9,$D$9))</f>
        <v>1.9999075441996483</v>
      </c>
      <c r="E422" s="94" cm="1">
        <f t="array" aca="1" ref="E422" ca="1">_xlfn.SWITCH($B$4,"Normal MLE",EXP(_xlfn.NORM.INV(C422,LN($C$10),$E$10/$C$10)),"Uniforme",$B$10+($D$10-$B$10)*C422,"Triangular",IF(C422&lt;=($C$10-$B$10)/($D$10-$B$10),$B$10+SQRT(C422*($D$10-$B$10)*($C$10-$B$10)),$D$10-SQRT((1-C422)*($D$10-$B$10)*($D$10-$C$10))),"PERT",_xlfn.BETA.INV(C422,1+$B$6*($C$10-$B$10)/($D$10-$B$10),1+$B$6*($D$10-$C$10)/($D$10-$B$10),$B$10,$D$10))</f>
        <v>5565.0795162387267</v>
      </c>
      <c r="F422" s="88">
        <f t="shared" ca="1" si="19"/>
        <v>0.59651974678438235</v>
      </c>
      <c r="G422" s="89">
        <f t="shared" ca="1" si="20"/>
        <v>1.5408673252186936E-4</v>
      </c>
    </row>
    <row r="423" spans="1:7" x14ac:dyDescent="0.35">
      <c r="A423" s="84">
        <v>408</v>
      </c>
      <c r="B423" s="84">
        <f t="shared" ca="1" si="18"/>
        <v>5.5412086227608182E-2</v>
      </c>
      <c r="C423" s="84">
        <f t="shared" ca="1" si="18"/>
        <v>0.21235569559020051</v>
      </c>
      <c r="D423" s="93" cm="1">
        <f t="array" aca="1" ref="D423" ca="1">_xlfn.SWITCH($B$4,"Normal MLE",EXP(_xlfn.NORM.INV(B423,LN($C$9),$E$9/$C$9)),"Uniforme",$B$9+($D$9-$B$9)*B423,"Triangular",IF(B423&lt;=($C$9-$B$9)/($D$9-$B$9),$B$9+SQRT(B423*($D$9-$B$9)*($C$9-$B$9)),$D$9-SQRT((1-B423)*($D$9-$B$9)*($D$9-$C$9))),"PERT",_xlfn.BETA.INV(B423,1+$B$6*($C$9-$B$9)/($D$9-$B$9),1+$B$6*($D$9-$C$9)/($D$9-$B$9),$B$9,$D$9))</f>
        <v>1.7408142116561232</v>
      </c>
      <c r="E423" s="94" cm="1">
        <f t="array" aca="1" ref="E423" ca="1">_xlfn.SWITCH($B$4,"Normal MLE",EXP(_xlfn.NORM.INV(C423,LN($C$10),$E$10/$C$10)),"Uniforme",$B$10+($D$10-$B$10)*C423,"Triangular",IF(C423&lt;=($C$10-$B$10)/($D$10-$B$10),$B$10+SQRT(C423*($D$10-$B$10)*($C$10-$B$10)),$D$10-SQRT((1-C423)*($D$10-$B$10)*($D$10-$C$10))),"PERT",_xlfn.BETA.INV(C423,1+$B$6*($C$10-$B$10)/($D$10-$B$10),1+$B$6*($D$10-$C$10)/($D$10-$B$10),$B$10,$D$10))</f>
        <v>4913.8093909128629</v>
      </c>
      <c r="F423" s="88">
        <f t="shared" ca="1" si="19"/>
        <v>0.49710885891954715</v>
      </c>
      <c r="G423" s="89">
        <f t="shared" ca="1" si="20"/>
        <v>1.51212505987118E-4</v>
      </c>
    </row>
    <row r="424" spans="1:7" x14ac:dyDescent="0.35">
      <c r="A424" s="84">
        <v>409</v>
      </c>
      <c r="B424" s="84">
        <f t="shared" ca="1" si="18"/>
        <v>3.927022783299583E-2</v>
      </c>
      <c r="C424" s="84">
        <f t="shared" ca="1" si="18"/>
        <v>0.60521164301043273</v>
      </c>
      <c r="D424" s="93" cm="1">
        <f t="array" aca="1" ref="D424" ca="1">_xlfn.SWITCH($B$4,"Normal MLE",EXP(_xlfn.NORM.INV(B424,LN($C$9),$E$9/$C$9)),"Uniforme",$B$9+($D$9-$B$9)*B424,"Triangular",IF(B424&lt;=($C$9-$B$9)/($D$9-$B$9),$B$9+SQRT(B424*($D$9-$B$9)*($C$9-$B$9)),$D$9-SQRT((1-B424)*($D$9-$B$9)*($D$9-$C$9))),"PERT",_xlfn.BETA.INV(B424,1+$B$6*($C$9-$B$9)/($D$9-$B$9),1+$B$6*($D$9-$C$9)/($D$9-$B$9),$B$9,$D$9))</f>
        <v>1.720738479514959</v>
      </c>
      <c r="E424" s="94" cm="1">
        <f t="array" aca="1" ref="E424" ca="1">_xlfn.SWITCH($B$4,"Normal MLE",EXP(_xlfn.NORM.INV(C424,LN($C$10),$E$10/$C$10)),"Uniforme",$B$10+($D$10-$B$10)*C424,"Triangular",IF(C424&lt;=($C$10-$B$10)/($D$10-$B$10),$B$10+SQRT(C424*($D$10-$B$10)*($C$10-$B$10)),$D$10-SQRT((1-C424)*($D$10-$B$10)*($D$10-$C$10))),"PERT",_xlfn.BETA.INV(C424,1+$B$6*($C$10-$B$10)/($D$10-$B$10),1+$B$6*($D$10-$C$10)/($D$10-$B$10),$B$10,$D$10))</f>
        <v>5163.5006558915902</v>
      </c>
      <c r="F424" s="88">
        <f t="shared" ca="1" si="19"/>
        <v>0.52494496612727015</v>
      </c>
      <c r="G424" s="89">
        <f t="shared" ca="1" si="20"/>
        <v>1.4553446954427383E-4</v>
      </c>
    </row>
    <row r="425" spans="1:7" x14ac:dyDescent="0.35">
      <c r="A425" s="84">
        <v>410</v>
      </c>
      <c r="B425" s="84">
        <f t="shared" ca="1" si="18"/>
        <v>0.32097459442429976</v>
      </c>
      <c r="C425" s="84">
        <f t="shared" ca="1" si="18"/>
        <v>0.61667583693776307</v>
      </c>
      <c r="D425" s="93" cm="1">
        <f t="array" aca="1" ref="D425" ca="1">_xlfn.SWITCH($B$4,"Normal MLE",EXP(_xlfn.NORM.INV(B425,LN($C$9),$E$9/$C$9)),"Uniforme",$B$9+($D$9-$B$9)*B425,"Triangular",IF(B425&lt;=($C$9-$B$9)/($D$9-$B$9),$B$9+SQRT(B425*($D$9-$B$9)*($C$9-$B$9)),$D$9-SQRT((1-B425)*($D$9-$B$9)*($D$9-$C$9))),"PERT",_xlfn.BETA.INV(B425,1+$B$6*($C$9-$B$9)/($D$9-$B$9),1+$B$6*($D$9-$C$9)/($D$9-$B$9),$B$9,$D$9))</f>
        <v>1.8849352246795843</v>
      </c>
      <c r="E425" s="94" cm="1">
        <f t="array" aca="1" ref="E425" ca="1">_xlfn.SWITCH($B$4,"Normal MLE",EXP(_xlfn.NORM.INV(C425,LN($C$10),$E$10/$C$10)),"Uniforme",$B$10+($D$10-$B$10)*C425,"Triangular",IF(C425&lt;=($C$10-$B$10)/($D$10-$B$10),$B$10+SQRT(C425*($D$10-$B$10)*($C$10-$B$10)),$D$10-SQRT((1-C425)*($D$10-$B$10)*($D$10-$C$10))),"PERT",_xlfn.BETA.INV(C425,1+$B$6*($C$10-$B$10)/($D$10-$B$10),1+$B$6*($D$10-$C$10)/($D$10-$B$10),$B$10,$D$10))</f>
        <v>5170.6903966401051</v>
      </c>
      <c r="F425" s="88">
        <f t="shared" ca="1" si="19"/>
        <v>0.53989319571755368</v>
      </c>
      <c r="G425" s="89">
        <f t="shared" ca="1" si="20"/>
        <v>1.5681789177935656E-4</v>
      </c>
    </row>
    <row r="426" spans="1:7" x14ac:dyDescent="0.35">
      <c r="A426" s="84">
        <v>411</v>
      </c>
      <c r="B426" s="84">
        <f t="shared" ca="1" si="18"/>
        <v>0.52202024975519834</v>
      </c>
      <c r="C426" s="84">
        <f t="shared" ca="1" si="18"/>
        <v>0.21990169107325797</v>
      </c>
      <c r="D426" s="93" cm="1">
        <f t="array" aca="1" ref="D426" ca="1">_xlfn.SWITCH($B$4,"Normal MLE",EXP(_xlfn.NORM.INV(B426,LN($C$9),$E$9/$C$9)),"Uniforme",$B$9+($D$9-$B$9)*B426,"Triangular",IF(B426&lt;=($C$9-$B$9)/($D$9-$B$9),$B$9+SQRT(B426*($D$9-$B$9)*($C$9-$B$9)),$D$9-SQRT((1-B426)*($D$9-$B$9)*($D$9-$C$9))),"PERT",_xlfn.BETA.INV(B426,1+$B$6*($C$9-$B$9)/($D$9-$B$9),1+$B$6*($D$9-$C$9)/($D$9-$B$9),$B$9,$D$9))</f>
        <v>1.955264853270555</v>
      </c>
      <c r="E426" s="94" cm="1">
        <f t="array" aca="1" ref="E426" ca="1">_xlfn.SWITCH($B$4,"Normal MLE",EXP(_xlfn.NORM.INV(C426,LN($C$10),$E$10/$C$10)),"Uniforme",$B$10+($D$10-$B$10)*C426,"Triangular",IF(C426&lt;=($C$10-$B$10)/($D$10-$B$10),$B$10+SQRT(C426*($D$10-$B$10)*($C$10-$B$10)),$D$10-SQRT((1-C426)*($D$10-$B$10)*($D$10-$C$10))),"PERT",_xlfn.BETA.INV(C426,1+$B$6*($C$10-$B$10)/($D$10-$B$10),1+$B$6*($D$10-$C$10)/($D$10-$B$10),$B$10,$D$10))</f>
        <v>4919.7006840373642</v>
      </c>
      <c r="F426" s="88">
        <f t="shared" ca="1" si="19"/>
        <v>0.51313759938690551</v>
      </c>
      <c r="G426" s="89">
        <f t="shared" ca="1" si="20"/>
        <v>1.6735658202972727E-4</v>
      </c>
    </row>
    <row r="427" spans="1:7" x14ac:dyDescent="0.35">
      <c r="A427" s="84">
        <v>412</v>
      </c>
      <c r="B427" s="84">
        <f t="shared" ca="1" si="18"/>
        <v>0.82403757975016201</v>
      </c>
      <c r="C427" s="84">
        <f t="shared" ca="1" si="18"/>
        <v>6.6160686925534562E-2</v>
      </c>
      <c r="D427" s="93" cm="1">
        <f t="array" aca="1" ref="D427" ca="1">_xlfn.SWITCH($B$4,"Normal MLE",EXP(_xlfn.NORM.INV(B427,LN($C$9),$E$9/$C$9)),"Uniforme",$B$9+($D$9-$B$9)*B427,"Triangular",IF(B427&lt;=($C$9-$B$9)/($D$9-$B$9),$B$9+SQRT(B427*($D$9-$B$9)*($C$9-$B$9)),$D$9-SQRT((1-B427)*($D$9-$B$9)*($D$9-$C$9))),"PERT",_xlfn.BETA.INV(B427,1+$B$6*($C$9-$B$9)/($D$9-$B$9),1+$B$6*($D$9-$C$9)/($D$9-$B$9),$B$9,$D$9))</f>
        <v>2.0796250186111971</v>
      </c>
      <c r="E427" s="94" cm="1">
        <f t="array" aca="1" ref="E427" ca="1">_xlfn.SWITCH($B$4,"Normal MLE",EXP(_xlfn.NORM.INV(C427,LN($C$10),$E$10/$C$10)),"Uniforme",$B$10+($D$10-$B$10)*C427,"Triangular",IF(C427&lt;=($C$10-$B$10)/($D$10-$B$10),$B$10+SQRT(C427*($D$10-$B$10)*($C$10-$B$10)),$D$10-SQRT((1-C427)*($D$10-$B$10)*($D$10-$C$10))),"PERT",_xlfn.BETA.INV(C427,1+$B$6*($C$10-$B$10)/($D$10-$B$10),1+$B$6*($D$10-$C$10)/($D$10-$B$10),$B$10,$D$10))</f>
        <v>4754.8350499669787</v>
      </c>
      <c r="F427" s="88">
        <f t="shared" ca="1" si="19"/>
        <v>0.49756686153114943</v>
      </c>
      <c r="G427" s="89">
        <f t="shared" ca="1" si="20"/>
        <v>1.8057086436538481E-4</v>
      </c>
    </row>
    <row r="428" spans="1:7" x14ac:dyDescent="0.35">
      <c r="A428" s="84">
        <v>413</v>
      </c>
      <c r="B428" s="84">
        <f t="shared" ca="1" si="18"/>
        <v>0.68250631702138831</v>
      </c>
      <c r="C428" s="84">
        <f t="shared" ca="1" si="18"/>
        <v>0.33630346777062414</v>
      </c>
      <c r="D428" s="93" cm="1">
        <f t="array" aca="1" ref="D428" ca="1">_xlfn.SWITCH($B$4,"Normal MLE",EXP(_xlfn.NORM.INV(B428,LN($C$9),$E$9/$C$9)),"Uniforme",$B$9+($D$9-$B$9)*B428,"Triangular",IF(B428&lt;=($C$9-$B$9)/($D$9-$B$9),$B$9+SQRT(B428*($D$9-$B$9)*($C$9-$B$9)),$D$9-SQRT((1-B428)*($D$9-$B$9)*($D$9-$C$9))),"PERT",_xlfn.BETA.INV(B428,1+$B$6*($C$9-$B$9)/($D$9-$B$9),1+$B$6*($D$9-$C$9)/($D$9-$B$9),$B$9,$D$9))</f>
        <v>2.0138860681743234</v>
      </c>
      <c r="E428" s="94" cm="1">
        <f t="array" aca="1" ref="E428" ca="1">_xlfn.SWITCH($B$4,"Normal MLE",EXP(_xlfn.NORM.INV(C428,LN($C$10),$E$10/$C$10)),"Uniforme",$B$10+($D$10-$B$10)*C428,"Triangular",IF(C428&lt;=($C$10-$B$10)/($D$10-$B$10),$B$10+SQRT(C428*($D$10-$B$10)*($C$10-$B$10)),$D$10-SQRT((1-C428)*($D$10-$B$10)*($D$10-$C$10))),"PERT",_xlfn.BETA.INV(C428,1+$B$6*($C$10-$B$10)/($D$10-$B$10),1+$B$6*($D$10-$C$10)/($D$10-$B$10),$B$10,$D$10))</f>
        <v>5000.472872537126</v>
      </c>
      <c r="F428" s="88">
        <f t="shared" ca="1" si="19"/>
        <v>0.52840170881409654</v>
      </c>
      <c r="G428" s="89">
        <f t="shared" ca="1" si="20"/>
        <v>1.6970345402824816E-4</v>
      </c>
    </row>
    <row r="429" spans="1:7" x14ac:dyDescent="0.35">
      <c r="A429" s="84">
        <v>414</v>
      </c>
      <c r="B429" s="84">
        <f t="shared" ca="1" si="18"/>
        <v>1.3591169031532457E-2</v>
      </c>
      <c r="C429" s="84">
        <f t="shared" ca="1" si="18"/>
        <v>0.33288879558089091</v>
      </c>
      <c r="D429" s="93" cm="1">
        <f t="array" aca="1" ref="D429" ca="1">_xlfn.SWITCH($B$4,"Normal MLE",EXP(_xlfn.NORM.INV(B429,LN($C$9),$E$9/$C$9)),"Uniforme",$B$9+($D$9-$B$9)*B429,"Triangular",IF(B429&lt;=($C$9-$B$9)/($D$9-$B$9),$B$9+SQRT(B429*($D$9-$B$9)*($C$9-$B$9)),$D$9-SQRT((1-B429)*($D$9-$B$9)*($D$9-$C$9))),"PERT",_xlfn.BETA.INV(B429,1+$B$6*($C$9-$B$9)/($D$9-$B$9),1+$B$6*($D$9-$C$9)/($D$9-$B$9),$B$9,$D$9))</f>
        <v>1.6671039179054414</v>
      </c>
      <c r="E429" s="94" cm="1">
        <f t="array" aca="1" ref="E429" ca="1">_xlfn.SWITCH($B$4,"Normal MLE",EXP(_xlfn.NORM.INV(C429,LN($C$10),$E$10/$C$10)),"Uniforme",$B$10+($D$10-$B$10)*C429,"Triangular",IF(C429&lt;=($C$10-$B$10)/($D$10-$B$10),$B$10+SQRT(C429*($D$10-$B$10)*($C$10-$B$10)),$D$10-SQRT((1-C429)*($D$10-$B$10)*($D$10-$C$10))),"PERT",_xlfn.BETA.INV(C429,1+$B$6*($C$10-$B$10)/($D$10-$B$10),1+$B$6*($D$10-$C$10)/($D$10-$B$10),$B$10,$D$10))</f>
        <v>4998.2912957730714</v>
      </c>
      <c r="F429" s="88">
        <f t="shared" ca="1" si="19"/>
        <v>0.5017041114568741</v>
      </c>
      <c r="G429" s="89">
        <f t="shared" ca="1" si="20"/>
        <v>1.442244016934527E-4</v>
      </c>
    </row>
    <row r="430" spans="1:7" x14ac:dyDescent="0.35">
      <c r="A430" s="84">
        <v>415</v>
      </c>
      <c r="B430" s="84">
        <f t="shared" ca="1" si="18"/>
        <v>0.98782812535789677</v>
      </c>
      <c r="C430" s="84">
        <f t="shared" ca="1" si="18"/>
        <v>0.3445529279428724</v>
      </c>
      <c r="D430" s="93" cm="1">
        <f t="array" aca="1" ref="D430" ca="1">_xlfn.SWITCH($B$4,"Normal MLE",EXP(_xlfn.NORM.INV(B430,LN($C$9),$E$9/$C$9)),"Uniforme",$B$9+($D$9-$B$9)*B430,"Triangular",IF(B430&lt;=($C$9-$B$9)/($D$9-$B$9),$B$9+SQRT(B430*($D$9-$B$9)*($C$9-$B$9)),$D$9-SQRT((1-B430)*($D$9-$B$9)*($D$9-$C$9))),"PERT",_xlfn.BETA.INV(B430,1+$B$6*($C$9-$B$9)/($D$9-$B$9),1+$B$6*($D$9-$C$9)/($D$9-$B$9),$B$9,$D$9))</f>
        <v>2.2823314893352338</v>
      </c>
      <c r="E430" s="94" cm="1">
        <f t="array" aca="1" ref="E430" ca="1">_xlfn.SWITCH($B$4,"Normal MLE",EXP(_xlfn.NORM.INV(C430,LN($C$10),$E$10/$C$10)),"Uniforme",$B$10+($D$10-$B$10)*C430,"Triangular",IF(C430&lt;=($C$10-$B$10)/($D$10-$B$10),$B$10+SQRT(C430*($D$10-$B$10)*($C$10-$B$10)),$D$10-SQRT((1-C430)*($D$10-$B$10)*($D$10-$C$10))),"PERT",_xlfn.BETA.INV(C430,1+$B$6*($C$10-$B$10)/($D$10-$B$10),1+$B$6*($D$10-$C$10)/($D$10-$B$10),$B$10,$D$10))</f>
        <v>5005.7121663977287</v>
      </c>
      <c r="F430" s="88">
        <f t="shared" ca="1" si="19"/>
        <v>0.549163191132232</v>
      </c>
      <c r="G430" s="89">
        <f t="shared" ca="1" si="20"/>
        <v>1.878052110690835E-4</v>
      </c>
    </row>
    <row r="431" spans="1:7" x14ac:dyDescent="0.35">
      <c r="A431" s="84">
        <v>416</v>
      </c>
      <c r="B431" s="84">
        <f t="shared" ca="1" si="18"/>
        <v>0.85699939693595761</v>
      </c>
      <c r="C431" s="84">
        <f t="shared" ca="1" si="18"/>
        <v>0.7241156911548966</v>
      </c>
      <c r="D431" s="93" cm="1">
        <f t="array" aca="1" ref="D431" ca="1">_xlfn.SWITCH($B$4,"Normal MLE",EXP(_xlfn.NORM.INV(B431,LN($C$9),$E$9/$C$9)),"Uniforme",$B$9+($D$9-$B$9)*B431,"Triangular",IF(B431&lt;=($C$9-$B$9)/($D$9-$B$9),$B$9+SQRT(B431*($D$9-$B$9)*($C$9-$B$9)),$D$9-SQRT((1-B431)*($D$9-$B$9)*($D$9-$C$9))),"PERT",_xlfn.BETA.INV(B431,1+$B$6*($C$9-$B$9)/($D$9-$B$9),1+$B$6*($D$9-$C$9)/($D$9-$B$9),$B$9,$D$9))</f>
        <v>2.0996481207073812</v>
      </c>
      <c r="E431" s="94" cm="1">
        <f t="array" aca="1" ref="E431" ca="1">_xlfn.SWITCH($B$4,"Normal MLE",EXP(_xlfn.NORM.INV(C431,LN($C$10),$E$10/$C$10)),"Uniforme",$B$10+($D$10-$B$10)*C431,"Triangular",IF(C431&lt;=($C$10-$B$10)/($D$10-$B$10),$B$10+SQRT(C431*($D$10-$B$10)*($C$10-$B$10)),$D$10-SQRT((1-C431)*($D$10-$B$10)*($D$10-$C$10))),"PERT",_xlfn.BETA.INV(C431,1+$B$6*($C$10-$B$10)/($D$10-$B$10),1+$B$6*($D$10-$C$10)/($D$10-$B$10),$B$10,$D$10))</f>
        <v>5242.9783924003086</v>
      </c>
      <c r="F431" s="88">
        <f t="shared" ca="1" si="19"/>
        <v>0.56746865720688255</v>
      </c>
      <c r="G431" s="89">
        <f t="shared" ca="1" si="20"/>
        <v>1.6876477197607105E-4</v>
      </c>
    </row>
    <row r="432" spans="1:7" x14ac:dyDescent="0.35">
      <c r="A432" s="84">
        <v>417</v>
      </c>
      <c r="B432" s="84">
        <f t="shared" ca="1" si="18"/>
        <v>0.5392498318249076</v>
      </c>
      <c r="C432" s="84">
        <f t="shared" ca="1" si="18"/>
        <v>0.93101271802738828</v>
      </c>
      <c r="D432" s="93" cm="1">
        <f t="array" aca="1" ref="D432" ca="1">_xlfn.SWITCH($B$4,"Normal MLE",EXP(_xlfn.NORM.INV(B432,LN($C$9),$E$9/$C$9)),"Uniforme",$B$9+($D$9-$B$9)*B432,"Triangular",IF(B432&lt;=($C$9-$B$9)/($D$9-$B$9),$B$9+SQRT(B432*($D$9-$B$9)*($C$9-$B$9)),$D$9-SQRT((1-B432)*($D$9-$B$9)*($D$9-$C$9))),"PERT",_xlfn.BETA.INV(B432,1+$B$6*($C$9-$B$9)/($D$9-$B$9),1+$B$6*($D$9-$C$9)/($D$9-$B$9),$B$9,$D$9))</f>
        <v>1.961238547560785</v>
      </c>
      <c r="E432" s="94" cm="1">
        <f t="array" aca="1" ref="E432" ca="1">_xlfn.SWITCH($B$4,"Normal MLE",EXP(_xlfn.NORM.INV(C432,LN($C$10),$E$10/$C$10)),"Uniforme",$B$10+($D$10-$B$10)*C432,"Triangular",IF(C432&lt;=($C$10-$B$10)/($D$10-$B$10),$B$10+SQRT(C432*($D$10-$B$10)*($C$10-$B$10)),$D$10-SQRT((1-C432)*($D$10-$B$10)*($D$10-$C$10))),"PERT",_xlfn.BETA.INV(C432,1+$B$6*($C$10-$B$10)/($D$10-$B$10),1+$B$6*($D$10-$C$10)/($D$10-$B$10),$B$10,$D$10))</f>
        <v>5464.2368615881205</v>
      </c>
      <c r="F432" s="88">
        <f t="shared" ca="1" si="19"/>
        <v>0.58135695037737134</v>
      </c>
      <c r="G432" s="89">
        <f t="shared" ca="1" si="20"/>
        <v>1.5460560802576506E-4</v>
      </c>
    </row>
    <row r="433" spans="1:7" x14ac:dyDescent="0.35">
      <c r="A433" s="84">
        <v>418</v>
      </c>
      <c r="B433" s="84">
        <f t="shared" ca="1" si="18"/>
        <v>0.29050957847448489</v>
      </c>
      <c r="C433" s="84">
        <f t="shared" ca="1" si="18"/>
        <v>0.85579359782543563</v>
      </c>
      <c r="D433" s="93" cm="1">
        <f t="array" aca="1" ref="D433" ca="1">_xlfn.SWITCH($B$4,"Normal MLE",EXP(_xlfn.NORM.INV(B433,LN($C$9),$E$9/$C$9)),"Uniforme",$B$9+($D$9-$B$9)*B433,"Triangular",IF(B433&lt;=($C$9-$B$9)/($D$9-$B$9),$B$9+SQRT(B433*($D$9-$B$9)*($C$9-$B$9)),$D$9-SQRT((1-B433)*($D$9-$B$9)*($D$9-$C$9))),"PERT",_xlfn.BETA.INV(B433,1+$B$6*($C$9-$B$9)/($D$9-$B$9),1+$B$6*($D$9-$C$9)/($D$9-$B$9),$B$9,$D$9))</f>
        <v>1.8734328486419818</v>
      </c>
      <c r="E433" s="94" cm="1">
        <f t="array" aca="1" ref="E433" ca="1">_xlfn.SWITCH($B$4,"Normal MLE",EXP(_xlfn.NORM.INV(C433,LN($C$10),$E$10/$C$10)),"Uniforme",$B$10+($D$10-$B$10)*C433,"Triangular",IF(C433&lt;=($C$10-$B$10)/($D$10-$B$10),$B$10+SQRT(C433*($D$10-$B$10)*($C$10-$B$10)),$D$10-SQRT((1-C433)*($D$10-$B$10)*($D$10-$C$10))),"PERT",_xlfn.BETA.INV(C433,1+$B$6*($C$10-$B$10)/($D$10-$B$10),1+$B$6*($D$10-$C$10)/($D$10-$B$10),$B$10,$D$10))</f>
        <v>5358.0381259933383</v>
      </c>
      <c r="F433" s="88">
        <f t="shared" ca="1" si="19"/>
        <v>0.56083430381367538</v>
      </c>
      <c r="G433" s="89">
        <f t="shared" ca="1" si="20"/>
        <v>1.5191066400155714E-4</v>
      </c>
    </row>
    <row r="434" spans="1:7" x14ac:dyDescent="0.35">
      <c r="A434" s="84">
        <v>419</v>
      </c>
      <c r="B434" s="84">
        <f t="shared" ca="1" si="18"/>
        <v>0.68608544375819558</v>
      </c>
      <c r="C434" s="84">
        <f t="shared" ca="1" si="18"/>
        <v>0.14314694339135736</v>
      </c>
      <c r="D434" s="93" cm="1">
        <f t="array" aca="1" ref="D434" ca="1">_xlfn.SWITCH($B$4,"Normal MLE",EXP(_xlfn.NORM.INV(B434,LN($C$9),$E$9/$C$9)),"Uniforme",$B$9+($D$9-$B$9)*B434,"Triangular",IF(B434&lt;=($C$9-$B$9)/($D$9-$B$9),$B$9+SQRT(B434*($D$9-$B$9)*($C$9-$B$9)),$D$9-SQRT((1-B434)*($D$9-$B$9)*($D$9-$C$9))),"PERT",_xlfn.BETA.INV(B434,1+$B$6*($C$9-$B$9)/($D$9-$B$9),1+$B$6*($D$9-$C$9)/($D$9-$B$9),$B$9,$D$9))</f>
        <v>2.0153140708548576</v>
      </c>
      <c r="E434" s="94" cm="1">
        <f t="array" aca="1" ref="E434" ca="1">_xlfn.SWITCH($B$4,"Normal MLE",EXP(_xlfn.NORM.INV(C434,LN($C$10),$E$10/$C$10)),"Uniforme",$B$10+($D$10-$B$10)*C434,"Triangular",IF(C434&lt;=($C$10-$B$10)/($D$10-$B$10),$B$10+SQRT(C434*($D$10-$B$10)*($C$10-$B$10)),$D$10-SQRT((1-C434)*($D$10-$B$10)*($D$10-$C$10))),"PERT",_xlfn.BETA.INV(C434,1+$B$6*($C$10-$B$10)/($D$10-$B$10),1+$B$6*($D$10-$C$10)/($D$10-$B$10),$B$10,$D$10))</f>
        <v>4852.9059600989485</v>
      </c>
      <c r="F434" s="88">
        <f t="shared" ca="1" si="19"/>
        <v>0.50794736079727587</v>
      </c>
      <c r="G434" s="89">
        <f t="shared" ca="1" si="20"/>
        <v>1.7335333193473144E-4</v>
      </c>
    </row>
    <row r="435" spans="1:7" x14ac:dyDescent="0.35">
      <c r="A435" s="84">
        <v>420</v>
      </c>
      <c r="B435" s="84">
        <f t="shared" ca="1" si="18"/>
        <v>0.92466463276144628</v>
      </c>
      <c r="C435" s="84">
        <f t="shared" ca="1" si="18"/>
        <v>0.79402626259323394</v>
      </c>
      <c r="D435" s="93" cm="1">
        <f t="array" aca="1" ref="D435" ca="1">_xlfn.SWITCH($B$4,"Normal MLE",EXP(_xlfn.NORM.INV(B435,LN($C$9),$E$9/$C$9)),"Uniforme",$B$9+($D$9-$B$9)*B435,"Triangular",IF(B435&lt;=($C$9-$B$9)/($D$9-$B$9),$B$9+SQRT(B435*($D$9-$B$9)*($C$9-$B$9)),$D$9-SQRT((1-B435)*($D$9-$B$9)*($D$9-$C$9))),"PERT",_xlfn.BETA.INV(B435,1+$B$6*($C$9-$B$9)/($D$9-$B$9),1+$B$6*($D$9-$C$9)/($D$9-$B$9),$B$9,$D$9))</f>
        <v>2.1551089272940369</v>
      </c>
      <c r="E435" s="94" cm="1">
        <f t="array" aca="1" ref="E435" ca="1">_xlfn.SWITCH($B$4,"Normal MLE",EXP(_xlfn.NORM.INV(C435,LN($C$10),$E$10/$C$10)),"Uniforme",$B$10+($D$10-$B$10)*C435,"Triangular",IF(C435&lt;=($C$10-$B$10)/($D$10-$B$10),$B$10+SQRT(C435*($D$10-$B$10)*($C$10-$B$10)),$D$10-SQRT((1-C435)*($D$10-$B$10)*($D$10-$C$10))),"PERT",_xlfn.BETA.INV(C435,1+$B$6*($C$10-$B$10)/($D$10-$B$10),1+$B$6*($D$10-$C$10)/($D$10-$B$10),$B$10,$D$10))</f>
        <v>5298.250494360429</v>
      </c>
      <c r="F435" s="88">
        <f t="shared" ca="1" si="19"/>
        <v>0.57946041135421067</v>
      </c>
      <c r="G435" s="89">
        <f t="shared" ca="1" si="20"/>
        <v>1.7035444858331321E-4</v>
      </c>
    </row>
    <row r="436" spans="1:7" x14ac:dyDescent="0.35">
      <c r="A436" s="84">
        <v>421</v>
      </c>
      <c r="B436" s="84">
        <f t="shared" ca="1" si="18"/>
        <v>0.79924430820449255</v>
      </c>
      <c r="C436" s="84">
        <f t="shared" ca="1" si="18"/>
        <v>5.8974947010776546E-2</v>
      </c>
      <c r="D436" s="93" cm="1">
        <f t="array" aca="1" ref="D436" ca="1">_xlfn.SWITCH($B$4,"Normal MLE",EXP(_xlfn.NORM.INV(B436,LN($C$9),$E$9/$C$9)),"Uniforme",$B$9+($D$9-$B$9)*B436,"Triangular",IF(B436&lt;=($C$9-$B$9)/($D$9-$B$9),$B$9+SQRT(B436*($D$9-$B$9)*($C$9-$B$9)),$D$9-SQRT((1-B436)*($D$9-$B$9)*($D$9-$C$9))),"PERT",_xlfn.BETA.INV(B436,1+$B$6*($C$9-$B$9)/($D$9-$B$9),1+$B$6*($D$9-$C$9)/($D$9-$B$9),$B$9,$D$9))</f>
        <v>2.0662046647558969</v>
      </c>
      <c r="E436" s="94" cm="1">
        <f t="array" aca="1" ref="E436" ca="1">_xlfn.SWITCH($B$4,"Normal MLE",EXP(_xlfn.NORM.INV(C436,LN($C$10),$E$10/$C$10)),"Uniforme",$B$10+($D$10-$B$10)*C436,"Triangular",IF(C436&lt;=($C$10-$B$10)/($D$10-$B$10),$B$10+SQRT(C436*($D$10-$B$10)*($C$10-$B$10)),$D$10-SQRT((1-C436)*($D$10-$B$10)*($D$10-$C$10))),"PERT",_xlfn.BETA.INV(C436,1+$B$6*($C$10-$B$10)/($D$10-$B$10),1+$B$6*($D$10-$C$10)/($D$10-$B$10),$B$10,$D$10))</f>
        <v>4741.9250412694755</v>
      </c>
      <c r="F436" s="88">
        <f t="shared" ca="1" si="19"/>
        <v>0.4948067351601676</v>
      </c>
      <c r="G436" s="89">
        <f t="shared" ca="1" si="20"/>
        <v>1.7983217174686247E-4</v>
      </c>
    </row>
    <row r="437" spans="1:7" x14ac:dyDescent="0.35">
      <c r="A437" s="84">
        <v>422</v>
      </c>
      <c r="B437" s="84">
        <f t="shared" ca="1" si="18"/>
        <v>0.74646678281069534</v>
      </c>
      <c r="C437" s="84">
        <f t="shared" ca="1" si="18"/>
        <v>0.65003913421167758</v>
      </c>
      <c r="D437" s="93" cm="1">
        <f t="array" aca="1" ref="D437" ca="1">_xlfn.SWITCH($B$4,"Normal MLE",EXP(_xlfn.NORM.INV(B437,LN($C$9),$E$9/$C$9)),"Uniforme",$B$9+($D$9-$B$9)*B437,"Triangular",IF(B437&lt;=($C$9-$B$9)/($D$9-$B$9),$B$9+SQRT(B437*($D$9-$B$9)*($C$9-$B$9)),$D$9-SQRT((1-B437)*($D$9-$B$9)*($D$9-$C$9))),"PERT",_xlfn.BETA.INV(B437,1+$B$6*($C$9-$B$9)/($D$9-$B$9),1+$B$6*($D$9-$C$9)/($D$9-$B$9),$B$9,$D$9))</f>
        <v>2.0408245668581637</v>
      </c>
      <c r="E437" s="94" cm="1">
        <f t="array" aca="1" ref="E437" ca="1">_xlfn.SWITCH($B$4,"Normal MLE",EXP(_xlfn.NORM.INV(C437,LN($C$10),$E$10/$C$10)),"Uniforme",$B$10+($D$10-$B$10)*C437,"Triangular",IF(C437&lt;=($C$10-$B$10)/($D$10-$B$10),$B$10+SQRT(C437*($D$10-$B$10)*($C$10-$B$10)),$D$10-SQRT((1-C437)*($D$10-$B$10)*($D$10-$C$10))),"PERT",_xlfn.BETA.INV(C437,1+$B$6*($C$10-$B$10)/($D$10-$B$10),1+$B$6*($D$10-$C$10)/($D$10-$B$10),$B$10,$D$10))</f>
        <v>5192.0683712055179</v>
      </c>
      <c r="F437" s="88">
        <f t="shared" ca="1" si="19"/>
        <v>0.55586015053398885</v>
      </c>
      <c r="G437" s="89">
        <f t="shared" ca="1" si="20"/>
        <v>1.6654276713611959E-4</v>
      </c>
    </row>
    <row r="438" spans="1:7" x14ac:dyDescent="0.35">
      <c r="A438" s="84">
        <v>423</v>
      </c>
      <c r="B438" s="84">
        <f t="shared" ca="1" si="18"/>
        <v>0.54896252526255629</v>
      </c>
      <c r="C438" s="84">
        <f t="shared" ca="1" si="18"/>
        <v>0.94244178154648783</v>
      </c>
      <c r="D438" s="93" cm="1">
        <f t="array" aca="1" ref="D438" ca="1">_xlfn.SWITCH($B$4,"Normal MLE",EXP(_xlfn.NORM.INV(B438,LN($C$9),$E$9/$C$9)),"Uniforme",$B$9+($D$9-$B$9)*B438,"Triangular",IF(B438&lt;=($C$9-$B$9)/($D$9-$B$9),$B$9+SQRT(B438*($D$9-$B$9)*($C$9-$B$9)),$D$9-SQRT((1-B438)*($D$9-$B$9)*($D$9-$C$9))),"PERT",_xlfn.BETA.INV(B438,1+$B$6*($C$9-$B$9)/($D$9-$B$9),1+$B$6*($D$9-$C$9)/($D$9-$B$9),$B$9,$D$9))</f>
        <v>1.9646246777736249</v>
      </c>
      <c r="E438" s="94" cm="1">
        <f t="array" aca="1" ref="E438" ca="1">_xlfn.SWITCH($B$4,"Normal MLE",EXP(_xlfn.NORM.INV(C438,LN($C$10),$E$10/$C$10)),"Uniforme",$B$10+($D$10-$B$10)*C438,"Triangular",IF(C438&lt;=($C$10-$B$10)/($D$10-$B$10),$B$10+SQRT(C438*($D$10-$B$10)*($C$10-$B$10)),$D$10-SQRT((1-C438)*($D$10-$B$10)*($D$10-$C$10))),"PERT",_xlfn.BETA.INV(C438,1+$B$6*($C$10-$B$10)/($D$10-$B$10),1+$B$6*($D$10-$C$10)/($D$10-$B$10),$B$10,$D$10))</f>
        <v>5487.7392293099902</v>
      </c>
      <c r="F438" s="88">
        <f t="shared" ca="1" si="19"/>
        <v>0.58434228627153495</v>
      </c>
      <c r="G438" s="89">
        <f t="shared" ca="1" si="20"/>
        <v>1.5419780284655672E-4</v>
      </c>
    </row>
    <row r="439" spans="1:7" x14ac:dyDescent="0.35">
      <c r="A439" s="84">
        <v>424</v>
      </c>
      <c r="B439" s="84">
        <f t="shared" ca="1" si="18"/>
        <v>0.9555065411390804</v>
      </c>
      <c r="C439" s="84">
        <f t="shared" ca="1" si="18"/>
        <v>0.37860769180243592</v>
      </c>
      <c r="D439" s="93" cm="1">
        <f t="array" aca="1" ref="D439" ca="1">_xlfn.SWITCH($B$4,"Normal MLE",EXP(_xlfn.NORM.INV(B439,LN($C$9),$E$9/$C$9)),"Uniforme",$B$9+($D$9-$B$9)*B439,"Triangular",IF(B439&lt;=($C$9-$B$9)/($D$9-$B$9),$B$9+SQRT(B439*($D$9-$B$9)*($C$9-$B$9)),$D$9-SQRT((1-B439)*($D$9-$B$9)*($D$9-$C$9))),"PERT",_xlfn.BETA.INV(B439,1+$B$6*($C$9-$B$9)/($D$9-$B$9),1+$B$6*($D$9-$C$9)/($D$9-$B$9),$B$9,$D$9))</f>
        <v>2.1954868580344473</v>
      </c>
      <c r="E439" s="94" cm="1">
        <f t="array" aca="1" ref="E439" ca="1">_xlfn.SWITCH($B$4,"Normal MLE",EXP(_xlfn.NORM.INV(C439,LN($C$10),$E$10/$C$10)),"Uniforme",$B$10+($D$10-$B$10)*C439,"Triangular",IF(C439&lt;=($C$10-$B$10)/($D$10-$B$10),$B$10+SQRT(C439*($D$10-$B$10)*($C$10-$B$10)),$D$10-SQRT((1-C439)*($D$10-$B$10)*($D$10-$C$10))),"PERT",_xlfn.BETA.INV(C439,1+$B$6*($C$10-$B$10)/($D$10-$B$10),1+$B$6*($D$10-$C$10)/($D$10-$B$10),$B$10,$D$10))</f>
        <v>5026.9378541150127</v>
      </c>
      <c r="F439" s="88">
        <f t="shared" ca="1" si="19"/>
        <v>0.54580298129282789</v>
      </c>
      <c r="G439" s="89">
        <f t="shared" ca="1" si="20"/>
        <v>1.8139232160308615E-4</v>
      </c>
    </row>
    <row r="440" spans="1:7" x14ac:dyDescent="0.35">
      <c r="A440" s="84">
        <v>425</v>
      </c>
      <c r="B440" s="84">
        <f t="shared" ca="1" si="18"/>
        <v>0.32441921816363328</v>
      </c>
      <c r="C440" s="84">
        <f t="shared" ca="1" si="18"/>
        <v>0.47750987514786247</v>
      </c>
      <c r="D440" s="93" cm="1">
        <f t="array" aca="1" ref="D440" ca="1">_xlfn.SWITCH($B$4,"Normal MLE",EXP(_xlfn.NORM.INV(B440,LN($C$9),$E$9/$C$9)),"Uniforme",$B$9+($D$9-$B$9)*B440,"Triangular",IF(B440&lt;=($C$9-$B$9)/($D$9-$B$9),$B$9+SQRT(B440*($D$9-$B$9)*($C$9-$B$9)),$D$9-SQRT((1-B440)*($D$9-$B$9)*($D$9-$C$9))),"PERT",_xlfn.BETA.INV(B440,1+$B$6*($C$9-$B$9)/($D$9-$B$9),1+$B$6*($D$9-$C$9)/($D$9-$B$9),$B$9,$D$9))</f>
        <v>1.8862097619289808</v>
      </c>
      <c r="E440" s="94" cm="1">
        <f t="array" aca="1" ref="E440" ca="1">_xlfn.SWITCH($B$4,"Normal MLE",EXP(_xlfn.NORM.INV(C440,LN($C$10),$E$10/$C$10)),"Uniforme",$B$10+($D$10-$B$10)*C440,"Triangular",IF(C440&lt;=($C$10-$B$10)/($D$10-$B$10),$B$10+SQRT(C440*($D$10-$B$10)*($C$10-$B$10)),$D$10-SQRT((1-C440)*($D$10-$B$10)*($D$10-$C$10))),"PERT",_xlfn.BETA.INV(C440,1+$B$6*($C$10-$B$10)/($D$10-$B$10),1+$B$6*($D$10-$C$10)/($D$10-$B$10),$B$10,$D$10))</f>
        <v>5086.4079812039245</v>
      </c>
      <c r="F440" s="88">
        <f t="shared" ca="1" si="19"/>
        <v>0.52962703368270059</v>
      </c>
      <c r="G440" s="89">
        <f t="shared" ca="1" si="20"/>
        <v>1.5873470457334588E-4</v>
      </c>
    </row>
    <row r="441" spans="1:7" x14ac:dyDescent="0.35">
      <c r="A441" s="84">
        <v>426</v>
      </c>
      <c r="B441" s="84">
        <f t="shared" ca="1" si="18"/>
        <v>0.25979586000023569</v>
      </c>
      <c r="C441" s="84">
        <f t="shared" ca="1" si="18"/>
        <v>0.64168803629231108</v>
      </c>
      <c r="D441" s="93" cm="1">
        <f t="array" aca="1" ref="D441" ca="1">_xlfn.SWITCH($B$4,"Normal MLE",EXP(_xlfn.NORM.INV(B441,LN($C$9),$E$9/$C$9)),"Uniforme",$B$9+($D$9-$B$9)*B441,"Triangular",IF(B441&lt;=($C$9-$B$9)/($D$9-$B$9),$B$9+SQRT(B441*($D$9-$B$9)*($C$9-$B$9)),$D$9-SQRT((1-B441)*($D$9-$B$9)*($D$9-$C$9))),"PERT",_xlfn.BETA.INV(B441,1+$B$6*($C$9-$B$9)/($D$9-$B$9),1+$B$6*($D$9-$C$9)/($D$9-$B$9),$B$9,$D$9))</f>
        <v>1.8613246200401889</v>
      </c>
      <c r="E441" s="94" cm="1">
        <f t="array" aca="1" ref="E441" ca="1">_xlfn.SWITCH($B$4,"Normal MLE",EXP(_xlfn.NORM.INV(C441,LN($C$10),$E$10/$C$10)),"Uniforme",$B$10+($D$10-$B$10)*C441,"Triangular",IF(C441&lt;=($C$10-$B$10)/($D$10-$B$10),$B$10+SQRT(C441*($D$10-$B$10)*($C$10-$B$10)),$D$10-SQRT((1-C441)*($D$10-$B$10)*($D$10-$C$10))),"PERT",_xlfn.BETA.INV(C441,1+$B$6*($C$10-$B$10)/($D$10-$B$10),1+$B$6*($D$10-$C$10)/($D$10-$B$10),$B$10,$D$10))</f>
        <v>5186.6466858509011</v>
      </c>
      <c r="F441" s="88">
        <f t="shared" ca="1" si="19"/>
        <v>0.53978467393166418</v>
      </c>
      <c r="G441" s="89">
        <f t="shared" ca="1" si="20"/>
        <v>1.5487296567188628E-4</v>
      </c>
    </row>
    <row r="442" spans="1:7" x14ac:dyDescent="0.35">
      <c r="A442" s="84">
        <v>427</v>
      </c>
      <c r="B442" s="84">
        <f t="shared" ca="1" si="18"/>
        <v>0.21593811419053022</v>
      </c>
      <c r="C442" s="84">
        <f t="shared" ca="1" si="18"/>
        <v>0.67836606260660015</v>
      </c>
      <c r="D442" s="93" cm="1">
        <f t="array" aca="1" ref="D442" ca="1">_xlfn.SWITCH($B$4,"Normal MLE",EXP(_xlfn.NORM.INV(B442,LN($C$9),$E$9/$C$9)),"Uniforme",$B$9+($D$9-$B$9)*B442,"Triangular",IF(B442&lt;=($C$9-$B$9)/($D$9-$B$9),$B$9+SQRT(B442*($D$9-$B$9)*($C$9-$B$9)),$D$9-SQRT((1-B442)*($D$9-$B$9)*($D$9-$C$9))),"PERT",_xlfn.BETA.INV(B442,1+$B$6*($C$9-$B$9)/($D$9-$B$9),1+$B$6*($D$9-$C$9)/($D$9-$B$9),$B$9,$D$9))</f>
        <v>1.8428036084477368</v>
      </c>
      <c r="E442" s="94" cm="1">
        <f t="array" aca="1" ref="E442" ca="1">_xlfn.SWITCH($B$4,"Normal MLE",EXP(_xlfn.NORM.INV(C442,LN($C$10),$E$10/$C$10)),"Uniforme",$B$10+($D$10-$B$10)*C442,"Triangular",IF(C442&lt;=($C$10-$B$10)/($D$10-$B$10),$B$10+SQRT(C442*($D$10-$B$10)*($C$10-$B$10)),$D$10-SQRT((1-C442)*($D$10-$B$10)*($D$10-$C$10))),"PERT",_xlfn.BETA.INV(C442,1+$B$6*($C$10-$B$10)/($D$10-$B$10),1+$B$6*($D$10-$C$10)/($D$10-$B$10),$B$10,$D$10))</f>
        <v>5210.8774514132228</v>
      </c>
      <c r="F442" s="88">
        <f t="shared" ca="1" si="19"/>
        <v>0.54104098749487428</v>
      </c>
      <c r="G442" s="89">
        <f t="shared" ca="1" si="20"/>
        <v>1.5310932265982923E-4</v>
      </c>
    </row>
    <row r="443" spans="1:7" x14ac:dyDescent="0.35">
      <c r="A443" s="84">
        <v>428</v>
      </c>
      <c r="B443" s="84">
        <f t="shared" ca="1" si="18"/>
        <v>0.8346609183042395</v>
      </c>
      <c r="C443" s="84">
        <f t="shared" ca="1" si="18"/>
        <v>0.95747442061979637</v>
      </c>
      <c r="D443" s="93" cm="1">
        <f t="array" aca="1" ref="D443" ca="1">_xlfn.SWITCH($B$4,"Normal MLE",EXP(_xlfn.NORM.INV(B443,LN($C$9),$E$9/$C$9)),"Uniforme",$B$9+($D$9-$B$9)*B443,"Triangular",IF(B443&lt;=($C$9-$B$9)/($D$9-$B$9),$B$9+SQRT(B443*($D$9-$B$9)*($C$9-$B$9)),$D$9-SQRT((1-B443)*($D$9-$B$9)*($D$9-$C$9))),"PERT",_xlfn.BETA.INV(B443,1+$B$6*($C$9-$B$9)/($D$9-$B$9),1+$B$6*($D$9-$C$9)/($D$9-$B$9),$B$9,$D$9))</f>
        <v>2.0857682013385106</v>
      </c>
      <c r="E443" s="94" cm="1">
        <f t="array" aca="1" ref="E443" ca="1">_xlfn.SWITCH($B$4,"Normal MLE",EXP(_xlfn.NORM.INV(C443,LN($C$10),$E$10/$C$10)),"Uniforme",$B$10+($D$10-$B$10)*C443,"Triangular",IF(C443&lt;=($C$10-$B$10)/($D$10-$B$10),$B$10+SQRT(C443*($D$10-$B$10)*($C$10-$B$10)),$D$10-SQRT((1-C443)*($D$10-$B$10)*($D$10-$C$10))),"PERT",_xlfn.BETA.INV(C443,1+$B$6*($C$10-$B$10)/($D$10-$B$10),1+$B$6*($D$10-$C$10)/($D$10-$B$10),$B$10,$D$10))</f>
        <v>5525.2770563025588</v>
      </c>
      <c r="F443" s="88">
        <f t="shared" ca="1" si="19"/>
        <v>0.60063031099543074</v>
      </c>
      <c r="G443" s="89">
        <f t="shared" ca="1" si="20"/>
        <v>1.596586265311299E-4</v>
      </c>
    </row>
    <row r="444" spans="1:7" x14ac:dyDescent="0.35">
      <c r="A444" s="84">
        <v>429</v>
      </c>
      <c r="B444" s="84">
        <f t="shared" ca="1" si="18"/>
        <v>0.58801533003359752</v>
      </c>
      <c r="C444" s="84">
        <f t="shared" ca="1" si="18"/>
        <v>8.4141347744427497E-2</v>
      </c>
      <c r="D444" s="93" cm="1">
        <f t="array" aca="1" ref="D444" ca="1">_xlfn.SWITCH($B$4,"Normal MLE",EXP(_xlfn.NORM.INV(B444,LN($C$9),$E$9/$C$9)),"Uniforme",$B$9+($D$9-$B$9)*B444,"Triangular",IF(B444&lt;=($C$9-$B$9)/($D$9-$B$9),$B$9+SQRT(B444*($D$9-$B$9)*($C$9-$B$9)),$D$9-SQRT((1-B444)*($D$9-$B$9)*($D$9-$C$9))),"PERT",_xlfn.BETA.INV(B444,1+$B$6*($C$9-$B$9)/($D$9-$B$9),1+$B$6*($D$9-$C$9)/($D$9-$B$9),$B$9,$D$9))</f>
        <v>1.9784249756852881</v>
      </c>
      <c r="E444" s="94" cm="1">
        <f t="array" aca="1" ref="E444" ca="1">_xlfn.SWITCH($B$4,"Normal MLE",EXP(_xlfn.NORM.INV(C444,LN($C$10),$E$10/$C$10)),"Uniforme",$B$10+($D$10-$B$10)*C444,"Triangular",IF(C444&lt;=($C$10-$B$10)/($D$10-$B$10),$B$10+SQRT(C444*($D$10-$B$10)*($C$10-$B$10)),$D$10-SQRT((1-C444)*($D$10-$B$10)*($D$10-$C$10))),"PERT",_xlfn.BETA.INV(C444,1+$B$6*($C$10-$B$10)/($D$10-$B$10),1+$B$6*($D$10-$C$10)/($D$10-$B$10),$B$10,$D$10))</f>
        <v>4783.0782129323388</v>
      </c>
      <c r="F444" s="88">
        <f t="shared" ca="1" si="19"/>
        <v>0.49555855680046618</v>
      </c>
      <c r="G444" s="89">
        <f t="shared" ca="1" si="20"/>
        <v>1.7208175960194114E-4</v>
      </c>
    </row>
    <row r="445" spans="1:7" x14ac:dyDescent="0.35">
      <c r="A445" s="84">
        <v>430</v>
      </c>
      <c r="B445" s="84">
        <f t="shared" ca="1" si="18"/>
        <v>0.26387999222896164</v>
      </c>
      <c r="C445" s="84">
        <f t="shared" ca="1" si="18"/>
        <v>0.67026745857903414</v>
      </c>
      <c r="D445" s="93" cm="1">
        <f t="array" aca="1" ref="D445" ca="1">_xlfn.SWITCH($B$4,"Normal MLE",EXP(_xlfn.NORM.INV(B445,LN($C$9),$E$9/$C$9)),"Uniforme",$B$9+($D$9-$B$9)*B445,"Triangular",IF(B445&lt;=($C$9-$B$9)/($D$9-$B$9),$B$9+SQRT(B445*($D$9-$B$9)*($C$9-$B$9)),$D$9-SQRT((1-B445)*($D$9-$B$9)*($D$9-$C$9))),"PERT",_xlfn.BETA.INV(B445,1+$B$6*($C$9-$B$9)/($D$9-$B$9),1+$B$6*($D$9-$C$9)/($D$9-$B$9),$B$9,$D$9))</f>
        <v>1.8629697647761454</v>
      </c>
      <c r="E445" s="94" cm="1">
        <f t="array" aca="1" ref="E445" ca="1">_xlfn.SWITCH($B$4,"Normal MLE",EXP(_xlfn.NORM.INV(C445,LN($C$10),$E$10/$C$10)),"Uniforme",$B$10+($D$10-$B$10)*C445,"Triangular",IF(C445&lt;=($C$10-$B$10)/($D$10-$B$10),$B$10+SQRT(C445*($D$10-$B$10)*($C$10-$B$10)),$D$10-SQRT((1-C445)*($D$10-$B$10)*($D$10-$C$10))),"PERT",_xlfn.BETA.INV(C445,1+$B$6*($C$10-$B$10)/($D$10-$B$10),1+$B$6*($D$10-$C$10)/($D$10-$B$10),$B$10,$D$10))</f>
        <v>5205.428570275586</v>
      </c>
      <c r="F445" s="88">
        <f t="shared" ca="1" si="19"/>
        <v>0.54216487088639587</v>
      </c>
      <c r="G445" s="89">
        <f t="shared" ca="1" si="20"/>
        <v>1.5458237261300935E-4</v>
      </c>
    </row>
    <row r="446" spans="1:7" x14ac:dyDescent="0.35">
      <c r="A446" s="84">
        <v>431</v>
      </c>
      <c r="B446" s="84">
        <f t="shared" ca="1" si="18"/>
        <v>0.29400068467148199</v>
      </c>
      <c r="C446" s="84">
        <f t="shared" ca="1" si="18"/>
        <v>0.85819698134242361</v>
      </c>
      <c r="D446" s="93" cm="1">
        <f t="array" aca="1" ref="D446" ca="1">_xlfn.SWITCH($B$4,"Normal MLE",EXP(_xlfn.NORM.INV(B446,LN($C$9),$E$9/$C$9)),"Uniforme",$B$9+($D$9-$B$9)*B446,"Triangular",IF(B446&lt;=($C$9-$B$9)/($D$9-$B$9),$B$9+SQRT(B446*($D$9-$B$9)*($C$9-$B$9)),$D$9-SQRT((1-B446)*($D$9-$B$9)*($D$9-$C$9))),"PERT",_xlfn.BETA.INV(B446,1+$B$6*($C$9-$B$9)/($D$9-$B$9),1+$B$6*($D$9-$C$9)/($D$9-$B$9),$B$9,$D$9))</f>
        <v>1.8747739735705307</v>
      </c>
      <c r="E446" s="94" cm="1">
        <f t="array" aca="1" ref="E446" ca="1">_xlfn.SWITCH($B$4,"Normal MLE",EXP(_xlfn.NORM.INV(C446,LN($C$10),$E$10/$C$10)),"Uniforme",$B$10+($D$10-$B$10)*C446,"Triangular",IF(C446&lt;=($C$10-$B$10)/($D$10-$B$10),$B$10+SQRT(C446*($D$10-$B$10)*($C$10-$B$10)),$D$10-SQRT((1-C446)*($D$10-$B$10)*($D$10-$C$10))),"PERT",_xlfn.BETA.INV(C446,1+$B$6*($C$10-$B$10)/($D$10-$B$10),1+$B$6*($D$10-$C$10)/($D$10-$B$10),$B$10,$D$10))</f>
        <v>5360.6926547644671</v>
      </c>
      <c r="F446" s="88">
        <f t="shared" ca="1" si="19"/>
        <v>0.56126251848440767</v>
      </c>
      <c r="G446" s="89">
        <f t="shared" ca="1" si="20"/>
        <v>1.5193470510432394E-4</v>
      </c>
    </row>
    <row r="447" spans="1:7" x14ac:dyDescent="0.35">
      <c r="A447" s="84">
        <v>432</v>
      </c>
      <c r="B447" s="84">
        <f t="shared" ca="1" si="18"/>
        <v>0.13429117464080242</v>
      </c>
      <c r="C447" s="84">
        <f t="shared" ca="1" si="18"/>
        <v>0.44235889854143873</v>
      </c>
      <c r="D447" s="93" cm="1">
        <f t="array" aca="1" ref="D447" ca="1">_xlfn.SWITCH($B$4,"Normal MLE",EXP(_xlfn.NORM.INV(B447,LN($C$9),$E$9/$C$9)),"Uniforme",$B$9+($D$9-$B$9)*B447,"Triangular",IF(B447&lt;=($C$9-$B$9)/($D$9-$B$9),$B$9+SQRT(B447*($D$9-$B$9)*($C$9-$B$9)),$D$9-SQRT((1-B447)*($D$9-$B$9)*($D$9-$C$9))),"PERT",_xlfn.BETA.INV(B447,1+$B$6*($C$9-$B$9)/($D$9-$B$9),1+$B$6*($D$9-$C$9)/($D$9-$B$9),$B$9,$D$9))</f>
        <v>1.8016976680352361</v>
      </c>
      <c r="E447" s="94" cm="1">
        <f t="array" aca="1" ref="E447" ca="1">_xlfn.SWITCH($B$4,"Normal MLE",EXP(_xlfn.NORM.INV(C447,LN($C$10),$E$10/$C$10)),"Uniforme",$B$10+($D$10-$B$10)*C447,"Triangular",IF(C447&lt;=($C$10-$B$10)/($D$10-$B$10),$B$10+SQRT(C447*($D$10-$B$10)*($C$10-$B$10)),$D$10-SQRT((1-C447)*($D$10-$B$10)*($D$10-$C$10))),"PERT",_xlfn.BETA.INV(C447,1+$B$6*($C$10-$B$10)/($D$10-$B$10),1+$B$6*($D$10-$C$10)/($D$10-$B$10),$B$10,$D$10))</f>
        <v>5065.4832794501335</v>
      </c>
      <c r="F447" s="88">
        <f t="shared" ca="1" si="19"/>
        <v>0.52024475931853154</v>
      </c>
      <c r="G447" s="89">
        <f t="shared" ca="1" si="20"/>
        <v>1.5312493386434982E-4</v>
      </c>
    </row>
    <row r="448" spans="1:7" x14ac:dyDescent="0.35">
      <c r="A448" s="84">
        <v>433</v>
      </c>
      <c r="B448" s="84">
        <f t="shared" ca="1" si="18"/>
        <v>0.23653697805022589</v>
      </c>
      <c r="C448" s="84">
        <f t="shared" ca="1" si="18"/>
        <v>0.39829903506489306</v>
      </c>
      <c r="D448" s="93" cm="1">
        <f t="array" aca="1" ref="D448" ca="1">_xlfn.SWITCH($B$4,"Normal MLE",EXP(_xlfn.NORM.INV(B448,LN($C$9),$E$9/$C$9)),"Uniforme",$B$9+($D$9-$B$9)*B448,"Triangular",IF(B448&lt;=($C$9-$B$9)/($D$9-$B$9),$B$9+SQRT(B448*($D$9-$B$9)*($C$9-$B$9)),$D$9-SQRT((1-B448)*($D$9-$B$9)*($D$9-$C$9))),"PERT",_xlfn.BETA.INV(B448,1+$B$6*($C$9-$B$9)/($D$9-$B$9),1+$B$6*($D$9-$C$9)/($D$9-$B$9),$B$9,$D$9))</f>
        <v>1.8517140902667553</v>
      </c>
      <c r="E448" s="94" cm="1">
        <f t="array" aca="1" ref="E448" ca="1">_xlfn.SWITCH($B$4,"Normal MLE",EXP(_xlfn.NORM.INV(C448,LN($C$10),$E$10/$C$10)),"Uniforme",$B$10+($D$10-$B$10)*C448,"Triangular",IF(C448&lt;=($C$10-$B$10)/($D$10-$B$10),$B$10+SQRT(C448*($D$10-$B$10)*($C$10-$B$10)),$D$10-SQRT((1-C448)*($D$10-$B$10)*($D$10-$C$10))),"PERT",_xlfn.BETA.INV(C448,1+$B$6*($C$10-$B$10)/($D$10-$B$10),1+$B$6*($D$10-$C$10)/($D$10-$B$10),$B$10,$D$10))</f>
        <v>5038.9729962039319</v>
      </c>
      <c r="F448" s="88">
        <f t="shared" ca="1" si="19"/>
        <v>0.52095678385303901</v>
      </c>
      <c r="G448" s="89">
        <f t="shared" ca="1" si="20"/>
        <v>1.572613399816926E-4</v>
      </c>
    </row>
    <row r="449" spans="1:7" x14ac:dyDescent="0.35">
      <c r="A449" s="84">
        <v>434</v>
      </c>
      <c r="B449" s="84">
        <f t="shared" ca="1" si="18"/>
        <v>0.49016120322039125</v>
      </c>
      <c r="C449" s="84">
        <f t="shared" ca="1" si="18"/>
        <v>0.9407842910052574</v>
      </c>
      <c r="D449" s="93" cm="1">
        <f t="array" aca="1" ref="D449" ca="1">_xlfn.SWITCH($B$4,"Normal MLE",EXP(_xlfn.NORM.INV(B449,LN($C$9),$E$9/$C$9)),"Uniforme",$B$9+($D$9-$B$9)*B449,"Triangular",IF(B449&lt;=($C$9-$B$9)/($D$9-$B$9),$B$9+SQRT(B449*($D$9-$B$9)*($C$9-$B$9)),$D$9-SQRT((1-B449)*($D$9-$B$9)*($D$9-$C$9))),"PERT",_xlfn.BETA.INV(B449,1+$B$6*($C$9-$B$9)/($D$9-$B$9),1+$B$6*($D$9-$C$9)/($D$9-$B$9),$B$9,$D$9))</f>
        <v>1.9442958746223833</v>
      </c>
      <c r="E449" s="94" cm="1">
        <f t="array" aca="1" ref="E449" ca="1">_xlfn.SWITCH($B$4,"Normal MLE",EXP(_xlfn.NORM.INV(C449,LN($C$10),$E$10/$C$10)),"Uniforme",$B$10+($D$10-$B$10)*C449,"Triangular",IF(C449&lt;=($C$10-$B$10)/($D$10-$B$10),$B$10+SQRT(C449*($D$10-$B$10)*($C$10-$B$10)),$D$10-SQRT((1-C449)*($D$10-$B$10)*($D$10-$C$10))),"PERT",_xlfn.BETA.INV(C449,1+$B$6*($C$10-$B$10)/($D$10-$B$10),1+$B$6*($D$10-$C$10)/($D$10-$B$10),$B$10,$D$10))</f>
        <v>5484.1102705510084</v>
      </c>
      <c r="F449" s="88">
        <f t="shared" ca="1" si="19"/>
        <v>0.58191599133291583</v>
      </c>
      <c r="G449" s="89">
        <f t="shared" ca="1" si="20"/>
        <v>1.5314552769312732E-4</v>
      </c>
    </row>
    <row r="450" spans="1:7" x14ac:dyDescent="0.35">
      <c r="A450" s="84">
        <v>435</v>
      </c>
      <c r="B450" s="84">
        <f t="shared" ca="1" si="18"/>
        <v>0.74382153455053235</v>
      </c>
      <c r="C450" s="84">
        <f t="shared" ca="1" si="18"/>
        <v>0.31803974401804835</v>
      </c>
      <c r="D450" s="93" cm="1">
        <f t="array" aca="1" ref="D450" ca="1">_xlfn.SWITCH($B$4,"Normal MLE",EXP(_xlfn.NORM.INV(B450,LN($C$9),$E$9/$C$9)),"Uniforme",$B$9+($D$9-$B$9)*B450,"Triangular",IF(B450&lt;=($C$9-$B$9)/($D$9-$B$9),$B$9+SQRT(B450*($D$9-$B$9)*($C$9-$B$9)),$D$9-SQRT((1-B450)*($D$9-$B$9)*($D$9-$C$9))),"PERT",_xlfn.BETA.INV(B450,1+$B$6*($C$9-$B$9)/($D$9-$B$9),1+$B$6*($D$9-$C$9)/($D$9-$B$9),$B$9,$D$9))</f>
        <v>2.0396406638654518</v>
      </c>
      <c r="E450" s="94" cm="1">
        <f t="array" aca="1" ref="E450" ca="1">_xlfn.SWITCH($B$4,"Normal MLE",EXP(_xlfn.NORM.INV(C450,LN($C$10),$E$10/$C$10)),"Uniforme",$B$10+($D$10-$B$10)*C450,"Triangular",IF(C450&lt;=($C$10-$B$10)/($D$10-$B$10),$B$10+SQRT(C450*($D$10-$B$10)*($C$10-$B$10)),$D$10-SQRT((1-C450)*($D$10-$B$10)*($D$10-$C$10))),"PERT",_xlfn.BETA.INV(C450,1+$B$6*($C$10-$B$10)/($D$10-$B$10),1+$B$6*($D$10-$C$10)/($D$10-$B$10),$B$10,$D$10))</f>
        <v>4988.7090567046944</v>
      </c>
      <c r="F450" s="88">
        <f t="shared" ca="1" si="19"/>
        <v>0.52872032275202885</v>
      </c>
      <c r="G450" s="89">
        <f t="shared" ca="1" si="20"/>
        <v>1.7181483019537775E-4</v>
      </c>
    </row>
    <row r="451" spans="1:7" x14ac:dyDescent="0.35">
      <c r="A451" s="84">
        <v>436</v>
      </c>
      <c r="B451" s="84">
        <f t="shared" ca="1" si="18"/>
        <v>0.43505714591095912</v>
      </c>
      <c r="C451" s="84">
        <f t="shared" ca="1" si="18"/>
        <v>0.21247913516651362</v>
      </c>
      <c r="D451" s="93" cm="1">
        <f t="array" aca="1" ref="D451" ca="1">_xlfn.SWITCH($B$4,"Normal MLE",EXP(_xlfn.NORM.INV(B451,LN($C$9),$E$9/$C$9)),"Uniforme",$B$9+($D$9-$B$9)*B451,"Triangular",IF(B451&lt;=($C$9-$B$9)/($D$9-$B$9),$B$9+SQRT(B451*($D$9-$B$9)*($C$9-$B$9)),$D$9-SQRT((1-B451)*($D$9-$B$9)*($D$9-$C$9))),"PERT",_xlfn.BETA.INV(B451,1+$B$6*($C$9-$B$9)/($D$9-$B$9),1+$B$6*($D$9-$C$9)/($D$9-$B$9),$B$9,$D$9))</f>
        <v>1.9253778753089013</v>
      </c>
      <c r="E451" s="94" cm="1">
        <f t="array" aca="1" ref="E451" ca="1">_xlfn.SWITCH($B$4,"Normal MLE",EXP(_xlfn.NORM.INV(C451,LN($C$10),$E$10/$C$10)),"Uniforme",$B$10+($D$10-$B$10)*C451,"Triangular",IF(C451&lt;=($C$10-$B$10)/($D$10-$B$10),$B$10+SQRT(C451*($D$10-$B$10)*($C$10-$B$10)),$D$10-SQRT((1-C451)*($D$10-$B$10)*($D$10-$C$10))),"PERT",_xlfn.BETA.INV(C451,1+$B$6*($C$10-$B$10)/($D$10-$B$10),1+$B$6*($D$10-$C$10)/($D$10-$B$10),$B$10,$D$10))</f>
        <v>4913.9066749685044</v>
      </c>
      <c r="F451" s="88">
        <f t="shared" ca="1" si="19"/>
        <v>0.51023910896886282</v>
      </c>
      <c r="G451" s="89">
        <f t="shared" ca="1" si="20"/>
        <v>1.6525882194138355E-4</v>
      </c>
    </row>
    <row r="452" spans="1:7" x14ac:dyDescent="0.35">
      <c r="A452" s="84">
        <v>437</v>
      </c>
      <c r="B452" s="84">
        <f t="shared" ca="1" si="18"/>
        <v>8.1703573929886253E-2</v>
      </c>
      <c r="C452" s="84">
        <f t="shared" ca="1" si="18"/>
        <v>0.84622827578353743</v>
      </c>
      <c r="D452" s="93" cm="1">
        <f t="array" aca="1" ref="D452" ca="1">_xlfn.SWITCH($B$4,"Normal MLE",EXP(_xlfn.NORM.INV(B452,LN($C$9),$E$9/$C$9)),"Uniforme",$B$9+($D$9-$B$9)*B452,"Triangular",IF(B452&lt;=($C$9-$B$9)/($D$9-$B$9),$B$9+SQRT(B452*($D$9-$B$9)*($C$9-$B$9)),$D$9-SQRT((1-B452)*($D$9-$B$9)*($D$9-$C$9))),"PERT",_xlfn.BETA.INV(B452,1+$B$6*($C$9-$B$9)/($D$9-$B$9),1+$B$6*($D$9-$C$9)/($D$9-$B$9),$B$9,$D$9))</f>
        <v>1.7656040987115593</v>
      </c>
      <c r="E452" s="94" cm="1">
        <f t="array" aca="1" ref="E452" ca="1">_xlfn.SWITCH($B$4,"Normal MLE",EXP(_xlfn.NORM.INV(C452,LN($C$10),$E$10/$C$10)),"Uniforme",$B$10+($D$10-$B$10)*C452,"Triangular",IF(C452&lt;=($C$10-$B$10)/($D$10-$B$10),$B$10+SQRT(C452*($D$10-$B$10)*($C$10-$B$10)),$D$10-SQRT((1-C452)*($D$10-$B$10)*($D$10-$C$10))),"PERT",_xlfn.BETA.INV(C452,1+$B$6*($C$10-$B$10)/($D$10-$B$10),1+$B$6*($D$10-$C$10)/($D$10-$B$10),$B$10,$D$10))</f>
        <v>5347.7705519883966</v>
      </c>
      <c r="F452" s="88">
        <f t="shared" ca="1" si="19"/>
        <v>0.54943046845925814</v>
      </c>
      <c r="G452" s="89">
        <f t="shared" ca="1" si="20"/>
        <v>1.4523819587613886E-4</v>
      </c>
    </row>
    <row r="453" spans="1:7" x14ac:dyDescent="0.35">
      <c r="A453" s="84">
        <v>438</v>
      </c>
      <c r="B453" s="84">
        <f t="shared" ca="1" si="18"/>
        <v>0.27866309265901446</v>
      </c>
      <c r="C453" s="84">
        <f t="shared" ca="1" si="18"/>
        <v>0.60941581822842472</v>
      </c>
      <c r="D453" s="93" cm="1">
        <f t="array" aca="1" ref="D453" ca="1">_xlfn.SWITCH($B$4,"Normal MLE",EXP(_xlfn.NORM.INV(B453,LN($C$9),$E$9/$C$9)),"Uniforme",$B$9+($D$9-$B$9)*B453,"Triangular",IF(B453&lt;=($C$9-$B$9)/($D$9-$B$9),$B$9+SQRT(B453*($D$9-$B$9)*($C$9-$B$9)),$D$9-SQRT((1-B453)*($D$9-$B$9)*($D$9-$C$9))),"PERT",_xlfn.BETA.INV(B453,1+$B$6*($C$9-$B$9)/($D$9-$B$9),1+$B$6*($D$9-$C$9)/($D$9-$B$9),$B$9,$D$9))</f>
        <v>1.8688315172438787</v>
      </c>
      <c r="E453" s="94" cm="1">
        <f t="array" aca="1" ref="E453" ca="1">_xlfn.SWITCH($B$4,"Normal MLE",EXP(_xlfn.NORM.INV(C453,LN($C$10),$E$10/$C$10)),"Uniforme",$B$10+($D$10-$B$10)*C453,"Triangular",IF(C453&lt;=($C$10-$B$10)/($D$10-$B$10),$B$10+SQRT(C453*($D$10-$B$10)*($C$10-$B$10)),$D$10-SQRT((1-C453)*($D$10-$B$10)*($D$10-$C$10))),"PERT",_xlfn.BETA.INV(C453,1+$B$6*($C$10-$B$10)/($D$10-$B$10),1+$B$6*($D$10-$C$10)/($D$10-$B$10),$B$10,$D$10))</f>
        <v>5166.12913737913</v>
      </c>
      <c r="F453" s="88">
        <f t="shared" ca="1" si="19"/>
        <v>0.53796648852231244</v>
      </c>
      <c r="G453" s="89">
        <f t="shared" ca="1" si="20"/>
        <v>1.5582185041229649E-4</v>
      </c>
    </row>
    <row r="454" spans="1:7" x14ac:dyDescent="0.35">
      <c r="A454" s="84">
        <v>439</v>
      </c>
      <c r="B454" s="84">
        <f t="shared" ca="1" si="18"/>
        <v>0.33828590914190082</v>
      </c>
      <c r="C454" s="84">
        <f t="shared" ca="1" si="18"/>
        <v>0.5184093350274398</v>
      </c>
      <c r="D454" s="93" cm="1">
        <f t="array" aca="1" ref="D454" ca="1">_xlfn.SWITCH($B$4,"Normal MLE",EXP(_xlfn.NORM.INV(B454,LN($C$9),$E$9/$C$9)),"Uniforme",$B$9+($D$9-$B$9)*B454,"Triangular",IF(B454&lt;=($C$9-$B$9)/($D$9-$B$9),$B$9+SQRT(B454*($D$9-$B$9)*($C$9-$B$9)),$D$9-SQRT((1-B454)*($D$9-$B$9)*($D$9-$C$9))),"PERT",_xlfn.BETA.INV(B454,1+$B$6*($C$9-$B$9)/($D$9-$B$9),1+$B$6*($D$9-$C$9)/($D$9-$B$9),$B$9,$D$9))</f>
        <v>1.8912946332239422</v>
      </c>
      <c r="E454" s="94" cm="1">
        <f t="array" aca="1" ref="E454" ca="1">_xlfn.SWITCH($B$4,"Normal MLE",EXP(_xlfn.NORM.INV(C454,LN($C$10),$E$10/$C$10)),"Uniforme",$B$10+($D$10-$B$10)*C454,"Triangular",IF(C454&lt;=($C$10-$B$10)/($D$10-$B$10),$B$10+SQRT(C454*($D$10-$B$10)*($C$10-$B$10)),$D$10-SQRT((1-C454)*($D$10-$B$10)*($D$10-$C$10))),"PERT",_xlfn.BETA.INV(C454,1+$B$6*($C$10-$B$10)/($D$10-$B$10),1+$B$6*($D$10-$C$10)/($D$10-$B$10),$B$10,$D$10))</f>
        <v>5110.7426089902947</v>
      </c>
      <c r="F454" s="88">
        <f t="shared" ca="1" si="19"/>
        <v>0.53307046842111938</v>
      </c>
      <c r="G454" s="89">
        <f t="shared" ca="1" si="20"/>
        <v>1.5856402032618421E-4</v>
      </c>
    </row>
    <row r="455" spans="1:7" x14ac:dyDescent="0.35">
      <c r="A455" s="84">
        <v>440</v>
      </c>
      <c r="B455" s="84">
        <f t="shared" ca="1" si="18"/>
        <v>0.16005420951796667</v>
      </c>
      <c r="C455" s="84">
        <f t="shared" ca="1" si="18"/>
        <v>0.9721276609837336</v>
      </c>
      <c r="D455" s="93" cm="1">
        <f t="array" aca="1" ref="D455" ca="1">_xlfn.SWITCH($B$4,"Normal MLE",EXP(_xlfn.NORM.INV(B455,LN($C$9),$E$9/$C$9)),"Uniforme",$B$9+($D$9-$B$9)*B455,"Triangular",IF(B455&lt;=($C$9-$B$9)/($D$9-$B$9),$B$9+SQRT(B455*($D$9-$B$9)*($C$9-$B$9)),$D$9-SQRT((1-B455)*($D$9-$B$9)*($D$9-$C$9))),"PERT",_xlfn.BETA.INV(B455,1+$B$6*($C$9-$B$9)/($D$9-$B$9),1+$B$6*($D$9-$C$9)/($D$9-$B$9),$B$9,$D$9))</f>
        <v>1.8159763453373172</v>
      </c>
      <c r="E455" s="94" cm="1">
        <f t="array" aca="1" ref="E455" ca="1">_xlfn.SWITCH($B$4,"Normal MLE",EXP(_xlfn.NORM.INV(C455,LN($C$10),$E$10/$C$10)),"Uniforme",$B$10+($D$10-$B$10)*C455,"Triangular",IF(C455&lt;=($C$10-$B$10)/($D$10-$B$10),$B$10+SQRT(C455*($D$10-$B$10)*($C$10-$B$10)),$D$10-SQRT((1-C455)*($D$10-$B$10)*($D$10-$C$10))),"PERT",_xlfn.BETA.INV(C455,1+$B$6*($C$10-$B$10)/($D$10-$B$10),1+$B$6*($D$10-$C$10)/($D$10-$B$10),$B$10,$D$10))</f>
        <v>5574.5854338750105</v>
      </c>
      <c r="F455" s="88">
        <f t="shared" ca="1" si="19"/>
        <v>0.57851196267957994</v>
      </c>
      <c r="G455" s="89">
        <f t="shared" ca="1" si="20"/>
        <v>1.4374238829374108E-4</v>
      </c>
    </row>
    <row r="456" spans="1:7" x14ac:dyDescent="0.35">
      <c r="A456" s="84">
        <v>441</v>
      </c>
      <c r="B456" s="84">
        <f t="shared" ca="1" si="18"/>
        <v>0.55837841652394049</v>
      </c>
      <c r="C456" s="84">
        <f t="shared" ca="1" si="18"/>
        <v>0.42306624362377609</v>
      </c>
      <c r="D456" s="93" cm="1">
        <f t="array" aca="1" ref="D456" ca="1">_xlfn.SWITCH($B$4,"Normal MLE",EXP(_xlfn.NORM.INV(B456,LN($C$9),$E$9/$C$9)),"Uniforme",$B$9+($D$9-$B$9)*B456,"Triangular",IF(B456&lt;=($C$9-$B$9)/($D$9-$B$9),$B$9+SQRT(B456*($D$9-$B$9)*($C$9-$B$9)),$D$9-SQRT((1-B456)*($D$9-$B$9)*($D$9-$C$9))),"PERT",_xlfn.BETA.INV(B456,1+$B$6*($C$9-$B$9)/($D$9-$B$9),1+$B$6*($D$9-$C$9)/($D$9-$B$9),$B$9,$D$9))</f>
        <v>1.967922693092012</v>
      </c>
      <c r="E456" s="94" cm="1">
        <f t="array" aca="1" ref="E456" ca="1">_xlfn.SWITCH($B$4,"Normal MLE",EXP(_xlfn.NORM.INV(C456,LN($C$10),$E$10/$C$10)),"Uniforme",$B$10+($D$10-$B$10)*C456,"Triangular",IF(C456&lt;=($C$10-$B$10)/($D$10-$B$10),$B$10+SQRT(C456*($D$10-$B$10)*($C$10-$B$10)),$D$10-SQRT((1-C456)*($D$10-$B$10)*($D$10-$C$10))),"PERT",_xlfn.BETA.INV(C456,1+$B$6*($C$10-$B$10)/($D$10-$B$10),1+$B$6*($D$10-$C$10)/($D$10-$B$10),$B$10,$D$10))</f>
        <v>5053.9311242155791</v>
      </c>
      <c r="F456" s="88">
        <f t="shared" ca="1" si="19"/>
        <v>0.53198985539142662</v>
      </c>
      <c r="G456" s="89">
        <f t="shared" ca="1" si="20"/>
        <v>1.651850763461489E-4</v>
      </c>
    </row>
    <row r="457" spans="1:7" x14ac:dyDescent="0.35">
      <c r="A457" s="84">
        <v>442</v>
      </c>
      <c r="B457" s="84">
        <f t="shared" ca="1" si="18"/>
        <v>0.64784370514186607</v>
      </c>
      <c r="C457" s="84">
        <f t="shared" ca="1" si="18"/>
        <v>0.7667070453436533</v>
      </c>
      <c r="D457" s="93" cm="1">
        <f t="array" aca="1" ref="D457" ca="1">_xlfn.SWITCH($B$4,"Normal MLE",EXP(_xlfn.NORM.INV(B457,LN($C$9),$E$9/$C$9)),"Uniforme",$B$9+($D$9-$B$9)*B457,"Triangular",IF(B457&lt;=($C$9-$B$9)/($D$9-$B$9),$B$9+SQRT(B457*($D$9-$B$9)*($C$9-$B$9)),$D$9-SQRT((1-B457)*($D$9-$B$9)*($D$9-$C$9))),"PERT",_xlfn.BETA.INV(B457,1+$B$6*($C$9-$B$9)/($D$9-$B$9),1+$B$6*($D$9-$C$9)/($D$9-$B$9),$B$9,$D$9))</f>
        <v>2.0004283660729265</v>
      </c>
      <c r="E457" s="94" cm="1">
        <f t="array" aca="1" ref="E457" ca="1">_xlfn.SWITCH($B$4,"Normal MLE",EXP(_xlfn.NORM.INV(C457,LN($C$10),$E$10/$C$10)),"Uniforme",$B$10+($D$10-$B$10)*C457,"Triangular",IF(C457&lt;=($C$10-$B$10)/($D$10-$B$10),$B$10+SQRT(C457*($D$10-$B$10)*($C$10-$B$10)),$D$10-SQRT((1-C457)*($D$10-$B$10)*($D$10-$C$10))),"PERT",_xlfn.BETA.INV(C457,1+$B$6*($C$10-$B$10)/($D$10-$B$10),1+$B$6*($D$10-$C$10)/($D$10-$B$10),$B$10,$D$10))</f>
        <v>5275.5117393629316</v>
      </c>
      <c r="F457" s="88">
        <f t="shared" ca="1" si="19"/>
        <v>0.56280062771711559</v>
      </c>
      <c r="G457" s="89">
        <f t="shared" ca="1" si="20"/>
        <v>1.6179194260888154E-4</v>
      </c>
    </row>
    <row r="458" spans="1:7" x14ac:dyDescent="0.35">
      <c r="A458" s="84">
        <v>443</v>
      </c>
      <c r="B458" s="84">
        <f t="shared" ca="1" si="18"/>
        <v>0.22176826210948608</v>
      </c>
      <c r="C458" s="84">
        <f t="shared" ca="1" si="18"/>
        <v>0.45649295417438307</v>
      </c>
      <c r="D458" s="93" cm="1">
        <f t="array" aca="1" ref="D458" ca="1">_xlfn.SWITCH($B$4,"Normal MLE",EXP(_xlfn.NORM.INV(B458,LN($C$9),$E$9/$C$9)),"Uniforme",$B$9+($D$9-$B$9)*B458,"Triangular",IF(B458&lt;=($C$9-$B$9)/($D$9-$B$9),$B$9+SQRT(B458*($D$9-$B$9)*($C$9-$B$9)),$D$9-SQRT((1-B458)*($D$9-$B$9)*($D$9-$C$9))),"PERT",_xlfn.BETA.INV(B458,1+$B$6*($C$9-$B$9)/($D$9-$B$9),1+$B$6*($D$9-$C$9)/($D$9-$B$9),$B$9,$D$9))</f>
        <v>1.8453683530754019</v>
      </c>
      <c r="E458" s="94" cm="1">
        <f t="array" aca="1" ref="E458" ca="1">_xlfn.SWITCH($B$4,"Normal MLE",EXP(_xlfn.NORM.INV(C458,LN($C$10),$E$10/$C$10)),"Uniforme",$B$10+($D$10-$B$10)*C458,"Triangular",IF(C458&lt;=($C$10-$B$10)/($D$10-$B$10),$B$10+SQRT(C458*($D$10-$B$10)*($C$10-$B$10)),$D$10-SQRT((1-C458)*($D$10-$B$10)*($D$10-$C$10))),"PERT",_xlfn.BETA.INV(C458,1+$B$6*($C$10-$B$10)/($D$10-$B$10),1+$B$6*($D$10-$C$10)/($D$10-$B$10),$B$10,$D$10))</f>
        <v>5073.9097194647884</v>
      </c>
      <c r="F458" s="88">
        <f t="shared" ca="1" si="19"/>
        <v>0.52478286207490454</v>
      </c>
      <c r="G458" s="89">
        <f t="shared" ca="1" si="20"/>
        <v>1.5610183682307588E-4</v>
      </c>
    </row>
    <row r="459" spans="1:7" x14ac:dyDescent="0.35">
      <c r="A459" s="84">
        <v>444</v>
      </c>
      <c r="B459" s="84">
        <f t="shared" ca="1" si="18"/>
        <v>0.30198690370163561</v>
      </c>
      <c r="C459" s="84">
        <f t="shared" ca="1" si="18"/>
        <v>0.43858821465746189</v>
      </c>
      <c r="D459" s="93" cm="1">
        <f t="array" aca="1" ref="D459" ca="1">_xlfn.SWITCH($B$4,"Normal MLE",EXP(_xlfn.NORM.INV(B459,LN($C$9),$E$9/$C$9)),"Uniforme",$B$9+($D$9-$B$9)*B459,"Triangular",IF(B459&lt;=($C$9-$B$9)/($D$9-$B$9),$B$9+SQRT(B459*($D$9-$B$9)*($C$9-$B$9)),$D$9-SQRT((1-B459)*($D$9-$B$9)*($D$9-$C$9))),"PERT",_xlfn.BETA.INV(B459,1+$B$6*($C$9-$B$9)/($D$9-$B$9),1+$B$6*($D$9-$C$9)/($D$9-$B$9),$B$9,$D$9))</f>
        <v>1.877818208529541</v>
      </c>
      <c r="E459" s="94" cm="1">
        <f t="array" aca="1" ref="E459" ca="1">_xlfn.SWITCH($B$4,"Normal MLE",EXP(_xlfn.NORM.INV(C459,LN($C$10),$E$10/$C$10)),"Uniforme",$B$10+($D$10-$B$10)*C459,"Triangular",IF(C459&lt;=($C$10-$B$10)/($D$10-$B$10),$B$10+SQRT(C459*($D$10-$B$10)*($C$10-$B$10)),$D$10-SQRT((1-C459)*($D$10-$B$10)*($D$10-$C$10))),"PERT",_xlfn.BETA.INV(C459,1+$B$6*($C$10-$B$10)/($D$10-$B$10),1+$B$6*($D$10-$C$10)/($D$10-$B$10),$B$10,$D$10))</f>
        <v>5063.2307005266566</v>
      </c>
      <c r="F459" s="88">
        <f t="shared" ca="1" si="19"/>
        <v>0.52605451277605653</v>
      </c>
      <c r="G459" s="89">
        <f t="shared" ca="1" si="20"/>
        <v>1.5863401922061083E-4</v>
      </c>
    </row>
    <row r="460" spans="1:7" x14ac:dyDescent="0.35">
      <c r="A460" s="84">
        <v>445</v>
      </c>
      <c r="B460" s="84">
        <f t="shared" ca="1" si="18"/>
        <v>0.42151040537031359</v>
      </c>
      <c r="C460" s="84">
        <f t="shared" ca="1" si="18"/>
        <v>0.4111210768427086</v>
      </c>
      <c r="D460" s="93" cm="1">
        <f t="array" aca="1" ref="D460" ca="1">_xlfn.SWITCH($B$4,"Normal MLE",EXP(_xlfn.NORM.INV(B460,LN($C$9),$E$9/$C$9)),"Uniforme",$B$9+($D$9-$B$9)*B460,"Triangular",IF(B460&lt;=($C$9-$B$9)/($D$9-$B$9),$B$9+SQRT(B460*($D$9-$B$9)*($C$9-$B$9)),$D$9-SQRT((1-B460)*($D$9-$B$9)*($D$9-$C$9))),"PERT",_xlfn.BETA.INV(B460,1+$B$6*($C$9-$B$9)/($D$9-$B$9),1+$B$6*($D$9-$C$9)/($D$9-$B$9),$B$9,$D$9))</f>
        <v>1.9207035093670899</v>
      </c>
      <c r="E460" s="94" cm="1">
        <f t="array" aca="1" ref="E460" ca="1">_xlfn.SWITCH($B$4,"Normal MLE",EXP(_xlfn.NORM.INV(C460,LN($C$10),$E$10/$C$10)),"Uniforme",$B$10+($D$10-$B$10)*C460,"Triangular",IF(C460&lt;=($C$10-$B$10)/($D$10-$B$10),$B$10+SQRT(C460*($D$10-$B$10)*($C$10-$B$10)),$D$10-SQRT((1-C460)*($D$10-$B$10)*($D$10-$C$10))),"PERT",_xlfn.BETA.INV(C460,1+$B$6*($C$10-$B$10)/($D$10-$B$10),1+$B$6*($D$10-$C$10)/($D$10-$B$10),$B$10,$D$10))</f>
        <v>5046.7381349664738</v>
      </c>
      <c r="F460" s="88">
        <f t="shared" ca="1" si="19"/>
        <v>0.52735185855845224</v>
      </c>
      <c r="G460" s="89">
        <f t="shared" ca="1" si="20"/>
        <v>1.6203330983579015E-4</v>
      </c>
    </row>
    <row r="461" spans="1:7" x14ac:dyDescent="0.35">
      <c r="A461" s="84">
        <v>446</v>
      </c>
      <c r="B461" s="84">
        <f t="shared" ca="1" si="18"/>
        <v>0.50205055822781919</v>
      </c>
      <c r="C461" s="84">
        <f t="shared" ca="1" si="18"/>
        <v>0.78865127218988029</v>
      </c>
      <c r="D461" s="93" cm="1">
        <f t="array" aca="1" ref="D461" ca="1">_xlfn.SWITCH($B$4,"Normal MLE",EXP(_xlfn.NORM.INV(B461,LN($C$9),$E$9/$C$9)),"Uniforme",$B$9+($D$9-$B$9)*B461,"Triangular",IF(B461&lt;=($C$9-$B$9)/($D$9-$B$9),$B$9+SQRT(B461*($D$9-$B$9)*($C$9-$B$9)),$D$9-SQRT((1-B461)*($D$9-$B$9)*($D$9-$C$9))),"PERT",_xlfn.BETA.INV(B461,1+$B$6*($C$9-$B$9)/($D$9-$B$9),1+$B$6*($D$9-$C$9)/($D$9-$B$9),$B$9,$D$9))</f>
        <v>1.9483809114050015</v>
      </c>
      <c r="E461" s="94" cm="1">
        <f t="array" aca="1" ref="E461" ca="1">_xlfn.SWITCH($B$4,"Normal MLE",EXP(_xlfn.NORM.INV(C461,LN($C$10),$E$10/$C$10)),"Uniforme",$B$10+($D$10-$B$10)*C461,"Triangular",IF(C461&lt;=($C$10-$B$10)/($D$10-$B$10),$B$10+SQRT(C461*($D$10-$B$10)*($C$10-$B$10)),$D$10-SQRT((1-C461)*($D$10-$B$10)*($D$10-$C$10))),"PERT",_xlfn.BETA.INV(C461,1+$B$6*($C$10-$B$10)/($D$10-$B$10),1+$B$6*($D$10-$C$10)/($D$10-$B$10),$B$10,$D$10))</f>
        <v>5293.6368128334752</v>
      </c>
      <c r="F461" s="88">
        <f t="shared" ca="1" si="19"/>
        <v>0.56029797223850997</v>
      </c>
      <c r="G461" s="89">
        <f t="shared" ca="1" si="20"/>
        <v>1.5809799624183978E-4</v>
      </c>
    </row>
    <row r="462" spans="1:7" x14ac:dyDescent="0.35">
      <c r="A462" s="84">
        <v>447</v>
      </c>
      <c r="B462" s="84">
        <f t="shared" ca="1" si="18"/>
        <v>0.47190794531214553</v>
      </c>
      <c r="C462" s="84">
        <f t="shared" ca="1" si="18"/>
        <v>0.54316623681092679</v>
      </c>
      <c r="D462" s="93" cm="1">
        <f t="array" aca="1" ref="D462" ca="1">_xlfn.SWITCH($B$4,"Normal MLE",EXP(_xlfn.NORM.INV(B462,LN($C$9),$E$9/$C$9)),"Uniforme",$B$9+($D$9-$B$9)*B462,"Triangular",IF(B462&lt;=($C$9-$B$9)/($D$9-$B$9),$B$9+SQRT(B462*($D$9-$B$9)*($C$9-$B$9)),$D$9-SQRT((1-B462)*($D$9-$B$9)*($D$9-$C$9))),"PERT",_xlfn.BETA.INV(B462,1+$B$6*($C$9-$B$9)/($D$9-$B$9),1+$B$6*($D$9-$C$9)/($D$9-$B$9),$B$9,$D$9))</f>
        <v>1.9380338550886784</v>
      </c>
      <c r="E462" s="94" cm="1">
        <f t="array" aca="1" ref="E462" ca="1">_xlfn.SWITCH($B$4,"Normal MLE",EXP(_xlfn.NORM.INV(C462,LN($C$10),$E$10/$C$10)),"Uniforme",$B$10+($D$10-$B$10)*C462,"Triangular",IF(C462&lt;=($C$10-$B$10)/($D$10-$B$10),$B$10+SQRT(C462*($D$10-$B$10)*($C$10-$B$10)),$D$10-SQRT((1-C462)*($D$10-$B$10)*($D$10-$C$10))),"PERT",_xlfn.BETA.INV(C462,1+$B$6*($C$10-$B$10)/($D$10-$B$10),1+$B$6*($D$10-$C$10)/($D$10-$B$10),$B$10,$D$10))</f>
        <v>5125.5691352131198</v>
      </c>
      <c r="F462" s="88">
        <f t="shared" ca="1" si="19"/>
        <v>0.53877595018829294</v>
      </c>
      <c r="G462" s="89">
        <f t="shared" ca="1" si="20"/>
        <v>1.6144254882939285E-4</v>
      </c>
    </row>
    <row r="463" spans="1:7" x14ac:dyDescent="0.35">
      <c r="A463" s="84">
        <v>448</v>
      </c>
      <c r="B463" s="84">
        <f t="shared" ca="1" si="18"/>
        <v>0.41130284961631802</v>
      </c>
      <c r="C463" s="84">
        <f t="shared" ca="1" si="18"/>
        <v>0.95099109907681789</v>
      </c>
      <c r="D463" s="93" cm="1">
        <f t="array" aca="1" ref="D463" ca="1">_xlfn.SWITCH($B$4,"Normal MLE",EXP(_xlfn.NORM.INV(B463,LN($C$9),$E$9/$C$9)),"Uniforme",$B$9+($D$9-$B$9)*B463,"Triangular",IF(B463&lt;=($C$9-$B$9)/($D$9-$B$9),$B$9+SQRT(B463*($D$9-$B$9)*($C$9-$B$9)),$D$9-SQRT((1-B463)*($D$9-$B$9)*($D$9-$C$9))),"PERT",_xlfn.BETA.INV(B463,1+$B$6*($C$9-$B$9)/($D$9-$B$9),1+$B$6*($D$9-$C$9)/($D$9-$B$9),$B$9,$D$9))</f>
        <v>1.9171679788802176</v>
      </c>
      <c r="E463" s="94" cm="1">
        <f t="array" aca="1" ref="E463" ca="1">_xlfn.SWITCH($B$4,"Normal MLE",EXP(_xlfn.NORM.INV(C463,LN($C$10),$E$10/$C$10)),"Uniforme",$B$10+($D$10-$B$10)*C463,"Triangular",IF(C463&lt;=($C$10-$B$10)/($D$10-$B$10),$B$10+SQRT(C463*($D$10-$B$10)*($C$10-$B$10)),$D$10-SQRT((1-C463)*($D$10-$B$10)*($D$10-$C$10))),"PERT",_xlfn.BETA.INV(C463,1+$B$6*($C$10-$B$10)/($D$10-$B$10),1+$B$6*($D$10-$C$10)/($D$10-$B$10),$B$10,$D$10))</f>
        <v>5507.9333545002601</v>
      </c>
      <c r="F463" s="88">
        <f t="shared" ca="1" si="19"/>
        <v>0.58183712144783351</v>
      </c>
      <c r="G463" s="89">
        <f t="shared" ca="1" si="20"/>
        <v>1.5102608844309254E-4</v>
      </c>
    </row>
    <row r="464" spans="1:7" x14ac:dyDescent="0.35">
      <c r="A464" s="84">
        <v>449</v>
      </c>
      <c r="B464" s="84">
        <f t="shared" ca="1" si="18"/>
        <v>0.45239805975239622</v>
      </c>
      <c r="C464" s="84">
        <f t="shared" ca="1" si="18"/>
        <v>0.39741751461538055</v>
      </c>
      <c r="D464" s="93" cm="1">
        <f t="array" aca="1" ref="D464" ca="1">_xlfn.SWITCH($B$4,"Normal MLE",EXP(_xlfn.NORM.INV(B464,LN($C$9),$E$9/$C$9)),"Uniforme",$B$9+($D$9-$B$9)*B464,"Triangular",IF(B464&lt;=($C$9-$B$9)/($D$9-$B$9),$B$9+SQRT(B464*($D$9-$B$9)*($C$9-$B$9)),$D$9-SQRT((1-B464)*($D$9-$B$9)*($D$9-$C$9))),"PERT",_xlfn.BETA.INV(B464,1+$B$6*($C$9-$B$9)/($D$9-$B$9),1+$B$6*($D$9-$C$9)/($D$9-$B$9),$B$9,$D$9))</f>
        <v>1.931340368096484</v>
      </c>
      <c r="E464" s="94" cm="1">
        <f t="array" aca="1" ref="E464" ca="1">_xlfn.SWITCH($B$4,"Normal MLE",EXP(_xlfn.NORM.INV(C464,LN($C$10),$E$10/$C$10)),"Uniforme",$B$10+($D$10-$B$10)*C464,"Triangular",IF(C464&lt;=($C$10-$B$10)/($D$10-$B$10),$B$10+SQRT(C464*($D$10-$B$10)*($C$10-$B$10)),$D$10-SQRT((1-C464)*($D$10-$B$10)*($D$10-$C$10))),"PERT",_xlfn.BETA.INV(C464,1+$B$6*($C$10-$B$10)/($D$10-$B$10),1+$B$6*($D$10-$C$10)/($D$10-$B$10),$B$10,$D$10))</f>
        <v>5038.4372376084739</v>
      </c>
      <c r="F464" s="88">
        <f t="shared" ca="1" si="19"/>
        <v>0.52711332877056649</v>
      </c>
      <c r="G464" s="89">
        <f t="shared" ca="1" si="20"/>
        <v>1.6297209886192445E-4</v>
      </c>
    </row>
    <row r="465" spans="1:7" x14ac:dyDescent="0.35">
      <c r="A465" s="84">
        <v>450</v>
      </c>
      <c r="B465" s="84">
        <f t="shared" ref="B465:C528" ca="1" si="21">RAND()</f>
        <v>0.54814575254462783</v>
      </c>
      <c r="C465" s="84">
        <f t="shared" ca="1" si="21"/>
        <v>0.63226644096872431</v>
      </c>
      <c r="D465" s="93" cm="1">
        <f t="array" aca="1" ref="D465" ca="1">_xlfn.SWITCH($B$4,"Normal MLE",EXP(_xlfn.NORM.INV(B465,LN($C$9),$E$9/$C$9)),"Uniforme",$B$9+($D$9-$B$9)*B465,"Triangular",IF(B465&lt;=($C$9-$B$9)/($D$9-$B$9),$B$9+SQRT(B465*($D$9-$B$9)*($C$9-$B$9)),$D$9-SQRT((1-B465)*($D$9-$B$9)*($D$9-$C$9))),"PERT",_xlfn.BETA.INV(B465,1+$B$6*($C$9-$B$9)/($D$9-$B$9),1+$B$6*($D$9-$C$9)/($D$9-$B$9),$B$9,$D$9))</f>
        <v>1.9643393365081354</v>
      </c>
      <c r="E465" s="94" cm="1">
        <f t="array" aca="1" ref="E465" ca="1">_xlfn.SWITCH($B$4,"Normal MLE",EXP(_xlfn.NORM.INV(C465,LN($C$10),$E$10/$C$10)),"Uniforme",$B$10+($D$10-$B$10)*C465,"Triangular",IF(C465&lt;=($C$10-$B$10)/($D$10-$B$10),$B$10+SQRT(C465*($D$10-$B$10)*($C$10-$B$10)),$D$10-SQRT((1-C465)*($D$10-$B$10)*($D$10-$C$10))),"PERT",_xlfn.BETA.INV(C465,1+$B$6*($C$10-$B$10)/($D$10-$B$10),1+$B$6*($D$10-$C$10)/($D$10-$B$10),$B$10,$D$10))</f>
        <v>5180.5891687109488</v>
      </c>
      <c r="F465" s="88">
        <f t="shared" ref="F465:F528" ca="1" si="22">EXP(-POWER($B$12/E465,D465))</f>
        <v>0.54788928592601316</v>
      </c>
      <c r="G465" s="89">
        <f t="shared" ref="G465:G528" ca="1" si="23">(D465/E465)*POWER($B$12/E465,D465-1)*EXP(-POWER($B$12/E465,D465))</f>
        <v>1.6188864280236194E-4</v>
      </c>
    </row>
    <row r="466" spans="1:7" x14ac:dyDescent="0.35">
      <c r="A466" s="84">
        <v>451</v>
      </c>
      <c r="B466" s="84">
        <f t="shared" ca="1" si="21"/>
        <v>7.8738310784602583E-2</v>
      </c>
      <c r="C466" s="84">
        <f t="shared" ca="1" si="21"/>
        <v>0.52190353315534754</v>
      </c>
      <c r="D466" s="93" cm="1">
        <f t="array" aca="1" ref="D466" ca="1">_xlfn.SWITCH($B$4,"Normal MLE",EXP(_xlfn.NORM.INV(B466,LN($C$9),$E$9/$C$9)),"Uniforme",$B$9+($D$9-$B$9)*B466,"Triangular",IF(B466&lt;=($C$9-$B$9)/($D$9-$B$9),$B$9+SQRT(B466*($D$9-$B$9)*($C$9-$B$9)),$D$9-SQRT((1-B466)*($D$9-$B$9)*($D$9-$C$9))),"PERT",_xlfn.BETA.INV(B466,1+$B$6*($C$9-$B$9)/($D$9-$B$9),1+$B$6*($D$9-$C$9)/($D$9-$B$9),$B$9,$D$9))</f>
        <v>1.7631308792891729</v>
      </c>
      <c r="E466" s="94" cm="1">
        <f t="array" aca="1" ref="E466" ca="1">_xlfn.SWITCH($B$4,"Normal MLE",EXP(_xlfn.NORM.INV(C466,LN($C$10),$E$10/$C$10)),"Uniforme",$B$10+($D$10-$B$10)*C466,"Triangular",IF(C466&lt;=($C$10-$B$10)/($D$10-$B$10),$B$10+SQRT(C466*($D$10-$B$10)*($C$10-$B$10)),$D$10-SQRT((1-C466)*($D$10-$B$10)*($D$10-$C$10))),"PERT",_xlfn.BETA.INV(C466,1+$B$6*($C$10-$B$10)/($D$10-$B$10),1+$B$6*($D$10-$C$10)/($D$10-$B$10),$B$10,$D$10))</f>
        <v>5112.8287297871275</v>
      </c>
      <c r="F466" s="88">
        <f t="shared" ca="1" si="22"/>
        <v>0.52272164504971386</v>
      </c>
      <c r="G466" s="89">
        <f t="shared" ca="1" si="23"/>
        <v>1.4946623064461225E-4</v>
      </c>
    </row>
    <row r="467" spans="1:7" x14ac:dyDescent="0.35">
      <c r="A467" s="84">
        <v>452</v>
      </c>
      <c r="B467" s="84">
        <f t="shared" ca="1" si="21"/>
        <v>0.46207885135508964</v>
      </c>
      <c r="C467" s="84">
        <f t="shared" ca="1" si="21"/>
        <v>0.19360895108859622</v>
      </c>
      <c r="D467" s="93" cm="1">
        <f t="array" aca="1" ref="D467" ca="1">_xlfn.SWITCH($B$4,"Normal MLE",EXP(_xlfn.NORM.INV(B467,LN($C$9),$E$9/$C$9)),"Uniforme",$B$9+($D$9-$B$9)*B467,"Triangular",IF(B467&lt;=($C$9-$B$9)/($D$9-$B$9),$B$9+SQRT(B467*($D$9-$B$9)*($C$9-$B$9)),$D$9-SQRT((1-B467)*($D$9-$B$9)*($D$9-$C$9))),"PERT",_xlfn.BETA.INV(B467,1+$B$6*($C$9-$B$9)/($D$9-$B$9),1+$B$6*($D$9-$C$9)/($D$9-$B$9),$B$9,$D$9))</f>
        <v>1.9346626856465967</v>
      </c>
      <c r="E467" s="94" cm="1">
        <f t="array" aca="1" ref="E467" ca="1">_xlfn.SWITCH($B$4,"Normal MLE",EXP(_xlfn.NORM.INV(C467,LN($C$10),$E$10/$C$10)),"Uniforme",$B$10+($D$10-$B$10)*C467,"Triangular",IF(C467&lt;=($C$10-$B$10)/($D$10-$B$10),$B$10+SQRT(C467*($D$10-$B$10)*($C$10-$B$10)),$D$10-SQRT((1-C467)*($D$10-$B$10)*($D$10-$C$10))),"PERT",_xlfn.BETA.INV(C467,1+$B$6*($C$10-$B$10)/($D$10-$B$10),1+$B$6*($D$10-$C$10)/($D$10-$B$10),$B$10,$D$10))</f>
        <v>4898.6498646159416</v>
      </c>
      <c r="F467" s="88">
        <f t="shared" ca="1" si="22"/>
        <v>0.50882861677446811</v>
      </c>
      <c r="G467" s="89">
        <f t="shared" ca="1" si="23"/>
        <v>1.6627797724408055E-4</v>
      </c>
    </row>
    <row r="468" spans="1:7" x14ac:dyDescent="0.35">
      <c r="A468" s="84">
        <v>453</v>
      </c>
      <c r="B468" s="84">
        <f t="shared" ca="1" si="21"/>
        <v>0.92267147059657861</v>
      </c>
      <c r="C468" s="84">
        <f t="shared" ca="1" si="21"/>
        <v>0.2686072277341085</v>
      </c>
      <c r="D468" s="93" cm="1">
        <f t="array" aca="1" ref="D468" ca="1">_xlfn.SWITCH($B$4,"Normal MLE",EXP(_xlfn.NORM.INV(B468,LN($C$9),$E$9/$C$9)),"Uniforme",$B$9+($D$9-$B$9)*B468,"Triangular",IF(B468&lt;=($C$9-$B$9)/($D$9-$B$9),$B$9+SQRT(B468*($D$9-$B$9)*($C$9-$B$9)),$D$9-SQRT((1-B468)*($D$9-$B$9)*($D$9-$C$9))),"PERT",_xlfn.BETA.INV(B468,1+$B$6*($C$9-$B$9)/($D$9-$B$9),1+$B$6*($D$9-$C$9)/($D$9-$B$9),$B$9,$D$9))</f>
        <v>2.1530014675273534</v>
      </c>
      <c r="E468" s="94" cm="1">
        <f t="array" aca="1" ref="E468" ca="1">_xlfn.SWITCH($B$4,"Normal MLE",EXP(_xlfn.NORM.INV(C468,LN($C$10),$E$10/$C$10)),"Uniforme",$B$10+($D$10-$B$10)*C468,"Triangular",IF(C468&lt;=($C$10-$B$10)/($D$10-$B$10),$B$10+SQRT(C468*($D$10-$B$10)*($C$10-$B$10)),$D$10-SQRT((1-C468)*($D$10-$B$10)*($D$10-$C$10))),"PERT",_xlfn.BETA.INV(C468,1+$B$6*($C$10-$B$10)/($D$10-$B$10),1+$B$6*($D$10-$C$10)/($D$10-$B$10),$B$10,$D$10))</f>
        <v>4955.42790163879</v>
      </c>
      <c r="F468" s="88">
        <f t="shared" ca="1" si="22"/>
        <v>0.53229450955901259</v>
      </c>
      <c r="G468" s="89">
        <f t="shared" ca="1" si="23"/>
        <v>1.806598330493439E-4</v>
      </c>
    </row>
    <row r="469" spans="1:7" x14ac:dyDescent="0.35">
      <c r="A469" s="84">
        <v>454</v>
      </c>
      <c r="B469" s="84">
        <f t="shared" ca="1" si="21"/>
        <v>0.82024548880487069</v>
      </c>
      <c r="C469" s="84">
        <f t="shared" ca="1" si="21"/>
        <v>0.93014497634875704</v>
      </c>
      <c r="D469" s="93" cm="1">
        <f t="array" aca="1" ref="D469" ca="1">_xlfn.SWITCH($B$4,"Normal MLE",EXP(_xlfn.NORM.INV(B469,LN($C$9),$E$9/$C$9)),"Uniforme",$B$9+($D$9-$B$9)*B469,"Triangular",IF(B469&lt;=($C$9-$B$9)/($D$9-$B$9),$B$9+SQRT(B469*($D$9-$B$9)*($C$9-$B$9)),$D$9-SQRT((1-B469)*($D$9-$B$9)*($D$9-$C$9))),"PERT",_xlfn.BETA.INV(B469,1+$B$6*($C$9-$B$9)/($D$9-$B$9),1+$B$6*($D$9-$C$9)/($D$9-$B$9),$B$9,$D$9))</f>
        <v>2.0774936838293012</v>
      </c>
      <c r="E469" s="94" cm="1">
        <f t="array" aca="1" ref="E469" ca="1">_xlfn.SWITCH($B$4,"Normal MLE",EXP(_xlfn.NORM.INV(C469,LN($C$10),$E$10/$C$10)),"Uniforme",$B$10+($D$10-$B$10)*C469,"Triangular",IF(C469&lt;=($C$10-$B$10)/($D$10-$B$10),$B$10+SQRT(C469*($D$10-$B$10)*($C$10-$B$10)),$D$10-SQRT((1-C469)*($D$10-$B$10)*($D$10-$C$10))),"PERT",_xlfn.BETA.INV(C469,1+$B$6*($C$10-$B$10)/($D$10-$B$10),1+$B$6*($D$10-$C$10)/($D$10-$B$10),$B$10,$D$10))</f>
        <v>5462.5832430891733</v>
      </c>
      <c r="F469" s="88">
        <f t="shared" ca="1" si="22"/>
        <v>0.5925009810922286</v>
      </c>
      <c r="G469" s="89">
        <f t="shared" ca="1" si="23"/>
        <v>1.6106634174675196E-4</v>
      </c>
    </row>
    <row r="470" spans="1:7" x14ac:dyDescent="0.35">
      <c r="A470" s="84">
        <v>455</v>
      </c>
      <c r="B470" s="84">
        <f t="shared" ca="1" si="21"/>
        <v>0.84851279725932505</v>
      </c>
      <c r="C470" s="84">
        <f t="shared" ca="1" si="21"/>
        <v>5.2209143641737121E-3</v>
      </c>
      <c r="D470" s="93" cm="1">
        <f t="array" aca="1" ref="D470" ca="1">_xlfn.SWITCH($B$4,"Normal MLE",EXP(_xlfn.NORM.INV(B470,LN($C$9),$E$9/$C$9)),"Uniforme",$B$9+($D$9-$B$9)*B470,"Triangular",IF(B470&lt;=($C$9-$B$9)/($D$9-$B$9),$B$9+SQRT(B470*($D$9-$B$9)*($C$9-$B$9)),$D$9-SQRT((1-B470)*($D$9-$B$9)*($D$9-$C$9))),"PERT",_xlfn.BETA.INV(B470,1+$B$6*($C$9-$B$9)/($D$9-$B$9),1+$B$6*($D$9-$C$9)/($D$9-$B$9),$B$9,$D$9))</f>
        <v>2.0942053408049208</v>
      </c>
      <c r="E470" s="94" cm="1">
        <f t="array" aca="1" ref="E470" ca="1">_xlfn.SWITCH($B$4,"Normal MLE",EXP(_xlfn.NORM.INV(C470,LN($C$10),$E$10/$C$10)),"Uniforme",$B$10+($D$10-$B$10)*C470,"Triangular",IF(C470&lt;=($C$10-$B$10)/($D$10-$B$10),$B$10+SQRT(C470*($D$10-$B$10)*($C$10-$B$10)),$D$10-SQRT((1-C470)*($D$10-$B$10)*($D$10-$C$10))),"PERT",_xlfn.BETA.INV(C470,1+$B$6*($C$10-$B$10)/($D$10-$B$10),1+$B$6*($D$10-$C$10)/($D$10-$B$10),$B$10,$D$10))</f>
        <v>4526.8645332710557</v>
      </c>
      <c r="F470" s="88">
        <f t="shared" ca="1" si="22"/>
        <v>0.462215013038213</v>
      </c>
      <c r="G470" s="89">
        <f t="shared" ca="1" si="23"/>
        <v>1.8675229377841166E-4</v>
      </c>
    </row>
    <row r="471" spans="1:7" x14ac:dyDescent="0.35">
      <c r="A471" s="84">
        <v>456</v>
      </c>
      <c r="B471" s="84">
        <f t="shared" ca="1" si="21"/>
        <v>0.16053440223146809</v>
      </c>
      <c r="C471" s="84">
        <f t="shared" ca="1" si="21"/>
        <v>0.88609061739280182</v>
      </c>
      <c r="D471" s="93" cm="1">
        <f t="array" aca="1" ref="D471" ca="1">_xlfn.SWITCH($B$4,"Normal MLE",EXP(_xlfn.NORM.INV(B471,LN($C$9),$E$9/$C$9)),"Uniforme",$B$9+($D$9-$B$9)*B471,"Triangular",IF(B471&lt;=($C$9-$B$9)/($D$9-$B$9),$B$9+SQRT(B471*($D$9-$B$9)*($C$9-$B$9)),$D$9-SQRT((1-B471)*($D$9-$B$9)*($D$9-$C$9))),"PERT",_xlfn.BETA.INV(B471,1+$B$6*($C$9-$B$9)/($D$9-$B$9),1+$B$6*($D$9-$C$9)/($D$9-$B$9),$B$9,$D$9))</f>
        <v>1.8162284402317301</v>
      </c>
      <c r="E471" s="94" cm="1">
        <f t="array" aca="1" ref="E471" ca="1">_xlfn.SWITCH($B$4,"Normal MLE",EXP(_xlfn.NORM.INV(C471,LN($C$10),$E$10/$C$10)),"Uniforme",$B$10+($D$10-$B$10)*C471,"Triangular",IF(C471&lt;=($C$10-$B$10)/($D$10-$B$10),$B$10+SQRT(C471*($D$10-$B$10)*($C$10-$B$10)),$D$10-SQRT((1-C471)*($D$10-$B$10)*($D$10-$C$10))),"PERT",_xlfn.BETA.INV(C471,1+$B$6*($C$10-$B$10)/($D$10-$B$10),1+$B$6*($D$10-$C$10)/($D$10-$B$10),$B$10,$D$10))</f>
        <v>5394.159658717479</v>
      </c>
      <c r="F471" s="88">
        <f t="shared" ca="1" si="22"/>
        <v>0.55936753338678369</v>
      </c>
      <c r="G471" s="89">
        <f t="shared" ca="1" si="23"/>
        <v>1.4755210157317892E-4</v>
      </c>
    </row>
    <row r="472" spans="1:7" x14ac:dyDescent="0.35">
      <c r="A472" s="84">
        <v>457</v>
      </c>
      <c r="B472" s="84">
        <f t="shared" ca="1" si="21"/>
        <v>0.46774925554836144</v>
      </c>
      <c r="C472" s="84">
        <f t="shared" ca="1" si="21"/>
        <v>0.98781588847765034</v>
      </c>
      <c r="D472" s="93" cm="1">
        <f t="array" aca="1" ref="D472" ca="1">_xlfn.SWITCH($B$4,"Normal MLE",EXP(_xlfn.NORM.INV(B472,LN($C$9),$E$9/$C$9)),"Uniforme",$B$9+($D$9-$B$9)*B472,"Triangular",IF(B472&lt;=($C$9-$B$9)/($D$9-$B$9),$B$9+SQRT(B472*($D$9-$B$9)*($C$9-$B$9)),$D$9-SQRT((1-B472)*($D$9-$B$9)*($D$9-$C$9))),"PERT",_xlfn.BETA.INV(B472,1+$B$6*($C$9-$B$9)/($D$9-$B$9),1+$B$6*($D$9-$C$9)/($D$9-$B$9),$B$9,$D$9))</f>
        <v>1.9366076330757047</v>
      </c>
      <c r="E472" s="94" cm="1">
        <f t="array" aca="1" ref="E472" ca="1">_xlfn.SWITCH($B$4,"Normal MLE",EXP(_xlfn.NORM.INV(C472,LN($C$10),$E$10/$C$10)),"Uniforme",$B$10+($D$10-$B$10)*C472,"Triangular",IF(C472&lt;=($C$10-$B$10)/($D$10-$B$10),$B$10+SQRT(C472*($D$10-$B$10)*($C$10-$B$10)),$D$10-SQRT((1-C472)*($D$10-$B$10)*($D$10-$C$10))),"PERT",_xlfn.BETA.INV(C472,1+$B$6*($C$10-$B$10)/($D$10-$B$10),1+$B$6*($D$10-$C$10)/($D$10-$B$10),$B$10,$D$10))</f>
        <v>5663.0241075353351</v>
      </c>
      <c r="F472" s="88">
        <f t="shared" ca="1" si="22"/>
        <v>0.60047830255965184</v>
      </c>
      <c r="G472" s="89">
        <f t="shared" ca="1" si="23"/>
        <v>1.4827694940010278E-4</v>
      </c>
    </row>
    <row r="473" spans="1:7" x14ac:dyDescent="0.35">
      <c r="A473" s="84">
        <v>458</v>
      </c>
      <c r="B473" s="84">
        <f t="shared" ca="1" si="21"/>
        <v>2.5625584523062406E-3</v>
      </c>
      <c r="C473" s="84">
        <f t="shared" ca="1" si="21"/>
        <v>7.5725550096923611E-2</v>
      </c>
      <c r="D473" s="93" cm="1">
        <f t="array" aca="1" ref="D473" ca="1">_xlfn.SWITCH($B$4,"Normal MLE",EXP(_xlfn.NORM.INV(B473,LN($C$9),$E$9/$C$9)),"Uniforme",$B$9+($D$9-$B$9)*B473,"Triangular",IF(B473&lt;=($C$9-$B$9)/($D$9-$B$9),$B$9+SQRT(B473*($D$9-$B$9)*($C$9-$B$9)),$D$9-SQRT((1-B473)*($D$9-$B$9)*($D$9-$C$9))),"PERT",_xlfn.BETA.INV(B473,1+$B$6*($C$9-$B$9)/($D$9-$B$9),1+$B$6*($D$9-$C$9)/($D$9-$B$9),$B$9,$D$9))</f>
        <v>1.5992395511355211</v>
      </c>
      <c r="E473" s="94" cm="1">
        <f t="array" aca="1" ref="E473" ca="1">_xlfn.SWITCH($B$4,"Normal MLE",EXP(_xlfn.NORM.INV(C473,LN($C$10),$E$10/$C$10)),"Uniforme",$B$10+($D$10-$B$10)*C473,"Triangular",IF(C473&lt;=($C$10-$B$10)/($D$10-$B$10),$B$10+SQRT(C473*($D$10-$B$10)*($C$10-$B$10)),$D$10-SQRT((1-C473)*($D$10-$B$10)*($D$10-$C$10))),"PERT",_xlfn.BETA.INV(C473,1+$B$6*($C$10-$B$10)/($D$10-$B$10),1+$B$6*($D$10-$C$10)/($D$10-$B$10),$B$10,$D$10))</f>
        <v>4770.4787483062755</v>
      </c>
      <c r="F473" s="88">
        <f t="shared" ca="1" si="22"/>
        <v>0.47024913200638391</v>
      </c>
      <c r="G473" s="89">
        <f t="shared" ca="1" si="23"/>
        <v>1.4185235502907871E-4</v>
      </c>
    </row>
    <row r="474" spans="1:7" x14ac:dyDescent="0.35">
      <c r="A474" s="84">
        <v>459</v>
      </c>
      <c r="B474" s="84">
        <f t="shared" ca="1" si="21"/>
        <v>9.9482527142439436E-2</v>
      </c>
      <c r="C474" s="84">
        <f t="shared" ca="1" si="21"/>
        <v>0.31005460977271693</v>
      </c>
      <c r="D474" s="93" cm="1">
        <f t="array" aca="1" ref="D474" ca="1">_xlfn.SWITCH($B$4,"Normal MLE",EXP(_xlfn.NORM.INV(B474,LN($C$9),$E$9/$C$9)),"Uniforme",$B$9+($D$9-$B$9)*B474,"Triangular",IF(B474&lt;=($C$9-$B$9)/($D$9-$B$9),$B$9+SQRT(B474*($D$9-$B$9)*($C$9-$B$9)),$D$9-SQRT((1-B474)*($D$9-$B$9)*($D$9-$C$9))),"PERT",_xlfn.BETA.INV(B474,1+$B$6*($C$9-$B$9)/($D$9-$B$9),1+$B$6*($D$9-$C$9)/($D$9-$B$9),$B$9,$D$9))</f>
        <v>1.7792333129766826</v>
      </c>
      <c r="E474" s="94" cm="1">
        <f t="array" aca="1" ref="E474" ca="1">_xlfn.SWITCH($B$4,"Normal MLE",EXP(_xlfn.NORM.INV(C474,LN($C$10),$E$10/$C$10)),"Uniforme",$B$10+($D$10-$B$10)*C474,"Triangular",IF(C474&lt;=($C$10-$B$10)/($D$10-$B$10),$B$10+SQRT(C474*($D$10-$B$10)*($C$10-$B$10)),$D$10-SQRT((1-C474)*($D$10-$B$10)*($D$10-$C$10))),"PERT",_xlfn.BETA.INV(C474,1+$B$6*($C$10-$B$10)/($D$10-$B$10),1+$B$6*($D$10-$C$10)/($D$10-$B$10),$B$10,$D$10))</f>
        <v>4983.4866104171651</v>
      </c>
      <c r="F474" s="88">
        <f t="shared" ca="1" si="22"/>
        <v>0.50850181350930179</v>
      </c>
      <c r="G474" s="89">
        <f t="shared" ca="1" si="23"/>
        <v>1.5296643049542597E-4</v>
      </c>
    </row>
    <row r="475" spans="1:7" x14ac:dyDescent="0.35">
      <c r="A475" s="84">
        <v>460</v>
      </c>
      <c r="B475" s="84">
        <f t="shared" ca="1" si="21"/>
        <v>0.23760817220785169</v>
      </c>
      <c r="C475" s="84">
        <f t="shared" ca="1" si="21"/>
        <v>1.7590811857569055E-2</v>
      </c>
      <c r="D475" s="93" cm="1">
        <f t="array" aca="1" ref="D475" ca="1">_xlfn.SWITCH($B$4,"Normal MLE",EXP(_xlfn.NORM.INV(B475,LN($C$9),$E$9/$C$9)),"Uniforme",$B$9+($D$9-$B$9)*B475,"Triangular",IF(B475&lt;=($C$9-$B$9)/($D$9-$B$9),$B$9+SQRT(B475*($D$9-$B$9)*($C$9-$B$9)),$D$9-SQRT((1-B475)*($D$9-$B$9)*($D$9-$C$9))),"PERT",_xlfn.BETA.INV(B475,1+$B$6*($C$9-$B$9)/($D$9-$B$9),1+$B$6*($D$9-$C$9)/($D$9-$B$9),$B$9,$D$9))</f>
        <v>1.8521664904122206</v>
      </c>
      <c r="E475" s="94" cm="1">
        <f t="array" aca="1" ref="E475" ca="1">_xlfn.SWITCH($B$4,"Normal MLE",EXP(_xlfn.NORM.INV(C475,LN($C$10),$E$10/$C$10)),"Uniforme",$B$10+($D$10-$B$10)*C475,"Triangular",IF(C475&lt;=($C$10-$B$10)/($D$10-$B$10),$B$10+SQRT(C475*($D$10-$B$10)*($C$10-$B$10)),$D$10-SQRT((1-C475)*($D$10-$B$10)*($D$10-$C$10))),"PERT",_xlfn.BETA.INV(C475,1+$B$6*($C$10-$B$10)/($D$10-$B$10),1+$B$6*($D$10-$C$10)/($D$10-$B$10),$B$10,$D$10))</f>
        <v>4623.6442930232843</v>
      </c>
      <c r="F475" s="88">
        <f t="shared" ca="1" si="22"/>
        <v>0.46550436875921902</v>
      </c>
      <c r="G475" s="89">
        <f t="shared" ca="1" si="23"/>
        <v>1.6481520791321547E-4</v>
      </c>
    </row>
    <row r="476" spans="1:7" x14ac:dyDescent="0.35">
      <c r="A476" s="84">
        <v>461</v>
      </c>
      <c r="B476" s="84">
        <f t="shared" ca="1" si="21"/>
        <v>0.26963265654790991</v>
      </c>
      <c r="C476" s="84">
        <f t="shared" ca="1" si="21"/>
        <v>0.30779831995897389</v>
      </c>
      <c r="D476" s="93" cm="1">
        <f t="array" aca="1" ref="D476" ca="1">_xlfn.SWITCH($B$4,"Normal MLE",EXP(_xlfn.NORM.INV(B476,LN($C$9),$E$9/$C$9)),"Uniforme",$B$9+($D$9-$B$9)*B476,"Triangular",IF(B476&lt;=($C$9-$B$9)/($D$9-$B$9),$B$9+SQRT(B476*($D$9-$B$9)*($C$9-$B$9)),$D$9-SQRT((1-B476)*($D$9-$B$9)*($D$9-$C$9))),"PERT",_xlfn.BETA.INV(B476,1+$B$6*($C$9-$B$9)/($D$9-$B$9),1+$B$6*($D$9-$C$9)/($D$9-$B$9),$B$9,$D$9))</f>
        <v>1.8652676183595422</v>
      </c>
      <c r="E476" s="94" cm="1">
        <f t="array" aca="1" ref="E476" ca="1">_xlfn.SWITCH($B$4,"Normal MLE",EXP(_xlfn.NORM.INV(C476,LN($C$10),$E$10/$C$10)),"Uniforme",$B$10+($D$10-$B$10)*C476,"Triangular",IF(C476&lt;=($C$10-$B$10)/($D$10-$B$10),$B$10+SQRT(C476*($D$10-$B$10)*($C$10-$B$10)),$D$10-SQRT((1-C476)*($D$10-$B$10)*($D$10-$C$10))),"PERT",_xlfn.BETA.INV(C476,1+$B$6*($C$10-$B$10)/($D$10-$B$10),1+$B$6*($D$10-$C$10)/($D$10-$B$10),$B$10,$D$10))</f>
        <v>4982.0014446468276</v>
      </c>
      <c r="F476" s="88">
        <f t="shared" ca="1" si="22"/>
        <v>0.51479584248474997</v>
      </c>
      <c r="G476" s="89">
        <f t="shared" ca="1" si="23"/>
        <v>1.5939488464754046E-4</v>
      </c>
    </row>
    <row r="477" spans="1:7" x14ac:dyDescent="0.35">
      <c r="A477" s="84">
        <v>462</v>
      </c>
      <c r="B477" s="84">
        <f t="shared" ca="1" si="21"/>
        <v>0.47290807005796831</v>
      </c>
      <c r="C477" s="84">
        <f t="shared" ca="1" si="21"/>
        <v>0.5289022662481393</v>
      </c>
      <c r="D477" s="93" cm="1">
        <f t="array" aca="1" ref="D477" ca="1">_xlfn.SWITCH($B$4,"Normal MLE",EXP(_xlfn.NORM.INV(B477,LN($C$9),$E$9/$C$9)),"Uniforme",$B$9+($D$9-$B$9)*B477,"Triangular",IF(B477&lt;=($C$9-$B$9)/($D$9-$B$9),$B$9+SQRT(B477*($D$9-$B$9)*($C$9-$B$9)),$D$9-SQRT((1-B477)*($D$9-$B$9)*($D$9-$C$9))),"PERT",_xlfn.BETA.INV(B477,1+$B$6*($C$9-$B$9)/($D$9-$B$9),1+$B$6*($D$9-$C$9)/($D$9-$B$9),$B$9,$D$9))</f>
        <v>1.9383768417079057</v>
      </c>
      <c r="E477" s="94" cm="1">
        <f t="array" aca="1" ref="E477" ca="1">_xlfn.SWITCH($B$4,"Normal MLE",EXP(_xlfn.NORM.INV(C477,LN($C$10),$E$10/$C$10)),"Uniforme",$B$10+($D$10-$B$10)*C477,"Triangular",IF(C477&lt;=($C$10-$B$10)/($D$10-$B$10),$B$10+SQRT(C477*($D$10-$B$10)*($C$10-$B$10)),$D$10-SQRT((1-C477)*($D$10-$B$10)*($D$10-$C$10))),"PERT",_xlfn.BETA.INV(C477,1+$B$6*($C$10-$B$10)/($D$10-$B$10),1+$B$6*($D$10-$C$10)/($D$10-$B$10),$B$10,$D$10))</f>
        <v>5117.0128937673062</v>
      </c>
      <c r="F477" s="88">
        <f t="shared" ca="1" si="22"/>
        <v>0.53772456370098876</v>
      </c>
      <c r="G477" s="89">
        <f t="shared" ca="1" si="23"/>
        <v>1.6166501826973812E-4</v>
      </c>
    </row>
    <row r="478" spans="1:7" x14ac:dyDescent="0.35">
      <c r="A478" s="84">
        <v>463</v>
      </c>
      <c r="B478" s="84">
        <f t="shared" ca="1" si="21"/>
        <v>0.2670951549900189</v>
      </c>
      <c r="C478" s="84">
        <f t="shared" ca="1" si="21"/>
        <v>0.6043331041015787</v>
      </c>
      <c r="D478" s="93" cm="1">
        <f t="array" aca="1" ref="D478" ca="1">_xlfn.SWITCH($B$4,"Normal MLE",EXP(_xlfn.NORM.INV(B478,LN($C$9),$E$9/$C$9)),"Uniforme",$B$9+($D$9-$B$9)*B478,"Triangular",IF(B478&lt;=($C$9-$B$9)/($D$9-$B$9),$B$9+SQRT(B478*($D$9-$B$9)*($C$9-$B$9)),$D$9-SQRT((1-B478)*($D$9-$B$9)*($D$9-$C$9))),"PERT",_xlfn.BETA.INV(B478,1+$B$6*($C$9-$B$9)/($D$9-$B$9),1+$B$6*($D$9-$C$9)/($D$9-$B$9),$B$9,$D$9))</f>
        <v>1.8642567699088481</v>
      </c>
      <c r="E478" s="94" cm="1">
        <f t="array" aca="1" ref="E478" ca="1">_xlfn.SWITCH($B$4,"Normal MLE",EXP(_xlfn.NORM.INV(C478,LN($C$10),$E$10/$C$10)),"Uniforme",$B$10+($D$10-$B$10)*C478,"Triangular",IF(C478&lt;=($C$10-$B$10)/($D$10-$B$10),$B$10+SQRT(C478*($D$10-$B$10)*($C$10-$B$10)),$D$10-SQRT((1-C478)*($D$10-$B$10)*($D$10-$C$10))),"PERT",_xlfn.BETA.INV(C478,1+$B$6*($C$10-$B$10)/($D$10-$B$10),1+$B$6*($D$10-$C$10)/($D$10-$B$10),$B$10,$D$10))</f>
        <v>5162.9525335834469</v>
      </c>
      <c r="F478" s="88">
        <f t="shared" ca="1" si="22"/>
        <v>0.5371933823519901</v>
      </c>
      <c r="G478" s="89">
        <f t="shared" ca="1" si="23"/>
        <v>1.5557708745489663E-4</v>
      </c>
    </row>
    <row r="479" spans="1:7" x14ac:dyDescent="0.35">
      <c r="A479" s="84">
        <v>464</v>
      </c>
      <c r="B479" s="84">
        <f t="shared" ca="1" si="21"/>
        <v>0.3392855769422789</v>
      </c>
      <c r="C479" s="84">
        <f t="shared" ca="1" si="21"/>
        <v>0.81426940935370573</v>
      </c>
      <c r="D479" s="93" cm="1">
        <f t="array" aca="1" ref="D479" ca="1">_xlfn.SWITCH($B$4,"Normal MLE",EXP(_xlfn.NORM.INV(B479,LN($C$9),$E$9/$C$9)),"Uniforme",$B$9+($D$9-$B$9)*B479,"Triangular",IF(B479&lt;=($C$9-$B$9)/($D$9-$B$9),$B$9+SQRT(B479*($D$9-$B$9)*($C$9-$B$9)),$D$9-SQRT((1-B479)*($D$9-$B$9)*($D$9-$C$9))),"PERT",_xlfn.BETA.INV(B479,1+$B$6*($C$9-$B$9)/($D$9-$B$9),1+$B$6*($D$9-$C$9)/($D$9-$B$9),$B$9,$D$9))</f>
        <v>1.891658530116344</v>
      </c>
      <c r="E479" s="94" cm="1">
        <f t="array" aca="1" ref="E479" ca="1">_xlfn.SWITCH($B$4,"Normal MLE",EXP(_xlfn.NORM.INV(C479,LN($C$10),$E$10/$C$10)),"Uniforme",$B$10+($D$10-$B$10)*C479,"Triangular",IF(C479&lt;=($C$10-$B$10)/($D$10-$B$10),$B$10+SQRT(C479*($D$10-$B$10)*($C$10-$B$10)),$D$10-SQRT((1-C479)*($D$10-$B$10)*($D$10-$C$10))),"PERT",_xlfn.BETA.INV(C479,1+$B$6*($C$10-$B$10)/($D$10-$B$10),1+$B$6*($D$10-$C$10)/($D$10-$B$10),$B$10,$D$10))</f>
        <v>5316.3456705578683</v>
      </c>
      <c r="F479" s="88">
        <f t="shared" ca="1" si="22"/>
        <v>0.55776323795229532</v>
      </c>
      <c r="G479" s="89">
        <f t="shared" ca="1" si="23"/>
        <v>1.5399695593591061E-4</v>
      </c>
    </row>
    <row r="480" spans="1:7" x14ac:dyDescent="0.35">
      <c r="A480" s="84">
        <v>465</v>
      </c>
      <c r="B480" s="84">
        <f t="shared" ca="1" si="21"/>
        <v>0.46204520423107232</v>
      </c>
      <c r="C480" s="84">
        <f t="shared" ca="1" si="21"/>
        <v>0.2490738661504488</v>
      </c>
      <c r="D480" s="93" cm="1">
        <f t="array" aca="1" ref="D480" ca="1">_xlfn.SWITCH($B$4,"Normal MLE",EXP(_xlfn.NORM.INV(B480,LN($C$9),$E$9/$C$9)),"Uniforme",$B$9+($D$9-$B$9)*B480,"Triangular",IF(B480&lt;=($C$9-$B$9)/($D$9-$B$9),$B$9+SQRT(B480*($D$9-$B$9)*($C$9-$B$9)),$D$9-SQRT((1-B480)*($D$9-$B$9)*($D$9-$C$9))),"PERT",_xlfn.BETA.INV(B480,1+$B$6*($C$9-$B$9)/($D$9-$B$9),1+$B$6*($D$9-$C$9)/($D$9-$B$9),$B$9,$D$9))</f>
        <v>1.9346511430291267</v>
      </c>
      <c r="E480" s="94" cm="1">
        <f t="array" aca="1" ref="E480" ca="1">_xlfn.SWITCH($B$4,"Normal MLE",EXP(_xlfn.NORM.INV(C480,LN($C$10),$E$10/$C$10)),"Uniforme",$B$10+($D$10-$B$10)*C480,"Triangular",IF(C480&lt;=($C$10-$B$10)/($D$10-$B$10),$B$10+SQRT(C480*($D$10-$B$10)*($C$10-$B$10)),$D$10-SQRT((1-C480)*($D$10-$B$10)*($D$10-$C$10))),"PERT",_xlfn.BETA.INV(C480,1+$B$6*($C$10-$B$10)/($D$10-$B$10),1+$B$6*($D$10-$C$10)/($D$10-$B$10),$B$10,$D$10))</f>
        <v>4941.5248241442623</v>
      </c>
      <c r="F480" s="88">
        <f t="shared" ca="1" si="22"/>
        <v>0.51460778014302289</v>
      </c>
      <c r="G480" s="89">
        <f t="shared" ca="1" si="23"/>
        <v>1.6535454263292665E-4</v>
      </c>
    </row>
    <row r="481" spans="1:7" x14ac:dyDescent="0.35">
      <c r="A481" s="84">
        <v>466</v>
      </c>
      <c r="B481" s="84">
        <f t="shared" ca="1" si="21"/>
        <v>0.60964052785284994</v>
      </c>
      <c r="C481" s="84">
        <f t="shared" ca="1" si="21"/>
        <v>0.63685961086627074</v>
      </c>
      <c r="D481" s="93" cm="1">
        <f t="array" aca="1" ref="D481" ca="1">_xlfn.SWITCH($B$4,"Normal MLE",EXP(_xlfn.NORM.INV(B481,LN($C$9),$E$9/$C$9)),"Uniforme",$B$9+($D$9-$B$9)*B481,"Triangular",IF(B481&lt;=($C$9-$B$9)/($D$9-$B$9),$B$9+SQRT(B481*($D$9-$B$9)*($C$9-$B$9)),$D$9-SQRT((1-B481)*($D$9-$B$9)*($D$9-$C$9))),"PERT",_xlfn.BETA.INV(B481,1+$B$6*($C$9-$B$9)/($D$9-$B$9),1+$B$6*($D$9-$C$9)/($D$9-$B$9),$B$9,$D$9))</f>
        <v>1.9862338361063578</v>
      </c>
      <c r="E481" s="94" cm="1">
        <f t="array" aca="1" ref="E481" ca="1">_xlfn.SWITCH($B$4,"Normal MLE",EXP(_xlfn.NORM.INV(C481,LN($C$10),$E$10/$C$10)),"Uniforme",$B$10+($D$10-$B$10)*C481,"Triangular",IF(C481&lt;=($C$10-$B$10)/($D$10-$B$10),$B$10+SQRT(C481*($D$10-$B$10)*($C$10-$B$10)),$D$10-SQRT((1-C481)*($D$10-$B$10)*($D$10-$C$10))),"PERT",_xlfn.BETA.INV(C481,1+$B$6*($C$10-$B$10)/($D$10-$B$10),1+$B$6*($D$10-$C$10)/($D$10-$B$10),$B$10,$D$10))</f>
        <v>5183.5347592979515</v>
      </c>
      <c r="F481" s="88">
        <f t="shared" ca="1" si="22"/>
        <v>0.55012509270079013</v>
      </c>
      <c r="G481" s="89">
        <f t="shared" ca="1" si="23"/>
        <v>1.6324857315903345E-4</v>
      </c>
    </row>
    <row r="482" spans="1:7" x14ac:dyDescent="0.35">
      <c r="A482" s="84">
        <v>467</v>
      </c>
      <c r="B482" s="84">
        <f t="shared" ca="1" si="21"/>
        <v>0.74304469254787808</v>
      </c>
      <c r="C482" s="84">
        <f t="shared" ca="1" si="21"/>
        <v>0.18396348923629857</v>
      </c>
      <c r="D482" s="93" cm="1">
        <f t="array" aca="1" ref="D482" ca="1">_xlfn.SWITCH($B$4,"Normal MLE",EXP(_xlfn.NORM.INV(B482,LN($C$9),$E$9/$C$9)),"Uniforme",$B$9+($D$9-$B$9)*B482,"Triangular",IF(B482&lt;=($C$9-$B$9)/($D$9-$B$9),$B$9+SQRT(B482*($D$9-$B$9)*($C$9-$B$9)),$D$9-SQRT((1-B482)*($D$9-$B$9)*($D$9-$C$9))),"PERT",_xlfn.BETA.INV(B482,1+$B$6*($C$9-$B$9)/($D$9-$B$9),1+$B$6*($D$9-$C$9)/($D$9-$B$9),$B$9,$D$9))</f>
        <v>2.0392943259290224</v>
      </c>
      <c r="E482" s="94" cm="1">
        <f t="array" aca="1" ref="E482" ca="1">_xlfn.SWITCH($B$4,"Normal MLE",EXP(_xlfn.NORM.INV(C482,LN($C$10),$E$10/$C$10)),"Uniforme",$B$10+($D$10-$B$10)*C482,"Triangular",IF(C482&lt;=($C$10-$B$10)/($D$10-$B$10),$B$10+SQRT(C482*($D$10-$B$10)*($C$10-$B$10)),$D$10-SQRT((1-C482)*($D$10-$B$10)*($D$10-$C$10))),"PERT",_xlfn.BETA.INV(C482,1+$B$6*($C$10-$B$10)/($D$10-$B$10),1+$B$6*($D$10-$C$10)/($D$10-$B$10),$B$10,$D$10))</f>
        <v>4890.5210025983079</v>
      </c>
      <c r="F482" s="88">
        <f t="shared" ca="1" si="22"/>
        <v>0.51493645477974115</v>
      </c>
      <c r="G482" s="89">
        <f t="shared" ca="1" si="23"/>
        <v>1.7424209356576689E-4</v>
      </c>
    </row>
    <row r="483" spans="1:7" x14ac:dyDescent="0.35">
      <c r="A483" s="84">
        <v>468</v>
      </c>
      <c r="B483" s="84">
        <f t="shared" ca="1" si="21"/>
        <v>0.21483369249030781</v>
      </c>
      <c r="C483" s="84">
        <f t="shared" ca="1" si="21"/>
        <v>0.89758719157010181</v>
      </c>
      <c r="D483" s="93" cm="1">
        <f t="array" aca="1" ref="D483" ca="1">_xlfn.SWITCH($B$4,"Normal MLE",EXP(_xlfn.NORM.INV(B483,LN($C$9),$E$9/$C$9)),"Uniforme",$B$9+($D$9-$B$9)*B483,"Triangular",IF(B483&lt;=($C$9-$B$9)/($D$9-$B$9),$B$9+SQRT(B483*($D$9-$B$9)*($C$9-$B$9)),$D$9-SQRT((1-B483)*($D$9-$B$9)*($D$9-$C$9))),"PERT",_xlfn.BETA.INV(B483,1+$B$6*($C$9-$B$9)/($D$9-$B$9),1+$B$6*($D$9-$C$9)/($D$9-$B$9),$B$9,$D$9))</f>
        <v>1.842313680868122</v>
      </c>
      <c r="E483" s="94" cm="1">
        <f t="array" aca="1" ref="E483" ca="1">_xlfn.SWITCH($B$4,"Normal MLE",EXP(_xlfn.NORM.INV(C483,LN($C$10),$E$10/$C$10)),"Uniforme",$B$10+($D$10-$B$10)*C483,"Triangular",IF(C483&lt;=($C$10-$B$10)/($D$10-$B$10),$B$10+SQRT(C483*($D$10-$B$10)*($C$10-$B$10)),$D$10-SQRT((1-C483)*($D$10-$B$10)*($D$10-$C$10))),"PERT",_xlfn.BETA.INV(C483,1+$B$6*($C$10-$B$10)/($D$10-$B$10),1+$B$6*($D$10-$C$10)/($D$10-$B$10),$B$10,$D$10))</f>
        <v>5409.7262941784238</v>
      </c>
      <c r="F483" s="88">
        <f t="shared" ca="1" si="22"/>
        <v>0.56361574095246803</v>
      </c>
      <c r="G483" s="89">
        <f t="shared" ca="1" si="23"/>
        <v>1.4884394993309048E-4</v>
      </c>
    </row>
    <row r="484" spans="1:7" x14ac:dyDescent="0.35">
      <c r="A484" s="84">
        <v>469</v>
      </c>
      <c r="B484" s="84">
        <f t="shared" ca="1" si="21"/>
        <v>0.49973580566983311</v>
      </c>
      <c r="C484" s="84">
        <f t="shared" ca="1" si="21"/>
        <v>0.55667010137911221</v>
      </c>
      <c r="D484" s="93" cm="1">
        <f t="array" aca="1" ref="D484" ca="1">_xlfn.SWITCH($B$4,"Normal MLE",EXP(_xlfn.NORM.INV(B484,LN($C$9),$E$9/$C$9)),"Uniforme",$B$9+($D$9-$B$9)*B484,"Triangular",IF(B484&lt;=($C$9-$B$9)/($D$9-$B$9),$B$9+SQRT(B484*($D$9-$B$9)*($C$9-$B$9)),$D$9-SQRT((1-B484)*($D$9-$B$9)*($D$9-$C$9))),"PERT",_xlfn.BETA.INV(B484,1+$B$6*($C$9-$B$9)/($D$9-$B$9),1+$B$6*($D$9-$C$9)/($D$9-$B$9),$B$9,$D$9))</f>
        <v>1.947584982762683</v>
      </c>
      <c r="E484" s="94" cm="1">
        <f t="array" aca="1" ref="E484" ca="1">_xlfn.SWITCH($B$4,"Normal MLE",EXP(_xlfn.NORM.INV(C484,LN($C$10),$E$10/$C$10)),"Uniforme",$B$10+($D$10-$B$10)*C484,"Triangular",IF(C484&lt;=($C$10-$B$10)/($D$10-$B$10),$B$10+SQRT(C484*($D$10-$B$10)*($C$10-$B$10)),$D$10-SQRT((1-C484)*($D$10-$B$10)*($D$10-$C$10))),"PERT",_xlfn.BETA.INV(C484,1+$B$6*($C$10-$B$10)/($D$10-$B$10),1+$B$6*($D$10-$C$10)/($D$10-$B$10),$B$10,$D$10))</f>
        <v>5133.7133168974879</v>
      </c>
      <c r="F484" s="88">
        <f t="shared" ca="1" si="22"/>
        <v>0.54059347140870939</v>
      </c>
      <c r="G484" s="89">
        <f t="shared" ca="1" si="23"/>
        <v>1.6189904248578509E-4</v>
      </c>
    </row>
    <row r="485" spans="1:7" x14ac:dyDescent="0.35">
      <c r="A485" s="84">
        <v>470</v>
      </c>
      <c r="B485" s="84">
        <f t="shared" ca="1" si="21"/>
        <v>0.16112831550674866</v>
      </c>
      <c r="C485" s="84">
        <f t="shared" ca="1" si="21"/>
        <v>0.20203810986642823</v>
      </c>
      <c r="D485" s="93" cm="1">
        <f t="array" aca="1" ref="D485" ca="1">_xlfn.SWITCH($B$4,"Normal MLE",EXP(_xlfn.NORM.INV(B485,LN($C$9),$E$9/$C$9)),"Uniforme",$B$9+($D$9-$B$9)*B485,"Triangular",IF(B485&lt;=($C$9-$B$9)/($D$9-$B$9),$B$9+SQRT(B485*($D$9-$B$9)*($C$9-$B$9)),$D$9-SQRT((1-B485)*($D$9-$B$9)*($D$9-$C$9))),"PERT",_xlfn.BETA.INV(B485,1+$B$6*($C$9-$B$9)/($D$9-$B$9),1+$B$6*($D$9-$C$9)/($D$9-$B$9),$B$9,$D$9))</f>
        <v>1.8165396047523614</v>
      </c>
      <c r="E485" s="94" cm="1">
        <f t="array" aca="1" ref="E485" ca="1">_xlfn.SWITCH($B$4,"Normal MLE",EXP(_xlfn.NORM.INV(C485,LN($C$10),$E$10/$C$10)),"Uniforme",$B$10+($D$10-$B$10)*C485,"Triangular",IF(C485&lt;=($C$10-$B$10)/($D$10-$B$10),$B$10+SQRT(C485*($D$10-$B$10)*($C$10-$B$10)),$D$10-SQRT((1-C485)*($D$10-$B$10)*($D$10-$C$10))),"PERT",_xlfn.BETA.INV(C485,1+$B$6*($C$10-$B$10)/($D$10-$B$10),1+$B$6*($D$10-$C$10)/($D$10-$B$10),$B$10,$D$10))</f>
        <v>4905.5641275544822</v>
      </c>
      <c r="F485" s="88">
        <f t="shared" ca="1" si="22"/>
        <v>0.50145423111740228</v>
      </c>
      <c r="G485" s="89">
        <f t="shared" ca="1" si="23"/>
        <v>1.5718755285621977E-4</v>
      </c>
    </row>
    <row r="486" spans="1:7" x14ac:dyDescent="0.35">
      <c r="A486" s="84">
        <v>471</v>
      </c>
      <c r="B486" s="84">
        <f t="shared" ca="1" si="21"/>
        <v>0.77411369284679998</v>
      </c>
      <c r="C486" s="84">
        <f t="shared" ca="1" si="21"/>
        <v>0.33940689682714154</v>
      </c>
      <c r="D486" s="93" cm="1">
        <f t="array" aca="1" ref="D486" ca="1">_xlfn.SWITCH($B$4,"Normal MLE",EXP(_xlfn.NORM.INV(B486,LN($C$9),$E$9/$C$9)),"Uniforme",$B$9+($D$9-$B$9)*B486,"Triangular",IF(B486&lt;=($C$9-$B$9)/($D$9-$B$9),$B$9+SQRT(B486*($D$9-$B$9)*($C$9-$B$9)),$D$9-SQRT((1-B486)*($D$9-$B$9)*($D$9-$C$9))),"PERT",_xlfn.BETA.INV(B486,1+$B$6*($C$9-$B$9)/($D$9-$B$9),1+$B$6*($D$9-$C$9)/($D$9-$B$9),$B$9,$D$9))</f>
        <v>2.0536625841537823</v>
      </c>
      <c r="E486" s="94" cm="1">
        <f t="array" aca="1" ref="E486" ca="1">_xlfn.SWITCH($B$4,"Normal MLE",EXP(_xlfn.NORM.INV(C486,LN($C$10),$E$10/$C$10)),"Uniforme",$B$10+($D$10-$B$10)*C486,"Triangular",IF(C486&lt;=($C$10-$B$10)/($D$10-$B$10),$B$10+SQRT(C486*($D$10-$B$10)*($C$10-$B$10)),$D$10-SQRT((1-C486)*($D$10-$B$10)*($D$10-$C$10))),"PERT",_xlfn.BETA.INV(C486,1+$B$6*($C$10-$B$10)/($D$10-$B$10),1+$B$6*($D$10-$C$10)/($D$10-$B$10),$B$10,$D$10))</f>
        <v>5002.4489465394245</v>
      </c>
      <c r="F486" s="88">
        <f t="shared" ca="1" si="22"/>
        <v>0.53166247651312304</v>
      </c>
      <c r="G486" s="89">
        <f t="shared" ca="1" si="23"/>
        <v>1.7244392854654704E-4</v>
      </c>
    </row>
    <row r="487" spans="1:7" x14ac:dyDescent="0.35">
      <c r="A487" s="84">
        <v>472</v>
      </c>
      <c r="B487" s="84">
        <f t="shared" ca="1" si="21"/>
        <v>0.72456635160332905</v>
      </c>
      <c r="C487" s="84">
        <f t="shared" ca="1" si="21"/>
        <v>0.38762270432629731</v>
      </c>
      <c r="D487" s="93" cm="1">
        <f t="array" aca="1" ref="D487" ca="1">_xlfn.SWITCH($B$4,"Normal MLE",EXP(_xlfn.NORM.INV(B487,LN($C$9),$E$9/$C$9)),"Uniforme",$B$9+($D$9-$B$9)*B487,"Triangular",IF(B487&lt;=($C$9-$B$9)/($D$9-$B$9),$B$9+SQRT(B487*($D$9-$B$9)*($C$9-$B$9)),$D$9-SQRT((1-B487)*($D$9-$B$9)*($D$9-$C$9))),"PERT",_xlfn.BETA.INV(B487,1+$B$6*($C$9-$B$9)/($D$9-$B$9),1+$B$6*($D$9-$C$9)/($D$9-$B$9),$B$9,$D$9))</f>
        <v>2.0312253670072686</v>
      </c>
      <c r="E487" s="94" cm="1">
        <f t="array" aca="1" ref="E487" ca="1">_xlfn.SWITCH($B$4,"Normal MLE",EXP(_xlfn.NORM.INV(C487,LN($C$10),$E$10/$C$10)),"Uniforme",$B$10+($D$10-$B$10)*C487,"Triangular",IF(C487&lt;=($C$10-$B$10)/($D$10-$B$10),$B$10+SQRT(C487*($D$10-$B$10)*($C$10-$B$10)),$D$10-SQRT((1-C487)*($D$10-$B$10)*($D$10-$C$10))),"PERT",_xlfn.BETA.INV(C487,1+$B$6*($C$10-$B$10)/($D$10-$B$10),1+$B$6*($D$10-$C$10)/($D$10-$B$10),$B$10,$D$10))</f>
        <v>5032.4659781094915</v>
      </c>
      <c r="F487" s="88">
        <f t="shared" ca="1" si="22"/>
        <v>0.53405551518041128</v>
      </c>
      <c r="G487" s="89">
        <f t="shared" ca="1" si="23"/>
        <v>1.701096660146375E-4</v>
      </c>
    </row>
    <row r="488" spans="1:7" x14ac:dyDescent="0.35">
      <c r="A488" s="84">
        <v>473</v>
      </c>
      <c r="B488" s="84">
        <f t="shared" ca="1" si="21"/>
        <v>0.98614138077059621</v>
      </c>
      <c r="C488" s="84">
        <f t="shared" ca="1" si="21"/>
        <v>0.9024253502403683</v>
      </c>
      <c r="D488" s="93" cm="1">
        <f t="array" aca="1" ref="D488" ca="1">_xlfn.SWITCH($B$4,"Normal MLE",EXP(_xlfn.NORM.INV(B488,LN($C$9),$E$9/$C$9)),"Uniforme",$B$9+($D$9-$B$9)*B488,"Triangular",IF(B488&lt;=($C$9-$B$9)/($D$9-$B$9),$B$9+SQRT(B488*($D$9-$B$9)*($C$9-$B$9)),$D$9-SQRT((1-B488)*($D$9-$B$9)*($D$9-$C$9))),"PERT",_xlfn.BETA.INV(B488,1+$B$6*($C$9-$B$9)/($D$9-$B$9),1+$B$6*($D$9-$C$9)/($D$9-$B$9),$B$9,$D$9))</f>
        <v>2.2742463565458446</v>
      </c>
      <c r="E488" s="94" cm="1">
        <f t="array" aca="1" ref="E488" ca="1">_xlfn.SWITCH($B$4,"Normal MLE",EXP(_xlfn.NORM.INV(C488,LN($C$10),$E$10/$C$10)),"Uniforme",$B$10+($D$10-$B$10)*C488,"Triangular",IF(C488&lt;=($C$10-$B$10)/($D$10-$B$10),$B$10+SQRT(C488*($D$10-$B$10)*($C$10-$B$10)),$D$10-SQRT((1-C488)*($D$10-$B$10)*($D$10-$C$10))),"PERT",_xlfn.BETA.INV(C488,1+$B$6*($C$10-$B$10)/($D$10-$B$10),1+$B$6*($D$10-$C$10)/($D$10-$B$10),$B$10,$D$10))</f>
        <v>5416.6719468925494</v>
      </c>
      <c r="F488" s="88">
        <f t="shared" ca="1" si="22"/>
        <v>0.60543041267218001</v>
      </c>
      <c r="G488" s="89">
        <f t="shared" ca="1" si="23"/>
        <v>1.7273722925108254E-4</v>
      </c>
    </row>
    <row r="489" spans="1:7" x14ac:dyDescent="0.35">
      <c r="A489" s="84">
        <v>474</v>
      </c>
      <c r="B489" s="84">
        <f t="shared" ca="1" si="21"/>
        <v>0.26607563357947384</v>
      </c>
      <c r="C489" s="84">
        <f t="shared" ca="1" si="21"/>
        <v>0.87393637755970766</v>
      </c>
      <c r="D489" s="93" cm="1">
        <f t="array" aca="1" ref="D489" ca="1">_xlfn.SWITCH($B$4,"Normal MLE",EXP(_xlfn.NORM.INV(B489,LN($C$9),$E$9/$C$9)),"Uniforme",$B$9+($D$9-$B$9)*B489,"Triangular",IF(B489&lt;=($C$9-$B$9)/($D$9-$B$9),$B$9+SQRT(B489*($D$9-$B$9)*($C$9-$B$9)),$D$9-SQRT((1-B489)*($D$9-$B$9)*($D$9-$C$9))),"PERT",_xlfn.BETA.INV(B489,1+$B$6*($C$9-$B$9)/($D$9-$B$9),1+$B$6*($D$9-$C$9)/($D$9-$B$9),$B$9,$D$9))</f>
        <v>1.863849421866288</v>
      </c>
      <c r="E489" s="94" cm="1">
        <f t="array" aca="1" ref="E489" ca="1">_xlfn.SWITCH($B$4,"Normal MLE",EXP(_xlfn.NORM.INV(C489,LN($C$10),$E$10/$C$10)),"Uniforme",$B$10+($D$10-$B$10)*C489,"Triangular",IF(C489&lt;=($C$10-$B$10)/($D$10-$B$10),$B$10+SQRT(C489*($D$10-$B$10)*($C$10-$B$10)),$D$10-SQRT((1-C489)*($D$10-$B$10)*($D$10-$C$10))),"PERT",_xlfn.BETA.INV(C489,1+$B$6*($C$10-$B$10)/($D$10-$B$10),1+$B$6*($D$10-$C$10)/($D$10-$B$10),$B$10,$D$10))</f>
        <v>5378.9198788631256</v>
      </c>
      <c r="F489" s="88">
        <f t="shared" ca="1" si="22"/>
        <v>0.56227582257891118</v>
      </c>
      <c r="G489" s="89">
        <f t="shared" ca="1" si="23"/>
        <v>1.5084947901395631E-4</v>
      </c>
    </row>
    <row r="490" spans="1:7" x14ac:dyDescent="0.35">
      <c r="A490" s="84">
        <v>475</v>
      </c>
      <c r="B490" s="84">
        <f t="shared" ca="1" si="21"/>
        <v>0.45436543643013405</v>
      </c>
      <c r="C490" s="84">
        <f t="shared" ca="1" si="21"/>
        <v>0.35128432550417954</v>
      </c>
      <c r="D490" s="93" cm="1">
        <f t="array" aca="1" ref="D490" ca="1">_xlfn.SWITCH($B$4,"Normal MLE",EXP(_xlfn.NORM.INV(B490,LN($C$9),$E$9/$C$9)),"Uniforme",$B$9+($D$9-$B$9)*B490,"Triangular",IF(B490&lt;=($C$9-$B$9)/($D$9-$B$9),$B$9+SQRT(B490*($D$9-$B$9)*($C$9-$B$9)),$D$9-SQRT((1-B490)*($D$9-$B$9)*($D$9-$C$9))),"PERT",_xlfn.BETA.INV(B490,1+$B$6*($C$9-$B$9)/($D$9-$B$9),1+$B$6*($D$9-$C$9)/($D$9-$B$9),$B$9,$D$9))</f>
        <v>1.9320158040390816</v>
      </c>
      <c r="E490" s="94" cm="1">
        <f t="array" aca="1" ref="E490" ca="1">_xlfn.SWITCH($B$4,"Normal MLE",EXP(_xlfn.NORM.INV(C490,LN($C$10),$E$10/$C$10)),"Uniforme",$B$10+($D$10-$B$10)*C490,"Triangular",IF(C490&lt;=($C$10-$B$10)/($D$10-$B$10),$B$10+SQRT(C490*($D$10-$B$10)*($C$10-$B$10)),$D$10-SQRT((1-C490)*($D$10-$B$10)*($D$10-$C$10))),"PERT",_xlfn.BETA.INV(C490,1+$B$6*($C$10-$B$10)/($D$10-$B$10),1+$B$6*($D$10-$C$10)/($D$10-$B$10),$B$10,$D$10))</f>
        <v>5009.9565497906433</v>
      </c>
      <c r="F490" s="88">
        <f t="shared" ca="1" si="22"/>
        <v>0.52346224376099237</v>
      </c>
      <c r="G490" s="89">
        <f t="shared" ca="1" si="23"/>
        <v>1.6365722927786386E-4</v>
      </c>
    </row>
    <row r="491" spans="1:7" x14ac:dyDescent="0.35">
      <c r="A491" s="84">
        <v>476</v>
      </c>
      <c r="B491" s="84">
        <f t="shared" ca="1" si="21"/>
        <v>0.47150912142739432</v>
      </c>
      <c r="C491" s="84">
        <f t="shared" ca="1" si="21"/>
        <v>0.80029424530316939</v>
      </c>
      <c r="D491" s="93" cm="1">
        <f t="array" aca="1" ref="D491" ca="1">_xlfn.SWITCH($B$4,"Normal MLE",EXP(_xlfn.NORM.INV(B491,LN($C$9),$E$9/$C$9)),"Uniforme",$B$9+($D$9-$B$9)*B491,"Triangular",IF(B491&lt;=($C$9-$B$9)/($D$9-$B$9),$B$9+SQRT(B491*($D$9-$B$9)*($C$9-$B$9)),$D$9-SQRT((1-B491)*($D$9-$B$9)*($D$9-$C$9))),"PERT",_xlfn.BETA.INV(B491,1+$B$6*($C$9-$B$9)/($D$9-$B$9),1+$B$6*($D$9-$C$9)/($D$9-$B$9),$B$9,$D$9))</f>
        <v>1.9378970810025931</v>
      </c>
      <c r="E491" s="94" cm="1">
        <f t="array" aca="1" ref="E491" ca="1">_xlfn.SWITCH($B$4,"Normal MLE",EXP(_xlfn.NORM.INV(C491,LN($C$10),$E$10/$C$10)),"Uniforme",$B$10+($D$10-$B$10)*C491,"Triangular",IF(C491&lt;=($C$10-$B$10)/($D$10-$B$10),$B$10+SQRT(C491*($D$10-$B$10)*($C$10-$B$10)),$D$10-SQRT((1-C491)*($D$10-$B$10)*($D$10-$C$10))),"PERT",_xlfn.BETA.INV(C491,1+$B$6*($C$10-$B$10)/($D$10-$B$10),1+$B$6*($D$10-$C$10)/($D$10-$B$10),$B$10,$D$10))</f>
        <v>5303.7270867570815</v>
      </c>
      <c r="F491" s="88">
        <f t="shared" ca="1" si="22"/>
        <v>0.56054222356041616</v>
      </c>
      <c r="G491" s="89">
        <f t="shared" ca="1" si="23"/>
        <v>1.5719749369558038E-4</v>
      </c>
    </row>
    <row r="492" spans="1:7" x14ac:dyDescent="0.35">
      <c r="A492" s="84">
        <v>477</v>
      </c>
      <c r="B492" s="84">
        <f t="shared" ca="1" si="21"/>
        <v>9.1266941794366341E-2</v>
      </c>
      <c r="C492" s="84">
        <f t="shared" ca="1" si="21"/>
        <v>3.0439864608254874E-2</v>
      </c>
      <c r="D492" s="93" cm="1">
        <f t="array" aca="1" ref="D492" ca="1">_xlfn.SWITCH($B$4,"Normal MLE",EXP(_xlfn.NORM.INV(B492,LN($C$9),$E$9/$C$9)),"Uniforme",$B$9+($D$9-$B$9)*B492,"Triangular",IF(B492&lt;=($C$9-$B$9)/($D$9-$B$9),$B$9+SQRT(B492*($D$9-$B$9)*($C$9-$B$9)),$D$9-SQRT((1-B492)*($D$9-$B$9)*($D$9-$C$9))),"PERT",_xlfn.BETA.INV(B492,1+$B$6*($C$9-$B$9)/($D$9-$B$9),1+$B$6*($D$9-$C$9)/($D$9-$B$9),$B$9,$D$9))</f>
        <v>1.7731684922366102</v>
      </c>
      <c r="E492" s="94" cm="1">
        <f t="array" aca="1" ref="E492" ca="1">_xlfn.SWITCH($B$4,"Normal MLE",EXP(_xlfn.NORM.INV(C492,LN($C$10),$E$10/$C$10)),"Uniforme",$B$10+($D$10-$B$10)*C492,"Triangular",IF(C492&lt;=($C$10-$B$10)/($D$10-$B$10),$B$10+SQRT(C492*($D$10-$B$10)*($C$10-$B$10)),$D$10-SQRT((1-C492)*($D$10-$B$10)*($D$10-$C$10))),"PERT",_xlfn.BETA.INV(C492,1+$B$6*($C$10-$B$10)/($D$10-$B$10),1+$B$6*($D$10-$C$10)/($D$10-$B$10),$B$10,$D$10))</f>
        <v>4673.8082802624049</v>
      </c>
      <c r="F492" s="88">
        <f t="shared" ca="1" si="22"/>
        <v>0.46823847102628352</v>
      </c>
      <c r="G492" s="89">
        <f t="shared" ca="1" si="23"/>
        <v>1.5749674606568023E-4</v>
      </c>
    </row>
    <row r="493" spans="1:7" x14ac:dyDescent="0.35">
      <c r="A493" s="84">
        <v>478</v>
      </c>
      <c r="B493" s="84">
        <f t="shared" ca="1" si="21"/>
        <v>0.44602145310009778</v>
      </c>
      <c r="C493" s="84">
        <f t="shared" ca="1" si="21"/>
        <v>0.51054365923472922</v>
      </c>
      <c r="D493" s="93" cm="1">
        <f t="array" aca="1" ref="D493" ca="1">_xlfn.SWITCH($B$4,"Normal MLE",EXP(_xlfn.NORM.INV(B493,LN($C$9),$E$9/$C$9)),"Uniforme",$B$9+($D$9-$B$9)*B493,"Triangular",IF(B493&lt;=($C$9-$B$9)/($D$9-$B$9),$B$9+SQRT(B493*($D$9-$B$9)*($C$9-$B$9)),$D$9-SQRT((1-B493)*($D$9-$B$9)*($D$9-$C$9))),"PERT",_xlfn.BETA.INV(B493,1+$B$6*($C$9-$B$9)/($D$9-$B$9),1+$B$6*($D$9-$C$9)/($D$9-$B$9),$B$9,$D$9))</f>
        <v>1.9291499431067298</v>
      </c>
      <c r="E493" s="94" cm="1">
        <f t="array" aca="1" ref="E493" ca="1">_xlfn.SWITCH($B$4,"Normal MLE",EXP(_xlfn.NORM.INV(C493,LN($C$10),$E$10/$C$10)),"Uniforme",$B$10+($D$10-$B$10)*C493,"Triangular",IF(C493&lt;=($C$10-$B$10)/($D$10-$B$10),$B$10+SQRT(C493*($D$10-$B$10)*($C$10-$B$10)),$D$10-SQRT((1-C493)*($D$10-$B$10)*($D$10-$C$10))),"PERT",_xlfn.BETA.INV(C493,1+$B$6*($C$10-$B$10)/($D$10-$B$10),1+$B$6*($D$10-$C$10)/($D$10-$B$10),$B$10,$D$10))</f>
        <v>5106.052564908925</v>
      </c>
      <c r="F493" s="88">
        <f t="shared" ca="1" si="22"/>
        <v>0.53558389582821286</v>
      </c>
      <c r="G493" s="89">
        <f t="shared" ca="1" si="23"/>
        <v>1.612853128030506E-4</v>
      </c>
    </row>
    <row r="494" spans="1:7" x14ac:dyDescent="0.35">
      <c r="A494" s="84">
        <v>479</v>
      </c>
      <c r="B494" s="84">
        <f t="shared" ca="1" si="21"/>
        <v>0.66371649102130947</v>
      </c>
      <c r="C494" s="84">
        <f t="shared" ca="1" si="21"/>
        <v>0.9844179244447484</v>
      </c>
      <c r="D494" s="93" cm="1">
        <f t="array" aca="1" ref="D494" ca="1">_xlfn.SWITCH($B$4,"Normal MLE",EXP(_xlfn.NORM.INV(B494,LN($C$9),$E$9/$C$9)),"Uniforme",$B$9+($D$9-$B$9)*B494,"Triangular",IF(B494&lt;=($C$9-$B$9)/($D$9-$B$9),$B$9+SQRT(B494*($D$9-$B$9)*($C$9-$B$9)),$D$9-SQRT((1-B494)*($D$9-$B$9)*($D$9-$C$9))),"PERT",_xlfn.BETA.INV(B494,1+$B$6*($C$9-$B$9)/($D$9-$B$9),1+$B$6*($D$9-$C$9)/($D$9-$B$9),$B$9,$D$9))</f>
        <v>2.0065121776277595</v>
      </c>
      <c r="E494" s="94" cm="1">
        <f t="array" aca="1" ref="E494" ca="1">_xlfn.SWITCH($B$4,"Normal MLE",EXP(_xlfn.NORM.INV(C494,LN($C$10),$E$10/$C$10)),"Uniforme",$B$10+($D$10-$B$10)*C494,"Triangular",IF(C494&lt;=($C$10-$B$10)/($D$10-$B$10),$B$10+SQRT(C494*($D$10-$B$10)*($C$10-$B$10)),$D$10-SQRT((1-C494)*($D$10-$B$10)*($D$10-$C$10))),"PERT",_xlfn.BETA.INV(C494,1+$B$6*($C$10-$B$10)/($D$10-$B$10),1+$B$6*($D$10-$C$10)/($D$10-$B$10),$B$10,$D$10))</f>
        <v>5637.7026377140455</v>
      </c>
      <c r="F494" s="88">
        <f t="shared" ca="1" si="22"/>
        <v>0.6051499206403963</v>
      </c>
      <c r="G494" s="89">
        <f t="shared" ca="1" si="23"/>
        <v>1.5247191411784134E-4</v>
      </c>
    </row>
    <row r="495" spans="1:7" x14ac:dyDescent="0.35">
      <c r="A495" s="84">
        <v>480</v>
      </c>
      <c r="B495" s="84">
        <f t="shared" ca="1" si="21"/>
        <v>0.24336849146626982</v>
      </c>
      <c r="C495" s="84">
        <f t="shared" ca="1" si="21"/>
        <v>1.3069294965610045E-2</v>
      </c>
      <c r="D495" s="93" cm="1">
        <f t="array" aca="1" ref="D495" ca="1">_xlfn.SWITCH($B$4,"Normal MLE",EXP(_xlfn.NORM.INV(B495,LN($C$9),$E$9/$C$9)),"Uniforme",$B$9+($D$9-$B$9)*B495,"Triangular",IF(B495&lt;=($C$9-$B$9)/($D$9-$B$9),$B$9+SQRT(B495*($D$9-$B$9)*($C$9-$B$9)),$D$9-SQRT((1-B495)*($D$9-$B$9)*($D$9-$C$9))),"PERT",_xlfn.BETA.INV(B495,1+$B$6*($C$9-$B$9)/($D$9-$B$9),1+$B$6*($D$9-$C$9)/($D$9-$B$9),$B$9,$D$9))</f>
        <v>1.8545822319616303</v>
      </c>
      <c r="E495" s="94" cm="1">
        <f t="array" aca="1" ref="E495" ca="1">_xlfn.SWITCH($B$4,"Normal MLE",EXP(_xlfn.NORM.INV(C495,LN($C$10),$E$10/$C$10)),"Uniforme",$B$10+($D$10-$B$10)*C495,"Triangular",IF(C495&lt;=($C$10-$B$10)/($D$10-$B$10),$B$10+SQRT(C495*($D$10-$B$10)*($C$10-$B$10)),$D$10-SQRT((1-C495)*($D$10-$B$10)*($D$10-$C$10))),"PERT",_xlfn.BETA.INV(C495,1+$B$6*($C$10-$B$10)/($D$10-$B$10),1+$B$6*($D$10-$C$10)/($D$10-$B$10),$B$10,$D$10))</f>
        <v>4598.349880831488</v>
      </c>
      <c r="F495" s="88">
        <f t="shared" ca="1" si="22"/>
        <v>0.46200373666575506</v>
      </c>
      <c r="G495" s="89">
        <f t="shared" ca="1" si="23"/>
        <v>1.6540606650754957E-4</v>
      </c>
    </row>
    <row r="496" spans="1:7" x14ac:dyDescent="0.35">
      <c r="A496" s="84">
        <v>481</v>
      </c>
      <c r="B496" s="84">
        <f t="shared" ca="1" si="21"/>
        <v>0.67695816399775499</v>
      </c>
      <c r="C496" s="84">
        <f t="shared" ca="1" si="21"/>
        <v>0.1340266639131199</v>
      </c>
      <c r="D496" s="93" cm="1">
        <f t="array" aca="1" ref="D496" ca="1">_xlfn.SWITCH($B$4,"Normal MLE",EXP(_xlfn.NORM.INV(B496,LN($C$9),$E$9/$C$9)),"Uniforme",$B$9+($D$9-$B$9)*B496,"Triangular",IF(B496&lt;=($C$9-$B$9)/($D$9-$B$9),$B$9+SQRT(B496*($D$9-$B$9)*($C$9-$B$9)),$D$9-SQRT((1-B496)*($D$9-$B$9)*($D$9-$C$9))),"PERT",_xlfn.BETA.INV(B496,1+$B$6*($C$9-$B$9)/($D$9-$B$9),1+$B$6*($D$9-$C$9)/($D$9-$B$9),$B$9,$D$9))</f>
        <v>2.011687790837883</v>
      </c>
      <c r="E496" s="94" cm="1">
        <f t="array" aca="1" ref="E496" ca="1">_xlfn.SWITCH($B$4,"Normal MLE",EXP(_xlfn.NORM.INV(C496,LN($C$10),$E$10/$C$10)),"Uniforme",$B$10+($D$10-$B$10)*C496,"Triangular",IF(C496&lt;=($C$10-$B$10)/($D$10-$B$10),$B$10+SQRT(C496*($D$10-$B$10)*($C$10-$B$10)),$D$10-SQRT((1-C496)*($D$10-$B$10)*($D$10-$C$10))),"PERT",_xlfn.BETA.INV(C496,1+$B$6*($C$10-$B$10)/($D$10-$B$10),1+$B$6*($D$10-$C$10)/($D$10-$B$10),$B$10,$D$10))</f>
        <v>4843.5951353779446</v>
      </c>
      <c r="F496" s="88">
        <f t="shared" ca="1" si="22"/>
        <v>0.50637577756404728</v>
      </c>
      <c r="G496" s="89">
        <f t="shared" ca="1" si="23"/>
        <v>1.732951781143974E-4</v>
      </c>
    </row>
    <row r="497" spans="1:7" x14ac:dyDescent="0.35">
      <c r="A497" s="84">
        <v>482</v>
      </c>
      <c r="B497" s="84">
        <f t="shared" ca="1" si="21"/>
        <v>0.20364055374196421</v>
      </c>
      <c r="C497" s="84">
        <f t="shared" ca="1" si="21"/>
        <v>0.64291011720147695</v>
      </c>
      <c r="D497" s="93" cm="1">
        <f t="array" aca="1" ref="D497" ca="1">_xlfn.SWITCH($B$4,"Normal MLE",EXP(_xlfn.NORM.INV(B497,LN($C$9),$E$9/$C$9)),"Uniforme",$B$9+($D$9-$B$9)*B497,"Triangular",IF(B497&lt;=($C$9-$B$9)/($D$9-$B$9),$B$9+SQRT(B497*($D$9-$B$9)*($C$9-$B$9)),$D$9-SQRT((1-B497)*($D$9-$B$9)*($D$9-$C$9))),"PERT",_xlfn.BETA.INV(B497,1+$B$6*($C$9-$B$9)/($D$9-$B$9),1+$B$6*($D$9-$C$9)/($D$9-$B$9),$B$9,$D$9))</f>
        <v>1.8372704352328966</v>
      </c>
      <c r="E497" s="94" cm="1">
        <f t="array" aca="1" ref="E497" ca="1">_xlfn.SWITCH($B$4,"Normal MLE",EXP(_xlfn.NORM.INV(C497,LN($C$10),$E$10/$C$10)),"Uniforme",$B$10+($D$10-$B$10)*C497,"Triangular",IF(C497&lt;=($C$10-$B$10)/($D$10-$B$10),$B$10+SQRT(C497*($D$10-$B$10)*($C$10-$B$10)),$D$10-SQRT((1-C497)*($D$10-$B$10)*($D$10-$C$10))),"PERT",_xlfn.BETA.INV(C497,1+$B$6*($C$10-$B$10)/($D$10-$B$10),1+$B$6*($D$10-$C$10)/($D$10-$B$10),$B$10,$D$10))</f>
        <v>5187.4369110180096</v>
      </c>
      <c r="F497" s="88">
        <f t="shared" ca="1" si="22"/>
        <v>0.53779571549309524</v>
      </c>
      <c r="G497" s="89">
        <f t="shared" ca="1" si="23"/>
        <v>1.5322010731840267E-4</v>
      </c>
    </row>
    <row r="498" spans="1:7" x14ac:dyDescent="0.35">
      <c r="A498" s="84">
        <v>483</v>
      </c>
      <c r="B498" s="84">
        <f t="shared" ca="1" si="21"/>
        <v>0.57011469298503359</v>
      </c>
      <c r="C498" s="84">
        <f t="shared" ca="1" si="21"/>
        <v>0.9763359376877504</v>
      </c>
      <c r="D498" s="93" cm="1">
        <f t="array" aca="1" ref="D498" ca="1">_xlfn.SWITCH($B$4,"Normal MLE",EXP(_xlfn.NORM.INV(B498,LN($C$9),$E$9/$C$9)),"Uniforme",$B$9+($D$9-$B$9)*B498,"Triangular",IF(B498&lt;=($C$9-$B$9)/($D$9-$B$9),$B$9+SQRT(B498*($D$9-$B$9)*($C$9-$B$9)),$D$9-SQRT((1-B498)*($D$9-$B$9)*($D$9-$C$9))),"PERT",_xlfn.BETA.INV(B498,1+$B$6*($C$9-$B$9)/($D$9-$B$9),1+$B$6*($D$9-$C$9)/($D$9-$B$9),$B$9,$D$9))</f>
        <v>1.9720576856993075</v>
      </c>
      <c r="E498" s="94" cm="1">
        <f t="array" aca="1" ref="E498" ca="1">_xlfn.SWITCH($B$4,"Normal MLE",EXP(_xlfn.NORM.INV(C498,LN($C$10),$E$10/$C$10)),"Uniforme",$B$10+($D$10-$B$10)*C498,"Triangular",IF(C498&lt;=($C$10-$B$10)/($D$10-$B$10),$B$10+SQRT(C498*($D$10-$B$10)*($C$10-$B$10)),$D$10-SQRT((1-C498)*($D$10-$B$10)*($D$10-$C$10))),"PERT",_xlfn.BETA.INV(C498,1+$B$6*($C$10-$B$10)/($D$10-$B$10),1+$B$6*($D$10-$C$10)/($D$10-$B$10),$B$10,$D$10))</f>
        <v>5592.8584513247615</v>
      </c>
      <c r="F498" s="88">
        <f t="shared" ca="1" si="22"/>
        <v>0.59671167030806338</v>
      </c>
      <c r="G498" s="89">
        <f t="shared" ca="1" si="23"/>
        <v>1.5189523549938544E-4</v>
      </c>
    </row>
    <row r="499" spans="1:7" x14ac:dyDescent="0.35">
      <c r="A499" s="84">
        <v>484</v>
      </c>
      <c r="B499" s="84">
        <f t="shared" ca="1" si="21"/>
        <v>0.16316471007280708</v>
      </c>
      <c r="C499" s="84">
        <f t="shared" ca="1" si="21"/>
        <v>0.4804489935781685</v>
      </c>
      <c r="D499" s="93" cm="1">
        <f t="array" aca="1" ref="D499" ca="1">_xlfn.SWITCH($B$4,"Normal MLE",EXP(_xlfn.NORM.INV(B499,LN($C$9),$E$9/$C$9)),"Uniforme",$B$9+($D$9-$B$9)*B499,"Triangular",IF(B499&lt;=($C$9-$B$9)/($D$9-$B$9),$B$9+SQRT(B499*($D$9-$B$9)*($C$9-$B$9)),$D$9-SQRT((1-B499)*($D$9-$B$9)*($D$9-$C$9))),"PERT",_xlfn.BETA.INV(B499,1+$B$6*($C$9-$B$9)/($D$9-$B$9),1+$B$6*($D$9-$C$9)/($D$9-$B$9),$B$9,$D$9))</f>
        <v>1.8176012764626386</v>
      </c>
      <c r="E499" s="94" cm="1">
        <f t="array" aca="1" ref="E499" ca="1">_xlfn.SWITCH($B$4,"Normal MLE",EXP(_xlfn.NORM.INV(C499,LN($C$10),$E$10/$C$10)),"Uniforme",$B$10+($D$10-$B$10)*C499,"Triangular",IF(C499&lt;=($C$10-$B$10)/($D$10-$B$10),$B$10+SQRT(C499*($D$10-$B$10)*($C$10-$B$10)),$D$10-SQRT((1-C499)*($D$10-$B$10)*($D$10-$C$10))),"PERT",_xlfn.BETA.INV(C499,1+$B$6*($C$10-$B$10)/($D$10-$B$10),1+$B$6*($D$10-$C$10)/($D$10-$B$10),$B$10,$D$10))</f>
        <v>5088.154488282813</v>
      </c>
      <c r="F499" s="88">
        <f t="shared" ca="1" si="22"/>
        <v>0.52427253641071914</v>
      </c>
      <c r="G499" s="89">
        <f t="shared" ca="1" si="23"/>
        <v>1.53835249891294E-4</v>
      </c>
    </row>
    <row r="500" spans="1:7" x14ac:dyDescent="0.35">
      <c r="A500" s="84">
        <v>485</v>
      </c>
      <c r="B500" s="84">
        <f t="shared" ca="1" si="21"/>
        <v>0.20232972829025264</v>
      </c>
      <c r="C500" s="84">
        <f t="shared" ca="1" si="21"/>
        <v>0.97731071482154686</v>
      </c>
      <c r="D500" s="93" cm="1">
        <f t="array" aca="1" ref="D500" ca="1">_xlfn.SWITCH($B$4,"Normal MLE",EXP(_xlfn.NORM.INV(B500,LN($C$9),$E$9/$C$9)),"Uniforme",$B$9+($D$9-$B$9)*B500,"Triangular",IF(B500&lt;=($C$9-$B$9)/($D$9-$B$9),$B$9+SQRT(B500*($D$9-$B$9)*($C$9-$B$9)),$D$9-SQRT((1-B500)*($D$9-$B$9)*($D$9-$C$9))),"PERT",_xlfn.BETA.INV(B500,1+$B$6*($C$9-$B$9)/($D$9-$B$9),1+$B$6*($D$9-$C$9)/($D$9-$B$9),$B$9,$D$9))</f>
        <v>1.836670110563269</v>
      </c>
      <c r="E500" s="94" cm="1">
        <f t="array" aca="1" ref="E500" ca="1">_xlfn.SWITCH($B$4,"Normal MLE",EXP(_xlfn.NORM.INV(C500,LN($C$10),$E$10/$C$10)),"Uniforme",$B$10+($D$10-$B$10)*C500,"Triangular",IF(C500&lt;=($C$10-$B$10)/($D$10-$B$10),$B$10+SQRT(C500*($D$10-$B$10)*($C$10-$B$10)),$D$10-SQRT((1-C500)*($D$10-$B$10)*($D$10-$C$10))),"PERT",_xlfn.BETA.INV(C500,1+$B$6*($C$10-$B$10)/($D$10-$B$10),1+$B$6*($D$10-$C$10)/($D$10-$B$10),$B$10,$D$10))</f>
        <v>5597.4868080553597</v>
      </c>
      <c r="F500" s="88">
        <f t="shared" ca="1" si="22"/>
        <v>0.58305591486348562</v>
      </c>
      <c r="G500" s="89">
        <f t="shared" ca="1" si="23"/>
        <v>1.4442767925873908E-4</v>
      </c>
    </row>
    <row r="501" spans="1:7" x14ac:dyDescent="0.35">
      <c r="A501" s="84">
        <v>486</v>
      </c>
      <c r="B501" s="84">
        <f t="shared" ca="1" si="21"/>
        <v>0.50367228241906159</v>
      </c>
      <c r="C501" s="84">
        <f t="shared" ca="1" si="21"/>
        <v>4.1514232938203E-2</v>
      </c>
      <c r="D501" s="93" cm="1">
        <f t="array" aca="1" ref="D501" ca="1">_xlfn.SWITCH($B$4,"Normal MLE",EXP(_xlfn.NORM.INV(B501,LN($C$9),$E$9/$C$9)),"Uniforme",$B$9+($D$9-$B$9)*B501,"Triangular",IF(B501&lt;=($C$9-$B$9)/($D$9-$B$9),$B$9+SQRT(B501*($D$9-$B$9)*($C$9-$B$9)),$D$9-SQRT((1-B501)*($D$9-$B$9)*($D$9-$C$9))),"PERT",_xlfn.BETA.INV(B501,1+$B$6*($C$9-$B$9)/($D$9-$B$9),1+$B$6*($D$9-$C$9)/($D$9-$B$9),$B$9,$D$9))</f>
        <v>1.9489387482727634</v>
      </c>
      <c r="E501" s="94" cm="1">
        <f t="array" aca="1" ref="E501" ca="1">_xlfn.SWITCH($B$4,"Normal MLE",EXP(_xlfn.NORM.INV(C501,LN($C$10),$E$10/$C$10)),"Uniforme",$B$10+($D$10-$B$10)*C501,"Triangular",IF(C501&lt;=($C$10-$B$10)/($D$10-$B$10),$B$10+SQRT(C501*($D$10-$B$10)*($C$10-$B$10)),$D$10-SQRT((1-C501)*($D$10-$B$10)*($D$10-$C$10))),"PERT",_xlfn.BETA.INV(C501,1+$B$6*($C$10-$B$10)/($D$10-$B$10),1+$B$6*($D$10-$C$10)/($D$10-$B$10),$B$10,$D$10))</f>
        <v>4704.5732828718264</v>
      </c>
      <c r="F501" s="88">
        <f t="shared" ca="1" si="22"/>
        <v>0.48243181492457149</v>
      </c>
      <c r="G501" s="89">
        <f t="shared" ca="1" si="23"/>
        <v>1.713371089669237E-4</v>
      </c>
    </row>
    <row r="502" spans="1:7" x14ac:dyDescent="0.35">
      <c r="A502" s="84">
        <v>487</v>
      </c>
      <c r="B502" s="84">
        <f t="shared" ca="1" si="21"/>
        <v>0.63913728970741579</v>
      </c>
      <c r="C502" s="84">
        <f t="shared" ca="1" si="21"/>
        <v>8.9168152035323467E-2</v>
      </c>
      <c r="D502" s="93" cm="1">
        <f t="array" aca="1" ref="D502" ca="1">_xlfn.SWITCH($B$4,"Normal MLE",EXP(_xlfn.NORM.INV(B502,LN($C$9),$E$9/$C$9)),"Uniforme",$B$9+($D$9-$B$9)*B502,"Triangular",IF(B502&lt;=($C$9-$B$9)/($D$9-$B$9),$B$9+SQRT(B502*($D$9-$B$9)*($C$9-$B$9)),$D$9-SQRT((1-B502)*($D$9-$B$9)*($D$9-$C$9))),"PERT",_xlfn.BETA.INV(B502,1+$B$6*($C$9-$B$9)/($D$9-$B$9),1+$B$6*($D$9-$C$9)/($D$9-$B$9),$B$9,$D$9))</f>
        <v>1.9971415429858574</v>
      </c>
      <c r="E502" s="94" cm="1">
        <f t="array" aca="1" ref="E502" ca="1">_xlfn.SWITCH($B$4,"Normal MLE",EXP(_xlfn.NORM.INV(C502,LN($C$10),$E$10/$C$10)),"Uniforme",$B$10+($D$10-$B$10)*C502,"Triangular",IF(C502&lt;=($C$10-$B$10)/($D$10-$B$10),$B$10+SQRT(C502*($D$10-$B$10)*($C$10-$B$10)),$D$10-SQRT((1-C502)*($D$10-$B$10)*($D$10-$C$10))),"PERT",_xlfn.BETA.INV(C502,1+$B$6*($C$10-$B$10)/($D$10-$B$10),1+$B$6*($D$10-$C$10)/($D$10-$B$10),$B$10,$D$10))</f>
        <v>4790.1720203088926</v>
      </c>
      <c r="F502" s="88">
        <f t="shared" ca="1" si="22"/>
        <v>0.49775048792713572</v>
      </c>
      <c r="G502" s="89">
        <f t="shared" ca="1" si="23"/>
        <v>1.7338123966363539E-4</v>
      </c>
    </row>
    <row r="503" spans="1:7" x14ac:dyDescent="0.35">
      <c r="A503" s="84">
        <v>488</v>
      </c>
      <c r="B503" s="84">
        <f t="shared" ca="1" si="21"/>
        <v>0.23347379629438136</v>
      </c>
      <c r="C503" s="84">
        <f t="shared" ca="1" si="21"/>
        <v>0.87785987497583284</v>
      </c>
      <c r="D503" s="93" cm="1">
        <f t="array" aca="1" ref="D503" ca="1">_xlfn.SWITCH($B$4,"Normal MLE",EXP(_xlfn.NORM.INV(B503,LN($C$9),$E$9/$C$9)),"Uniforme",$B$9+($D$9-$B$9)*B503,"Triangular",IF(B503&lt;=($C$9-$B$9)/($D$9-$B$9),$B$9+SQRT(B503*($D$9-$B$9)*($C$9-$B$9)),$D$9-SQRT((1-B503)*($D$9-$B$9)*($D$9-$C$9))),"PERT",_xlfn.BETA.INV(B503,1+$B$6*($C$9-$B$9)/($D$9-$B$9),1+$B$6*($D$9-$C$9)/($D$9-$B$9),$B$9,$D$9))</f>
        <v>1.850414756216276</v>
      </c>
      <c r="E503" s="94" cm="1">
        <f t="array" aca="1" ref="E503" ca="1">_xlfn.SWITCH($B$4,"Normal MLE",EXP(_xlfn.NORM.INV(C503,LN($C$10),$E$10/$C$10)),"Uniforme",$B$10+($D$10-$B$10)*C503,"Triangular",IF(C503&lt;=($C$10-$B$10)/($D$10-$B$10),$B$10+SQRT(C503*($D$10-$B$10)*($C$10-$B$10)),$D$10-SQRT((1-C503)*($D$10-$B$10)*($D$10-$C$10))),"PERT",_xlfn.BETA.INV(C503,1+$B$6*($C$10-$B$10)/($D$10-$B$10),1+$B$6*($D$10-$C$10)/($D$10-$B$10),$B$10,$D$10))</f>
        <v>5383.7171091990131</v>
      </c>
      <c r="F503" s="88">
        <f t="shared" ca="1" si="22"/>
        <v>0.56152124344396404</v>
      </c>
      <c r="G503" s="89">
        <f t="shared" ca="1" si="23"/>
        <v>1.4991000743402893E-4</v>
      </c>
    </row>
    <row r="504" spans="1:7" x14ac:dyDescent="0.35">
      <c r="A504" s="84">
        <v>489</v>
      </c>
      <c r="B504" s="84">
        <f t="shared" ca="1" si="21"/>
        <v>0.76550252683071707</v>
      </c>
      <c r="C504" s="84">
        <f t="shared" ca="1" si="21"/>
        <v>0.95061067833179813</v>
      </c>
      <c r="D504" s="93" cm="1">
        <f t="array" aca="1" ref="D504" ca="1">_xlfn.SWITCH($B$4,"Normal MLE",EXP(_xlfn.NORM.INV(B504,LN($C$9),$E$9/$C$9)),"Uniforme",$B$9+($D$9-$B$9)*B504,"Triangular",IF(B504&lt;=($C$9-$B$9)/($D$9-$B$9),$B$9+SQRT(B504*($D$9-$B$9)*($C$9-$B$9)),$D$9-SQRT((1-B504)*($D$9-$B$9)*($D$9-$C$9))),"PERT",_xlfn.BETA.INV(B504,1+$B$6*($C$9-$B$9)/($D$9-$B$9),1+$B$6*($D$9-$C$9)/($D$9-$B$9),$B$9,$D$9))</f>
        <v>2.0495670775163575</v>
      </c>
      <c r="E504" s="94" cm="1">
        <f t="array" aca="1" ref="E504" ca="1">_xlfn.SWITCH($B$4,"Normal MLE",EXP(_xlfn.NORM.INV(C504,LN($C$10),$E$10/$C$10)),"Uniforme",$B$10+($D$10-$B$10)*C504,"Triangular",IF(C504&lt;=($C$10-$B$10)/($D$10-$B$10),$B$10+SQRT(C504*($D$10-$B$10)*($C$10-$B$10)),$D$10-SQRT((1-C504)*($D$10-$B$10)*($D$10-$C$10))),"PERT",_xlfn.BETA.INV(C504,1+$B$6*($C$10-$B$10)/($D$10-$B$10),1+$B$6*($D$10-$C$10)/($D$10-$B$10),$B$10,$D$10))</f>
        <v>5506.9757693272404</v>
      </c>
      <c r="F504" s="88">
        <f t="shared" ca="1" si="22"/>
        <v>0.59494199221630362</v>
      </c>
      <c r="G504" s="89">
        <f t="shared" ca="1" si="23"/>
        <v>1.5830253655184422E-4</v>
      </c>
    </row>
    <row r="505" spans="1:7" x14ac:dyDescent="0.35">
      <c r="A505" s="84">
        <v>490</v>
      </c>
      <c r="B505" s="84">
        <f t="shared" ca="1" si="21"/>
        <v>0.43319674609259917</v>
      </c>
      <c r="C505" s="84">
        <f t="shared" ca="1" si="21"/>
        <v>0.90855910785284277</v>
      </c>
      <c r="D505" s="93" cm="1">
        <f t="array" aca="1" ref="D505" ca="1">_xlfn.SWITCH($B$4,"Normal MLE",EXP(_xlfn.NORM.INV(B505,LN($C$9),$E$9/$C$9)),"Uniforme",$B$9+($D$9-$B$9)*B505,"Triangular",IF(B505&lt;=($C$9-$B$9)/($D$9-$B$9),$B$9+SQRT(B505*($D$9-$B$9)*($C$9-$B$9)),$D$9-SQRT((1-B505)*($D$9-$B$9)*($D$9-$C$9))),"PERT",_xlfn.BETA.INV(B505,1+$B$6*($C$9-$B$9)/($D$9-$B$9),1+$B$6*($D$9-$C$9)/($D$9-$B$9),$B$9,$D$9))</f>
        <v>1.9247369492227677</v>
      </c>
      <c r="E505" s="94" cm="1">
        <f t="array" aca="1" ref="E505" ca="1">_xlfn.SWITCH($B$4,"Normal MLE",EXP(_xlfn.NORM.INV(C505,LN($C$10),$E$10/$C$10)),"Uniforme",$B$10+($D$10-$B$10)*C505,"Triangular",IF(C505&lt;=($C$10-$B$10)/($D$10-$B$10),$B$10+SQRT(C505*($D$10-$B$10)*($C$10-$B$10)),$D$10-SQRT((1-C505)*($D$10-$B$10)*($D$10-$C$10))),"PERT",_xlfn.BETA.INV(C505,1+$B$6*($C$10-$B$10)/($D$10-$B$10),1+$B$6*($D$10-$C$10)/($D$10-$B$10),$B$10,$D$10))</f>
        <v>5425.8644965590311</v>
      </c>
      <c r="F505" s="88">
        <f t="shared" ca="1" si="22"/>
        <v>0.57344501908825563</v>
      </c>
      <c r="G505" s="89">
        <f t="shared" ca="1" si="23"/>
        <v>1.5344430487022504E-4</v>
      </c>
    </row>
    <row r="506" spans="1:7" x14ac:dyDescent="0.35">
      <c r="A506" s="84">
        <v>491</v>
      </c>
      <c r="B506" s="84">
        <f t="shared" ca="1" si="21"/>
        <v>0.57319201836752565</v>
      </c>
      <c r="C506" s="84">
        <f t="shared" ca="1" si="21"/>
        <v>0.48890841373621396</v>
      </c>
      <c r="D506" s="93" cm="1">
        <f t="array" aca="1" ref="D506" ca="1">_xlfn.SWITCH($B$4,"Normal MLE",EXP(_xlfn.NORM.INV(B506,LN($C$9),$E$9/$C$9)),"Uniforme",$B$9+($D$9-$B$9)*B506,"Triangular",IF(B506&lt;=($C$9-$B$9)/($D$9-$B$9),$B$9+SQRT(B506*($D$9-$B$9)*($C$9-$B$9)),$D$9-SQRT((1-B506)*($D$9-$B$9)*($D$9-$C$9))),"PERT",_xlfn.BETA.INV(B506,1+$B$6*($C$9-$B$9)/($D$9-$B$9),1+$B$6*($D$9-$C$9)/($D$9-$B$9),$B$9,$D$9))</f>
        <v>1.9731468119246496</v>
      </c>
      <c r="E506" s="94" cm="1">
        <f t="array" aca="1" ref="E506" ca="1">_xlfn.SWITCH($B$4,"Normal MLE",EXP(_xlfn.NORM.INV(C506,LN($C$10),$E$10/$C$10)),"Uniforme",$B$10+($D$10-$B$10)*C506,"Triangular",IF(C506&lt;=($C$10-$B$10)/($D$10-$B$10),$B$10+SQRT(C506*($D$10-$B$10)*($C$10-$B$10)),$D$10-SQRT((1-C506)*($D$10-$B$10)*($D$10-$C$10))),"PERT",_xlfn.BETA.INV(C506,1+$B$6*($C$10-$B$10)/($D$10-$B$10),1+$B$6*($D$10-$C$10)/($D$10-$B$10),$B$10,$D$10))</f>
        <v>5093.1814669634314</v>
      </c>
      <c r="F506" s="88">
        <f t="shared" ca="1" si="22"/>
        <v>0.53750837116528571</v>
      </c>
      <c r="G506" s="89">
        <f t="shared" ca="1" si="23"/>
        <v>1.6460537255044184E-4</v>
      </c>
    </row>
    <row r="507" spans="1:7" x14ac:dyDescent="0.35">
      <c r="A507" s="84">
        <v>492</v>
      </c>
      <c r="B507" s="84">
        <f t="shared" ca="1" si="21"/>
        <v>0.14183971633909709</v>
      </c>
      <c r="C507" s="84">
        <f t="shared" ca="1" si="21"/>
        <v>0.59152773859479291</v>
      </c>
      <c r="D507" s="93" cm="1">
        <f t="array" aca="1" ref="D507" ca="1">_xlfn.SWITCH($B$4,"Normal MLE",EXP(_xlfn.NORM.INV(B507,LN($C$9),$E$9/$C$9)),"Uniforme",$B$9+($D$9-$B$9)*B507,"Triangular",IF(B507&lt;=($C$9-$B$9)/($D$9-$B$9),$B$9+SQRT(B507*($D$9-$B$9)*($C$9-$B$9)),$D$9-SQRT((1-B507)*($D$9-$B$9)*($D$9-$C$9))),"PERT",_xlfn.BETA.INV(B507,1+$B$6*($C$9-$B$9)/($D$9-$B$9),1+$B$6*($D$9-$C$9)/($D$9-$B$9),$B$9,$D$9))</f>
        <v>1.8060474461484712</v>
      </c>
      <c r="E507" s="94" cm="1">
        <f t="array" aca="1" ref="E507" ca="1">_xlfn.SWITCH($B$4,"Normal MLE",EXP(_xlfn.NORM.INV(C507,LN($C$10),$E$10/$C$10)),"Uniforme",$B$10+($D$10-$B$10)*C507,"Triangular",IF(C507&lt;=($C$10-$B$10)/($D$10-$B$10),$B$10+SQRT(C507*($D$10-$B$10)*($C$10-$B$10)),$D$10-SQRT((1-C507)*($D$10-$B$10)*($D$10-$C$10))),"PERT",_xlfn.BETA.INV(C507,1+$B$6*($C$10-$B$10)/($D$10-$B$10),1+$B$6*($D$10-$C$10)/($D$10-$B$10),$B$10,$D$10))</f>
        <v>5155.005669316377</v>
      </c>
      <c r="F507" s="88">
        <f t="shared" ca="1" si="22"/>
        <v>0.53128616492130065</v>
      </c>
      <c r="G507" s="89">
        <f t="shared" ca="1" si="23"/>
        <v>1.5171445036273599E-4</v>
      </c>
    </row>
    <row r="508" spans="1:7" x14ac:dyDescent="0.35">
      <c r="A508" s="84">
        <v>493</v>
      </c>
      <c r="B508" s="84">
        <f t="shared" ca="1" si="21"/>
        <v>0.57998567544287916</v>
      </c>
      <c r="C508" s="84">
        <f t="shared" ca="1" si="21"/>
        <v>0.8216826644445816</v>
      </c>
      <c r="D508" s="93" cm="1">
        <f t="array" aca="1" ref="D508" ca="1">_xlfn.SWITCH($B$4,"Normal MLE",EXP(_xlfn.NORM.INV(B508,LN($C$9),$E$9/$C$9)),"Uniforme",$B$9+($D$9-$B$9)*B508,"Triangular",IF(B508&lt;=($C$9-$B$9)/($D$9-$B$9),$B$9+SQRT(B508*($D$9-$B$9)*($C$9-$B$9)),$D$9-SQRT((1-B508)*($D$9-$B$9)*($D$9-$C$9))),"PERT",_xlfn.BETA.INV(B508,1+$B$6*($C$9-$B$9)/($D$9-$B$9),1+$B$6*($D$9-$C$9)/($D$9-$B$9),$B$9,$D$9))</f>
        <v>1.97555904950443</v>
      </c>
      <c r="E508" s="94" cm="1">
        <f t="array" aca="1" ref="E508" ca="1">_xlfn.SWITCH($B$4,"Normal MLE",EXP(_xlfn.NORM.INV(C508,LN($C$10),$E$10/$C$10)),"Uniforme",$B$10+($D$10-$B$10)*C508,"Triangular",IF(C508&lt;=($C$10-$B$10)/($D$10-$B$10),$B$10+SQRT(C508*($D$10-$B$10)*($C$10-$B$10)),$D$10-SQRT((1-C508)*($D$10-$B$10)*($D$10-$C$10))),"PERT",_xlfn.BETA.INV(C508,1+$B$6*($C$10-$B$10)/($D$10-$B$10),1+$B$6*($D$10-$C$10)/($D$10-$B$10),$B$10,$D$10))</f>
        <v>5323.2912738757959</v>
      </c>
      <c r="F508" s="88">
        <f t="shared" ca="1" si="22"/>
        <v>0.56632789862129274</v>
      </c>
      <c r="G508" s="89">
        <f t="shared" ca="1" si="23"/>
        <v>1.5903441643416152E-4</v>
      </c>
    </row>
    <row r="509" spans="1:7" x14ac:dyDescent="0.35">
      <c r="A509" s="84">
        <v>494</v>
      </c>
      <c r="B509" s="84">
        <f t="shared" ca="1" si="21"/>
        <v>0.37902938761458882</v>
      </c>
      <c r="C509" s="84">
        <f t="shared" ca="1" si="21"/>
        <v>0.88679646745663088</v>
      </c>
      <c r="D509" s="93" cm="1">
        <f t="array" aca="1" ref="D509" ca="1">_xlfn.SWITCH($B$4,"Normal MLE",EXP(_xlfn.NORM.INV(B509,LN($C$9),$E$9/$C$9)),"Uniforme",$B$9+($D$9-$B$9)*B509,"Triangular",IF(B509&lt;=($C$9-$B$9)/($D$9-$B$9),$B$9+SQRT(B509*($D$9-$B$9)*($C$9-$B$9)),$D$9-SQRT((1-B509)*($D$9-$B$9)*($D$9-$C$9))),"PERT",_xlfn.BETA.INV(B509,1+$B$6*($C$9-$B$9)/($D$9-$B$9),1+$B$6*($D$9-$C$9)/($D$9-$B$9),$B$9,$D$9))</f>
        <v>1.905882947258319</v>
      </c>
      <c r="E509" s="94" cm="1">
        <f t="array" aca="1" ref="E509" ca="1">_xlfn.SWITCH($B$4,"Normal MLE",EXP(_xlfn.NORM.INV(C509,LN($C$10),$E$10/$C$10)),"Uniforme",$B$10+($D$10-$B$10)*C509,"Triangular",IF(C509&lt;=($C$10-$B$10)/($D$10-$B$10),$B$10+SQRT(C509*($D$10-$B$10)*($C$10-$B$10)),$D$10-SQRT((1-C509)*($D$10-$B$10)*($D$10-$C$10))),"PERT",_xlfn.BETA.INV(C509,1+$B$6*($C$10-$B$10)/($D$10-$B$10),1+$B$6*($D$10-$C$10)/($D$10-$B$10),$B$10,$D$10))</f>
        <v>5395.0807931439294</v>
      </c>
      <c r="F509" s="88">
        <f t="shared" ca="1" si="22"/>
        <v>0.56813458563215857</v>
      </c>
      <c r="G509" s="89">
        <f t="shared" ca="1" si="23"/>
        <v>1.5305267206039156E-4</v>
      </c>
    </row>
    <row r="510" spans="1:7" x14ac:dyDescent="0.35">
      <c r="A510" s="84">
        <v>495</v>
      </c>
      <c r="B510" s="84">
        <f t="shared" ca="1" si="21"/>
        <v>0.2449888515218841</v>
      </c>
      <c r="C510" s="84">
        <f t="shared" ca="1" si="21"/>
        <v>0.75591967712875807</v>
      </c>
      <c r="D510" s="93" cm="1">
        <f t="array" aca="1" ref="D510" ca="1">_xlfn.SWITCH($B$4,"Normal MLE",EXP(_xlfn.NORM.INV(B510,LN($C$9),$E$9/$C$9)),"Uniforme",$B$9+($D$9-$B$9)*B510,"Triangular",IF(B510&lt;=($C$9-$B$9)/($D$9-$B$9),$B$9+SQRT(B510*($D$9-$B$9)*($C$9-$B$9)),$D$9-SQRT((1-B510)*($D$9-$B$9)*($D$9-$C$9))),"PERT",_xlfn.BETA.INV(B510,1+$B$6*($C$9-$B$9)/($D$9-$B$9),1+$B$6*($D$9-$C$9)/($D$9-$B$9),$B$9,$D$9))</f>
        <v>1.8552567321542899</v>
      </c>
      <c r="E510" s="94" cm="1">
        <f t="array" aca="1" ref="E510" ca="1">_xlfn.SWITCH($B$4,"Normal MLE",EXP(_xlfn.NORM.INV(C510,LN($C$10),$E$10/$C$10)),"Uniforme",$B$10+($D$10-$B$10)*C510,"Triangular",IF(C510&lt;=($C$10-$B$10)/($D$10-$B$10),$B$10+SQRT(C510*($D$10-$B$10)*($C$10-$B$10)),$D$10-SQRT((1-C510)*($D$10-$B$10)*($D$10-$C$10))),"PERT",_xlfn.BETA.INV(C510,1+$B$6*($C$10-$B$10)/($D$10-$B$10),1+$B$6*($D$10-$C$10)/($D$10-$B$10),$B$10,$D$10))</f>
        <v>5266.9735827359245</v>
      </c>
      <c r="F510" s="88">
        <f t="shared" ca="1" si="22"/>
        <v>0.54870287194441059</v>
      </c>
      <c r="G510" s="89">
        <f t="shared" ca="1" si="23"/>
        <v>1.5274814592519721E-4</v>
      </c>
    </row>
    <row r="511" spans="1:7" x14ac:dyDescent="0.35">
      <c r="A511" s="84">
        <v>496</v>
      </c>
      <c r="B511" s="84">
        <f t="shared" ca="1" si="21"/>
        <v>0.87711352837148704</v>
      </c>
      <c r="C511" s="84">
        <f t="shared" ca="1" si="21"/>
        <v>0.64392960399322552</v>
      </c>
      <c r="D511" s="93" cm="1">
        <f t="array" aca="1" ref="D511" ca="1">_xlfn.SWITCH($B$4,"Normal MLE",EXP(_xlfn.NORM.INV(B511,LN($C$9),$E$9/$C$9)),"Uniforme",$B$9+($D$9-$B$9)*B511,"Triangular",IF(B511&lt;=($C$9-$B$9)/($D$9-$B$9),$B$9+SQRT(B511*($D$9-$B$9)*($C$9-$B$9)),$D$9-SQRT((1-B511)*($D$9-$B$9)*($D$9-$C$9))),"PERT",_xlfn.BETA.INV(B511,1+$B$6*($C$9-$B$9)/($D$9-$B$9),1+$B$6*($D$9-$C$9)/($D$9-$B$9),$B$9,$D$9))</f>
        <v>2.1135544261176591</v>
      </c>
      <c r="E511" s="94" cm="1">
        <f t="array" aca="1" ref="E511" ca="1">_xlfn.SWITCH($B$4,"Normal MLE",EXP(_xlfn.NORM.INV(C511,LN($C$10),$E$10/$C$10)),"Uniforme",$B$10+($D$10-$B$10)*C511,"Triangular",IF(C511&lt;=($C$10-$B$10)/($D$10-$B$10),$B$10+SQRT(C511*($D$10-$B$10)*($C$10-$B$10)),$D$10-SQRT((1-C511)*($D$10-$B$10)*($D$10-$C$10))),"PERT",_xlfn.BETA.INV(C511,1+$B$6*($C$10-$B$10)/($D$10-$B$10),1+$B$6*($D$10-$C$10)/($D$10-$B$10),$B$10,$D$10))</f>
        <v>5188.0969518372503</v>
      </c>
      <c r="F511" s="88">
        <f t="shared" ca="1" si="22"/>
        <v>0.56150429220182152</v>
      </c>
      <c r="G511" s="89">
        <f t="shared" ca="1" si="23"/>
        <v>1.7123186432371204E-4</v>
      </c>
    </row>
    <row r="512" spans="1:7" x14ac:dyDescent="0.35">
      <c r="A512" s="84">
        <v>497</v>
      </c>
      <c r="B512" s="84">
        <f t="shared" ca="1" si="21"/>
        <v>0.70183222622576835</v>
      </c>
      <c r="C512" s="84">
        <f t="shared" ca="1" si="21"/>
        <v>0.66564993601717293</v>
      </c>
      <c r="D512" s="93" cm="1">
        <f t="array" aca="1" ref="D512" ca="1">_xlfn.SWITCH($B$4,"Normal MLE",EXP(_xlfn.NORM.INV(B512,LN($C$9),$E$9/$C$9)),"Uniforme",$B$9+($D$9-$B$9)*B512,"Triangular",IF(B512&lt;=($C$9-$B$9)/($D$9-$B$9),$B$9+SQRT(B512*($D$9-$B$9)*($C$9-$B$9)),$D$9-SQRT((1-B512)*($D$9-$B$9)*($D$9-$C$9))),"PERT",_xlfn.BETA.INV(B512,1+$B$6*($C$9-$B$9)/($D$9-$B$9),1+$B$6*($D$9-$C$9)/($D$9-$B$9),$B$9,$D$9))</f>
        <v>2.0216952273793152</v>
      </c>
      <c r="E512" s="94" cm="1">
        <f t="array" aca="1" ref="E512" ca="1">_xlfn.SWITCH($B$4,"Normal MLE",EXP(_xlfn.NORM.INV(C512,LN($C$10),$E$10/$C$10)),"Uniforme",$B$10+($D$10-$B$10)*C512,"Triangular",IF(C512&lt;=($C$10-$B$10)/($D$10-$B$10),$B$10+SQRT(C512*($D$10-$B$10)*($C$10-$B$10)),$D$10-SQRT((1-C512)*($D$10-$B$10)*($D$10-$C$10))),"PERT",_xlfn.BETA.INV(C512,1+$B$6*($C$10-$B$10)/($D$10-$B$10),1+$B$6*($D$10-$C$10)/($D$10-$B$10),$B$10,$D$10))</f>
        <v>5202.3485145951418</v>
      </c>
      <c r="F512" s="88">
        <f t="shared" ca="1" si="22"/>
        <v>0.55553669283033802</v>
      </c>
      <c r="G512" s="89">
        <f t="shared" ca="1" si="23"/>
        <v>1.6504913740391326E-4</v>
      </c>
    </row>
    <row r="513" spans="1:7" x14ac:dyDescent="0.35">
      <c r="A513" s="84">
        <v>498</v>
      </c>
      <c r="B513" s="84">
        <f t="shared" ca="1" si="21"/>
        <v>0.91885417680014025</v>
      </c>
      <c r="C513" s="84">
        <f t="shared" ca="1" si="21"/>
        <v>0.65016344559654193</v>
      </c>
      <c r="D513" s="93" cm="1">
        <f t="array" aca="1" ref="D513" ca="1">_xlfn.SWITCH($B$4,"Normal MLE",EXP(_xlfn.NORM.INV(B513,LN($C$9),$E$9/$C$9)),"Uniforme",$B$9+($D$9-$B$9)*B513,"Triangular",IF(B513&lt;=($C$9-$B$9)/($D$9-$B$9),$B$9+SQRT(B513*($D$9-$B$9)*($C$9-$B$9)),$D$9-SQRT((1-B513)*($D$9-$B$9)*($D$9-$C$9))),"PERT",_xlfn.BETA.INV(B513,1+$B$6*($C$9-$B$9)/($D$9-$B$9),1+$B$6*($D$9-$C$9)/($D$9-$B$9),$B$9,$D$9))</f>
        <v>2.1490832065851033</v>
      </c>
      <c r="E513" s="94" cm="1">
        <f t="array" aca="1" ref="E513" ca="1">_xlfn.SWITCH($B$4,"Normal MLE",EXP(_xlfn.NORM.INV(C513,LN($C$10),$E$10/$C$10)),"Uniforme",$B$10+($D$10-$B$10)*C513,"Triangular",IF(C513&lt;=($C$10-$B$10)/($D$10-$B$10),$B$10+SQRT(C513*($D$10-$B$10)*($C$10-$B$10)),$D$10-SQRT((1-C513)*($D$10-$B$10)*($D$10-$C$10))),"PERT",_xlfn.BETA.INV(C513,1+$B$6*($C$10-$B$10)/($D$10-$B$10),1+$B$6*($D$10-$C$10)/($D$10-$B$10),$B$10,$D$10))</f>
        <v>5192.1494680285032</v>
      </c>
      <c r="F513" s="88">
        <f t="shared" ca="1" si="22"/>
        <v>0.56503426104991439</v>
      </c>
      <c r="G513" s="89">
        <f t="shared" ca="1" si="23"/>
        <v>1.7330233469878362E-4</v>
      </c>
    </row>
    <row r="514" spans="1:7" x14ac:dyDescent="0.35">
      <c r="A514" s="84">
        <v>499</v>
      </c>
      <c r="B514" s="84">
        <f t="shared" ca="1" si="21"/>
        <v>9.6888525703073269E-2</v>
      </c>
      <c r="C514" s="84">
        <f t="shared" ca="1" si="21"/>
        <v>0.69443439987272004</v>
      </c>
      <c r="D514" s="93" cm="1">
        <f t="array" aca="1" ref="D514" ca="1">_xlfn.SWITCH($B$4,"Normal MLE",EXP(_xlfn.NORM.INV(B514,LN($C$9),$E$9/$C$9)),"Uniforme",$B$9+($D$9-$B$9)*B514,"Triangular",IF(B514&lt;=($C$9-$B$9)/($D$9-$B$9),$B$9+SQRT(B514*($D$9-$B$9)*($C$9-$B$9)),$D$9-SQRT((1-B514)*($D$9-$B$9)*($D$9-$C$9))),"PERT",_xlfn.BETA.INV(B514,1+$B$6*($C$9-$B$9)/($D$9-$B$9),1+$B$6*($D$9-$C$9)/($D$9-$B$9),$B$9,$D$9))</f>
        <v>1.7773573341456845</v>
      </c>
      <c r="E514" s="94" cm="1">
        <f t="array" aca="1" ref="E514" ca="1">_xlfn.SWITCH($B$4,"Normal MLE",EXP(_xlfn.NORM.INV(C514,LN($C$10),$E$10/$C$10)),"Uniforme",$B$10+($D$10-$B$10)*C514,"Triangular",IF(C514&lt;=($C$10-$B$10)/($D$10-$B$10),$B$10+SQRT(C514*($D$10-$B$10)*($C$10-$B$10)),$D$10-SQRT((1-C514)*($D$10-$B$10)*($D$10-$C$10))),"PERT",_xlfn.BETA.INV(C514,1+$B$6*($C$10-$B$10)/($D$10-$B$10),1+$B$6*($D$10-$C$10)/($D$10-$B$10),$B$10,$D$10))</f>
        <v>5221.8796088620784</v>
      </c>
      <c r="F514" s="88">
        <f t="shared" ca="1" si="22"/>
        <v>0.53652313844782862</v>
      </c>
      <c r="G514" s="89">
        <f t="shared" ca="1" si="23"/>
        <v>1.4843767102160781E-4</v>
      </c>
    </row>
    <row r="515" spans="1:7" x14ac:dyDescent="0.35">
      <c r="A515" s="84">
        <v>500</v>
      </c>
      <c r="B515" s="84">
        <f t="shared" ca="1" si="21"/>
        <v>0.7568475771947577</v>
      </c>
      <c r="C515" s="84">
        <f t="shared" ca="1" si="21"/>
        <v>0.6907296430507277</v>
      </c>
      <c r="D515" s="93" cm="1">
        <f t="array" aca="1" ref="D515" ca="1">_xlfn.SWITCH($B$4,"Normal MLE",EXP(_xlfn.NORM.INV(B515,LN($C$9),$E$9/$C$9)),"Uniforme",$B$9+($D$9-$B$9)*B515,"Triangular",IF(B515&lt;=($C$9-$B$9)/($D$9-$B$9),$B$9+SQRT(B515*($D$9-$B$9)*($C$9-$B$9)),$D$9-SQRT((1-B515)*($D$9-$B$9)*($D$9-$C$9))),"PERT",_xlfn.BETA.INV(B515,1+$B$6*($C$9-$B$9)/($D$9-$B$9),1+$B$6*($D$9-$C$9)/($D$9-$B$9),$B$9,$D$9))</f>
        <v>2.0455417446594617</v>
      </c>
      <c r="E515" s="94" cm="1">
        <f t="array" aca="1" ref="E515" ca="1">_xlfn.SWITCH($B$4,"Normal MLE",EXP(_xlfn.NORM.INV(C515,LN($C$10),$E$10/$C$10)),"Uniforme",$B$10+($D$10-$B$10)*C515,"Triangular",IF(C515&lt;=($C$10-$B$10)/($D$10-$B$10),$B$10+SQRT(C515*($D$10-$B$10)*($C$10-$B$10)),$D$10-SQRT((1-C515)*($D$10-$B$10)*($D$10-$C$10))),"PERT",_xlfn.BETA.INV(C515,1+$B$6*($C$10-$B$10)/($D$10-$B$10),1+$B$6*($D$10-$C$10)/($D$10-$B$10),$B$10,$D$10))</f>
        <v>5219.3191000281195</v>
      </c>
      <c r="F515" s="88">
        <f t="shared" ca="1" si="22"/>
        <v>0.5597474829703698</v>
      </c>
      <c r="G515" s="89">
        <f t="shared" ca="1" si="23"/>
        <v>1.6610024149364997E-4</v>
      </c>
    </row>
    <row r="516" spans="1:7" x14ac:dyDescent="0.35">
      <c r="A516" s="84">
        <v>501</v>
      </c>
      <c r="B516" s="84">
        <f t="shared" ca="1" si="21"/>
        <v>0.12471534071628299</v>
      </c>
      <c r="C516" s="84">
        <f t="shared" ca="1" si="21"/>
        <v>0.33544451571083833</v>
      </c>
      <c r="D516" s="93" cm="1">
        <f t="array" aca="1" ref="D516" ca="1">_xlfn.SWITCH($B$4,"Normal MLE",EXP(_xlfn.NORM.INV(B516,LN($C$9),$E$9/$C$9)),"Uniforme",$B$9+($D$9-$B$9)*B516,"Triangular",IF(B516&lt;=($C$9-$B$9)/($D$9-$B$9),$B$9+SQRT(B516*($D$9-$B$9)*($C$9-$B$9)),$D$9-SQRT((1-B516)*($D$9-$B$9)*($D$9-$C$9))),"PERT",_xlfn.BETA.INV(B516,1+$B$6*($C$9-$B$9)/($D$9-$B$9),1+$B$6*($D$9-$C$9)/($D$9-$B$9),$B$9,$D$9))</f>
        <v>1.7959467388659613</v>
      </c>
      <c r="E516" s="94" cm="1">
        <f t="array" aca="1" ref="E516" ca="1">_xlfn.SWITCH($B$4,"Normal MLE",EXP(_xlfn.NORM.INV(C516,LN($C$10),$E$10/$C$10)),"Uniforme",$B$10+($D$10-$B$10)*C516,"Triangular",IF(C516&lt;=($C$10-$B$10)/($D$10-$B$10),$B$10+SQRT(C516*($D$10-$B$10)*($C$10-$B$10)),$D$10-SQRT((1-C516)*($D$10-$B$10)*($D$10-$C$10))),"PERT",_xlfn.BETA.INV(C516,1+$B$6*($C$10-$B$10)/($D$10-$B$10),1+$B$6*($D$10-$C$10)/($D$10-$B$10),$B$10,$D$10))</f>
        <v>4999.9248337166791</v>
      </c>
      <c r="F516" s="88">
        <f t="shared" ca="1" si="22"/>
        <v>0.51179406862410104</v>
      </c>
      <c r="G516" s="89">
        <f t="shared" ca="1" si="23"/>
        <v>1.5392005637252952E-4</v>
      </c>
    </row>
    <row r="517" spans="1:7" x14ac:dyDescent="0.35">
      <c r="A517" s="84">
        <v>502</v>
      </c>
      <c r="B517" s="84">
        <f t="shared" ca="1" si="21"/>
        <v>0.33976970556649666</v>
      </c>
      <c r="C517" s="84">
        <f t="shared" ca="1" si="21"/>
        <v>0.77713856288350647</v>
      </c>
      <c r="D517" s="93" cm="1">
        <f t="array" aca="1" ref="D517" ca="1">_xlfn.SWITCH($B$4,"Normal MLE",EXP(_xlfn.NORM.INV(B517,LN($C$9),$E$9/$C$9)),"Uniforme",$B$9+($D$9-$B$9)*B517,"Triangular",IF(B517&lt;=($C$9-$B$9)/($D$9-$B$9),$B$9+SQRT(B517*($D$9-$B$9)*($C$9-$B$9)),$D$9-SQRT((1-B517)*($D$9-$B$9)*($D$9-$C$9))),"PERT",_xlfn.BETA.INV(B517,1+$B$6*($C$9-$B$9)/($D$9-$B$9),1+$B$6*($D$9-$C$9)/($D$9-$B$9),$B$9,$D$9))</f>
        <v>1.8918346385622455</v>
      </c>
      <c r="E517" s="94" cm="1">
        <f t="array" aca="1" ref="E517" ca="1">_xlfn.SWITCH($B$4,"Normal MLE",EXP(_xlfn.NORM.INV(C517,LN($C$10),$E$10/$C$10)),"Uniforme",$B$10+($D$10-$B$10)*C517,"Triangular",IF(C517&lt;=($C$10-$B$10)/($D$10-$B$10),$B$10+SQRT(C517*($D$10-$B$10)*($C$10-$B$10)),$D$10-SQRT((1-C517)*($D$10-$B$10)*($D$10-$C$10))),"PERT",_xlfn.BETA.INV(C517,1+$B$6*($C$10-$B$10)/($D$10-$B$10),1+$B$6*($D$10-$C$10)/($D$10-$B$10),$B$10,$D$10))</f>
        <v>5283.9928849663956</v>
      </c>
      <c r="F517" s="88">
        <f t="shared" ca="1" si="22"/>
        <v>0.55401021313028498</v>
      </c>
      <c r="G517" s="89">
        <f t="shared" ca="1" si="23"/>
        <v>1.5474403628346295E-4</v>
      </c>
    </row>
    <row r="518" spans="1:7" x14ac:dyDescent="0.35">
      <c r="A518" s="84">
        <v>503</v>
      </c>
      <c r="B518" s="84">
        <f t="shared" ca="1" si="21"/>
        <v>0.7396519638597755</v>
      </c>
      <c r="C518" s="84">
        <f t="shared" ca="1" si="21"/>
        <v>0.23802835397339484</v>
      </c>
      <c r="D518" s="93" cm="1">
        <f t="array" aca="1" ref="D518" ca="1">_xlfn.SWITCH($B$4,"Normal MLE",EXP(_xlfn.NORM.INV(B518,LN($C$9),$E$9/$C$9)),"Uniforme",$B$9+($D$9-$B$9)*B518,"Triangular",IF(B518&lt;=($C$9-$B$9)/($D$9-$B$9),$B$9+SQRT(B518*($D$9-$B$9)*($C$9-$B$9)),$D$9-SQRT((1-B518)*($D$9-$B$9)*($D$9-$C$9))),"PERT",_xlfn.BETA.INV(B518,1+$B$6*($C$9-$B$9)/($D$9-$B$9),1+$B$6*($D$9-$C$9)/($D$9-$B$9),$B$9,$D$9))</f>
        <v>2.0377887675867212</v>
      </c>
      <c r="E518" s="94" cm="1">
        <f t="array" aca="1" ref="E518" ca="1">_xlfn.SWITCH($B$4,"Normal MLE",EXP(_xlfn.NORM.INV(C518,LN($C$10),$E$10/$C$10)),"Uniforme",$B$10+($D$10-$B$10)*C518,"Triangular",IF(C518&lt;=($C$10-$B$10)/($D$10-$B$10),$B$10+SQRT(C518*($D$10-$B$10)*($C$10-$B$10)),$D$10-SQRT((1-C518)*($D$10-$B$10)*($D$10-$C$10))),"PERT",_xlfn.BETA.INV(C518,1+$B$6*($C$10-$B$10)/($D$10-$B$10),1+$B$6*($D$10-$C$10)/($D$10-$B$10),$B$10,$D$10))</f>
        <v>4933.4252360105565</v>
      </c>
      <c r="F518" s="88">
        <f t="shared" ca="1" si="22"/>
        <v>0.52089856843883831</v>
      </c>
      <c r="G518" s="89">
        <f t="shared" ca="1" si="23"/>
        <v>1.730745028447194E-4</v>
      </c>
    </row>
    <row r="519" spans="1:7" x14ac:dyDescent="0.35">
      <c r="A519" s="84">
        <v>504</v>
      </c>
      <c r="B519" s="84">
        <f t="shared" ca="1" si="21"/>
        <v>0.2103047008638449</v>
      </c>
      <c r="C519" s="84">
        <f t="shared" ca="1" si="21"/>
        <v>0.27366493316507379</v>
      </c>
      <c r="D519" s="93" cm="1">
        <f t="array" aca="1" ref="D519" ca="1">_xlfn.SWITCH($B$4,"Normal MLE",EXP(_xlfn.NORM.INV(B519,LN($C$9),$E$9/$C$9)),"Uniforme",$B$9+($D$9-$B$9)*B519,"Triangular",IF(B519&lt;=($C$9-$B$9)/($D$9-$B$9),$B$9+SQRT(B519*($D$9-$B$9)*($C$9-$B$9)),$D$9-SQRT((1-B519)*($D$9-$B$9)*($D$9-$C$9))),"PERT",_xlfn.BETA.INV(B519,1+$B$6*($C$9-$B$9)/($D$9-$B$9),1+$B$6*($D$9-$C$9)/($D$9-$B$9),$B$9,$D$9))</f>
        <v>1.840290477407196</v>
      </c>
      <c r="E519" s="94" cm="1">
        <f t="array" aca="1" ref="E519" ca="1">_xlfn.SWITCH($B$4,"Normal MLE",EXP(_xlfn.NORM.INV(C519,LN($C$10),$E$10/$C$10)),"Uniforme",$B$10+($D$10-$B$10)*C519,"Triangular",IF(C519&lt;=($C$10-$B$10)/($D$10-$B$10),$B$10+SQRT(C519*($D$10-$B$10)*($C$10-$B$10)),$D$10-SQRT((1-C519)*($D$10-$B$10)*($D$10-$C$10))),"PERT",_xlfn.BETA.INV(C519,1+$B$6*($C$10-$B$10)/($D$10-$B$10),1+$B$6*($D$10-$C$10)/($D$10-$B$10),$B$10,$D$10))</f>
        <v>4958.9491438067862</v>
      </c>
      <c r="F519" s="88">
        <f t="shared" ca="1" si="22"/>
        <v>0.50999291646392331</v>
      </c>
      <c r="G519" s="89">
        <f t="shared" ca="1" si="23"/>
        <v>1.5799263462482201E-4</v>
      </c>
    </row>
    <row r="520" spans="1:7" x14ac:dyDescent="0.35">
      <c r="A520" s="84">
        <v>505</v>
      </c>
      <c r="B520" s="84">
        <f t="shared" ca="1" si="21"/>
        <v>0.65894458819147661</v>
      </c>
      <c r="C520" s="84">
        <f t="shared" ca="1" si="21"/>
        <v>0.34554659795141596</v>
      </c>
      <c r="D520" s="93" cm="1">
        <f t="array" aca="1" ref="D520" ca="1">_xlfn.SWITCH($B$4,"Normal MLE",EXP(_xlfn.NORM.INV(B520,LN($C$9),$E$9/$C$9)),"Uniforme",$B$9+($D$9-$B$9)*B520,"Triangular",IF(B520&lt;=($C$9-$B$9)/($D$9-$B$9),$B$9+SQRT(B520*($D$9-$B$9)*($C$9-$B$9)),$D$9-SQRT((1-B520)*($D$9-$B$9)*($D$9-$C$9))),"PERT",_xlfn.BETA.INV(B520,1+$B$6*($C$9-$B$9)/($D$9-$B$9),1+$B$6*($D$9-$C$9)/($D$9-$B$9),$B$9,$D$9))</f>
        <v>2.004670061489231</v>
      </c>
      <c r="E520" s="94" cm="1">
        <f t="array" aca="1" ref="E520" ca="1">_xlfn.SWITCH($B$4,"Normal MLE",EXP(_xlfn.NORM.INV(C520,LN($C$10),$E$10/$C$10)),"Uniforme",$B$10+($D$10-$B$10)*C520,"Triangular",IF(C520&lt;=($C$10-$B$10)/($D$10-$B$10),$B$10+SQRT(C520*($D$10-$B$10)*($C$10-$B$10)),$D$10-SQRT((1-C520)*($D$10-$B$10)*($D$10-$C$10))),"PERT",_xlfn.BETA.INV(C520,1+$B$6*($C$10-$B$10)/($D$10-$B$10),1+$B$6*($D$10-$C$10)/($D$10-$B$10),$B$10,$D$10))</f>
        <v>5006.3403985220511</v>
      </c>
      <c r="F520" s="88">
        <f t="shared" ca="1" si="22"/>
        <v>0.52850064113009199</v>
      </c>
      <c r="G520" s="89">
        <f t="shared" ca="1" si="23"/>
        <v>1.6890889368256136E-4</v>
      </c>
    </row>
    <row r="521" spans="1:7" x14ac:dyDescent="0.35">
      <c r="A521" s="84">
        <v>506</v>
      </c>
      <c r="B521" s="84">
        <f t="shared" ca="1" si="21"/>
        <v>0.27113345487217166</v>
      </c>
      <c r="C521" s="84">
        <f t="shared" ca="1" si="21"/>
        <v>0.78658968713413968</v>
      </c>
      <c r="D521" s="93" cm="1">
        <f t="array" aca="1" ref="D521" ca="1">_xlfn.SWITCH($B$4,"Normal MLE",EXP(_xlfn.NORM.INV(B521,LN($C$9),$E$9/$C$9)),"Uniforme",$B$9+($D$9-$B$9)*B521,"Triangular",IF(B521&lt;=($C$9-$B$9)/($D$9-$B$9),$B$9+SQRT(B521*($D$9-$B$9)*($C$9-$B$9)),$D$9-SQRT((1-B521)*($D$9-$B$9)*($D$9-$C$9))),"PERT",_xlfn.BETA.INV(B521,1+$B$6*($C$9-$B$9)/($D$9-$B$9),1+$B$6*($D$9-$C$9)/($D$9-$B$9),$B$9,$D$9))</f>
        <v>1.8658634941119514</v>
      </c>
      <c r="E521" s="94" cm="1">
        <f t="array" aca="1" ref="E521" ca="1">_xlfn.SWITCH($B$4,"Normal MLE",EXP(_xlfn.NORM.INV(C521,LN($C$10),$E$10/$C$10)),"Uniforme",$B$10+($D$10-$B$10)*C521,"Triangular",IF(C521&lt;=($C$10-$B$10)/($D$10-$B$10),$B$10+SQRT(C521*($D$10-$B$10)*($C$10-$B$10)),$D$10-SQRT((1-C521)*($D$10-$B$10)*($D$10-$C$10))),"PERT",_xlfn.BETA.INV(C521,1+$B$6*($C$10-$B$10)/($D$10-$B$10),1+$B$6*($D$10-$C$10)/($D$10-$B$10),$B$10,$D$10))</f>
        <v>5291.8865809975287</v>
      </c>
      <c r="F521" s="88">
        <f t="shared" ca="1" si="22"/>
        <v>0.55255465031061746</v>
      </c>
      <c r="G521" s="89">
        <f t="shared" ca="1" si="23"/>
        <v>1.5289680366169499E-4</v>
      </c>
    </row>
    <row r="522" spans="1:7" x14ac:dyDescent="0.35">
      <c r="A522" s="84">
        <v>507</v>
      </c>
      <c r="B522" s="84">
        <f t="shared" ca="1" si="21"/>
        <v>0.88524723941944505</v>
      </c>
      <c r="C522" s="84">
        <f t="shared" ca="1" si="21"/>
        <v>0.82243615205795173</v>
      </c>
      <c r="D522" s="93" cm="1">
        <f t="array" aca="1" ref="D522" ca="1">_xlfn.SWITCH($B$4,"Normal MLE",EXP(_xlfn.NORM.INV(B522,LN($C$9),$E$9/$C$9)),"Uniforme",$B$9+($D$9-$B$9)*B522,"Triangular",IF(B522&lt;=($C$9-$B$9)/($D$9-$B$9),$B$9+SQRT(B522*($D$9-$B$9)*($C$9-$B$9)),$D$9-SQRT((1-B522)*($D$9-$B$9)*($D$9-$C$9))),"PERT",_xlfn.BETA.INV(B522,1+$B$6*($C$9-$B$9)/($D$9-$B$9),1+$B$6*($D$9-$C$9)/($D$9-$B$9),$B$9,$D$9))</f>
        <v>2.1196588923450541</v>
      </c>
      <c r="E522" s="94" cm="1">
        <f t="array" aca="1" ref="E522" ca="1">_xlfn.SWITCH($B$4,"Normal MLE",EXP(_xlfn.NORM.INV(C522,LN($C$10),$E$10/$C$10)),"Uniforme",$B$10+($D$10-$B$10)*C522,"Triangular",IF(C522&lt;=($C$10-$B$10)/($D$10-$B$10),$B$10+SQRT(C522*($D$10-$B$10)*($C$10-$B$10)),$D$10-SQRT((1-C522)*($D$10-$B$10)*($D$10-$C$10))),"PERT",_xlfn.BETA.INV(C522,1+$B$6*($C$10-$B$10)/($D$10-$B$10),1+$B$6*($D$10-$C$10)/($D$10-$B$10),$B$10,$D$10))</f>
        <v>5324.0078132813715</v>
      </c>
      <c r="F522" s="88">
        <f t="shared" ca="1" si="22"/>
        <v>0.57956010643230726</v>
      </c>
      <c r="G522" s="89">
        <f t="shared" ca="1" si="23"/>
        <v>1.6752822963449486E-4</v>
      </c>
    </row>
    <row r="523" spans="1:7" x14ac:dyDescent="0.35">
      <c r="A523" s="84">
        <v>508</v>
      </c>
      <c r="B523" s="84">
        <f t="shared" ca="1" si="21"/>
        <v>0.66164506176169668</v>
      </c>
      <c r="C523" s="84">
        <f t="shared" ca="1" si="21"/>
        <v>0.45809018522676814</v>
      </c>
      <c r="D523" s="93" cm="1">
        <f t="array" aca="1" ref="D523" ca="1">_xlfn.SWITCH($B$4,"Normal MLE",EXP(_xlfn.NORM.INV(B523,LN($C$9),$E$9/$C$9)),"Uniforme",$B$9+($D$9-$B$9)*B523,"Triangular",IF(B523&lt;=($C$9-$B$9)/($D$9-$B$9),$B$9+SQRT(B523*($D$9-$B$9)*($C$9-$B$9)),$D$9-SQRT((1-B523)*($D$9-$B$9)*($D$9-$C$9))),"PERT",_xlfn.BETA.INV(B523,1+$B$6*($C$9-$B$9)/($D$9-$B$9),1+$B$6*($D$9-$C$9)/($D$9-$B$9),$B$9,$D$9))</f>
        <v>2.0057110987376823</v>
      </c>
      <c r="E523" s="94" cm="1">
        <f t="array" aca="1" ref="E523" ca="1">_xlfn.SWITCH($B$4,"Normal MLE",EXP(_xlfn.NORM.INV(C523,LN($C$10),$E$10/$C$10)),"Uniforme",$B$10+($D$10-$B$10)*C523,"Triangular",IF(C523&lt;=($C$10-$B$10)/($D$10-$B$10),$B$10+SQRT(C523*($D$10-$B$10)*($C$10-$B$10)),$D$10-SQRT((1-C523)*($D$10-$B$10)*($D$10-$C$10))),"PERT",_xlfn.BETA.INV(C523,1+$B$6*($C$10-$B$10)/($D$10-$B$10),1+$B$6*($D$10-$C$10)/($D$10-$B$10),$B$10,$D$10))</f>
        <v>5074.8605711159635</v>
      </c>
      <c r="F523" s="88">
        <f t="shared" ca="1" si="22"/>
        <v>0.53772189677749882</v>
      </c>
      <c r="G523" s="89">
        <f t="shared" ca="1" si="23"/>
        <v>1.6728135540438683E-4</v>
      </c>
    </row>
    <row r="524" spans="1:7" x14ac:dyDescent="0.35">
      <c r="A524" s="84">
        <v>509</v>
      </c>
      <c r="B524" s="84">
        <f t="shared" ca="1" si="21"/>
        <v>0.76912931774501958</v>
      </c>
      <c r="C524" s="84">
        <f t="shared" ca="1" si="21"/>
        <v>0.84534791321865888</v>
      </c>
      <c r="D524" s="93" cm="1">
        <f t="array" aca="1" ref="D524" ca="1">_xlfn.SWITCH($B$4,"Normal MLE",EXP(_xlfn.NORM.INV(B524,LN($C$9),$E$9/$C$9)),"Uniforme",$B$9+($D$9-$B$9)*B524,"Triangular",IF(B524&lt;=($C$9-$B$9)/($D$9-$B$9),$B$9+SQRT(B524*($D$9-$B$9)*($C$9-$B$9)),$D$9-SQRT((1-B524)*($D$9-$B$9)*($D$9-$C$9))),"PERT",_xlfn.BETA.INV(B524,1+$B$6*($C$9-$B$9)/($D$9-$B$9),1+$B$6*($D$9-$C$9)/($D$9-$B$9),$B$9,$D$9))</f>
        <v>2.0512805743554452</v>
      </c>
      <c r="E524" s="94" cm="1">
        <f t="array" aca="1" ref="E524" ca="1">_xlfn.SWITCH($B$4,"Normal MLE",EXP(_xlfn.NORM.INV(C524,LN($C$10),$E$10/$C$10)),"Uniforme",$B$10+($D$10-$B$10)*C524,"Triangular",IF(C524&lt;=($C$10-$B$10)/($D$10-$B$10),$B$10+SQRT(C524*($D$10-$B$10)*($C$10-$B$10)),$D$10-SQRT((1-C524)*($D$10-$B$10)*($D$10-$C$10))),"PERT",_xlfn.BETA.INV(C524,1+$B$6*($C$10-$B$10)/($D$10-$B$10),1+$B$6*($D$10-$C$10)/($D$10-$B$10),$B$10,$D$10))</f>
        <v>5346.8481245782095</v>
      </c>
      <c r="F524" s="88">
        <f t="shared" ca="1" si="22"/>
        <v>0.57614686606607779</v>
      </c>
      <c r="G524" s="89">
        <f t="shared" ca="1" si="23"/>
        <v>1.6291432457839992E-4</v>
      </c>
    </row>
    <row r="525" spans="1:7" x14ac:dyDescent="0.35">
      <c r="A525" s="84">
        <v>510</v>
      </c>
      <c r="B525" s="84">
        <f t="shared" ca="1" si="21"/>
        <v>0.90726654034578069</v>
      </c>
      <c r="C525" s="84">
        <f t="shared" ca="1" si="21"/>
        <v>0.66161407019562291</v>
      </c>
      <c r="D525" s="93" cm="1">
        <f t="array" aca="1" ref="D525" ca="1">_xlfn.SWITCH($B$4,"Normal MLE",EXP(_xlfn.NORM.INV(B525,LN($C$9),$E$9/$C$9)),"Uniforme",$B$9+($D$9-$B$9)*B525,"Triangular",IF(B525&lt;=($C$9-$B$9)/($D$9-$B$9),$B$9+SQRT(B525*($D$9-$B$9)*($C$9-$B$9)),$D$9-SQRT((1-B525)*($D$9-$B$9)*($D$9-$C$9))),"PERT",_xlfn.BETA.INV(B525,1+$B$6*($C$9-$B$9)/($D$9-$B$9),1+$B$6*($D$9-$C$9)/($D$9-$B$9),$B$9,$D$9))</f>
        <v>2.1380192464100571</v>
      </c>
      <c r="E525" s="94" cm="1">
        <f t="array" aca="1" ref="E525" ca="1">_xlfn.SWITCH($B$4,"Normal MLE",EXP(_xlfn.NORM.INV(C525,LN($C$10),$E$10/$C$10)),"Uniforme",$B$10+($D$10-$B$10)*C525,"Triangular",IF(C525&lt;=($C$10-$B$10)/($D$10-$B$10),$B$10+SQRT(C525*($D$10-$B$10)*($C$10-$B$10)),$D$10-SQRT((1-C525)*($D$10-$B$10)*($D$10-$C$10))),"PERT",_xlfn.BETA.INV(C525,1+$B$6*($C$10-$B$10)/($D$10-$B$10),1+$B$6*($D$10-$C$10)/($D$10-$B$10),$B$10,$D$10))</f>
        <v>5199.6716058265065</v>
      </c>
      <c r="F525" s="88">
        <f t="shared" ca="1" si="22"/>
        <v>0.5651017205048019</v>
      </c>
      <c r="G525" s="89">
        <f t="shared" ca="1" si="23"/>
        <v>1.72394660081315E-4</v>
      </c>
    </row>
    <row r="526" spans="1:7" x14ac:dyDescent="0.35">
      <c r="A526" s="84">
        <v>511</v>
      </c>
      <c r="B526" s="84">
        <f t="shared" ca="1" si="21"/>
        <v>0.88563488173718741</v>
      </c>
      <c r="C526" s="84">
        <f t="shared" ca="1" si="21"/>
        <v>0.41995622661524012</v>
      </c>
      <c r="D526" s="93" cm="1">
        <f t="array" aca="1" ref="D526" ca="1">_xlfn.SWITCH($B$4,"Normal MLE",EXP(_xlfn.NORM.INV(B526,LN($C$9),$E$9/$C$9)),"Uniforme",$B$9+($D$9-$B$9)*B526,"Triangular",IF(B526&lt;=($C$9-$B$9)/($D$9-$B$9),$B$9+SQRT(B526*($D$9-$B$9)*($C$9-$B$9)),$D$9-SQRT((1-B526)*($D$9-$B$9)*($D$9-$C$9))),"PERT",_xlfn.BETA.INV(B526,1+$B$6*($C$9-$B$9)/($D$9-$B$9),1+$B$6*($D$9-$C$9)/($D$9-$B$9),$B$9,$D$9))</f>
        <v>2.1199578276274424</v>
      </c>
      <c r="E526" s="94" cm="1">
        <f t="array" aca="1" ref="E526" ca="1">_xlfn.SWITCH($B$4,"Normal MLE",EXP(_xlfn.NORM.INV(C526,LN($C$10),$E$10/$C$10)),"Uniforme",$B$10+($D$10-$B$10)*C526,"Triangular",IF(C526&lt;=($C$10-$B$10)/($D$10-$B$10),$B$10+SQRT(C526*($D$10-$B$10)*($C$10-$B$10)),$D$10-SQRT((1-C526)*($D$10-$B$10)*($D$10-$C$10))),"PERT",_xlfn.BETA.INV(C526,1+$B$6*($C$10-$B$10)/($D$10-$B$10),1+$B$6*($D$10-$C$10)/($D$10-$B$10),$B$10,$D$10))</f>
        <v>5052.0617699524691</v>
      </c>
      <c r="F526" s="88">
        <f t="shared" ca="1" si="22"/>
        <v>0.54358888529587823</v>
      </c>
      <c r="G526" s="89">
        <f t="shared" ca="1" si="23"/>
        <v>1.756126169269504E-4</v>
      </c>
    </row>
    <row r="527" spans="1:7" x14ac:dyDescent="0.35">
      <c r="A527" s="84">
        <v>512</v>
      </c>
      <c r="B527" s="84">
        <f t="shared" ca="1" si="21"/>
        <v>0.21527820052438862</v>
      </c>
      <c r="C527" s="84">
        <f t="shared" ca="1" si="21"/>
        <v>0.48716090723867622</v>
      </c>
      <c r="D527" s="93" cm="1">
        <f t="array" aca="1" ref="D527" ca="1">_xlfn.SWITCH($B$4,"Normal MLE",EXP(_xlfn.NORM.INV(B527,LN($C$9),$E$9/$C$9)),"Uniforme",$B$9+($D$9-$B$9)*B527,"Triangular",IF(B527&lt;=($C$9-$B$9)/($D$9-$B$9),$B$9+SQRT(B527*($D$9-$B$9)*($C$9-$B$9)),$D$9-SQRT((1-B527)*($D$9-$B$9)*($D$9-$C$9))),"PERT",_xlfn.BETA.INV(B527,1+$B$6*($C$9-$B$9)/($D$9-$B$9),1+$B$6*($D$9-$C$9)/($D$9-$B$9),$B$9,$D$9))</f>
        <v>1.8425110267408717</v>
      </c>
      <c r="E527" s="94" cm="1">
        <f t="array" aca="1" ref="E527" ca="1">_xlfn.SWITCH($B$4,"Normal MLE",EXP(_xlfn.NORM.INV(C527,LN($C$10),$E$10/$C$10)),"Uniforme",$B$10+($D$10-$B$10)*C527,"Triangular",IF(C527&lt;=($C$10-$B$10)/($D$10-$B$10),$B$10+SQRT(C527*($D$10-$B$10)*($C$10-$B$10)),$D$10-SQRT((1-C527)*($D$10-$B$10)*($D$10-$C$10))),"PERT",_xlfn.BETA.INV(C527,1+$B$6*($C$10-$B$10)/($D$10-$B$10),1+$B$6*($D$10-$C$10)/($D$10-$B$10),$B$10,$D$10))</f>
        <v>5092.1429286700113</v>
      </c>
      <c r="F527" s="88">
        <f t="shared" ca="1" si="22"/>
        <v>0.5267871486373169</v>
      </c>
      <c r="G527" s="89">
        <f t="shared" ca="1" si="23"/>
        <v>1.5553041314571162E-4</v>
      </c>
    </row>
    <row r="528" spans="1:7" x14ac:dyDescent="0.35">
      <c r="A528" s="84">
        <v>513</v>
      </c>
      <c r="B528" s="84">
        <f t="shared" ca="1" si="21"/>
        <v>0.8878164770821747</v>
      </c>
      <c r="C528" s="84">
        <f t="shared" ca="1" si="21"/>
        <v>0.95028003126991412</v>
      </c>
      <c r="D528" s="93" cm="1">
        <f t="array" aca="1" ref="D528" ca="1">_xlfn.SWITCH($B$4,"Normal MLE",EXP(_xlfn.NORM.INV(B528,LN($C$9),$E$9/$C$9)),"Uniforme",$B$9+($D$9-$B$9)*B528,"Triangular",IF(B528&lt;=($C$9-$B$9)/($D$9-$B$9),$B$9+SQRT(B528*($D$9-$B$9)*($C$9-$B$9)),$D$9-SQRT((1-B528)*($D$9-$B$9)*($D$9-$C$9))),"PERT",_xlfn.BETA.INV(B528,1+$B$6*($C$9-$B$9)/($D$9-$B$9),1+$B$6*($D$9-$C$9)/($D$9-$B$9),$B$9,$D$9))</f>
        <v>2.1216545983954349</v>
      </c>
      <c r="E528" s="94" cm="1">
        <f t="array" aca="1" ref="E528" ca="1">_xlfn.SWITCH($B$4,"Normal MLE",EXP(_xlfn.NORM.INV(C528,LN($C$10),$E$10/$C$10)),"Uniforme",$B$10+($D$10-$B$10)*C528,"Triangular",IF(C528&lt;=($C$10-$B$10)/($D$10-$B$10),$B$10+SQRT(C528*($D$10-$B$10)*($C$10-$B$10)),$D$10-SQRT((1-C528)*($D$10-$B$10)*($D$10-$C$10))),"PERT",_xlfn.BETA.INV(C528,1+$B$6*($C$10-$B$10)/($D$10-$B$10),1+$B$6*($D$10-$C$10)/($D$10-$B$10),$B$10,$D$10))</f>
        <v>5506.1483787181278</v>
      </c>
      <c r="F528" s="88">
        <f t="shared" ca="1" si="22"/>
        <v>0.60192558211117186</v>
      </c>
      <c r="G528" s="89">
        <f t="shared" ca="1" si="23"/>
        <v>1.6206807216524852E-4</v>
      </c>
    </row>
    <row r="529" spans="1:7" x14ac:dyDescent="0.35">
      <c r="A529" s="84">
        <v>514</v>
      </c>
      <c r="B529" s="84">
        <f t="shared" ref="B529:C592" ca="1" si="24">RAND()</f>
        <v>0.97692037694623013</v>
      </c>
      <c r="C529" s="84">
        <f t="shared" ca="1" si="24"/>
        <v>0.7061147984849192</v>
      </c>
      <c r="D529" s="93" cm="1">
        <f t="array" aca="1" ref="D529" ca="1">_xlfn.SWITCH($B$4,"Normal MLE",EXP(_xlfn.NORM.INV(B529,LN($C$9),$E$9/$C$9)),"Uniforme",$B$9+($D$9-$B$9)*B529,"Triangular",IF(B529&lt;=($C$9-$B$9)/($D$9-$B$9),$B$9+SQRT(B529*($D$9-$B$9)*($C$9-$B$9)),$D$9-SQRT((1-B529)*($D$9-$B$9)*($D$9-$C$9))),"PERT",_xlfn.BETA.INV(B529,1+$B$6*($C$9-$B$9)/($D$9-$B$9),1+$B$6*($D$9-$C$9)/($D$9-$B$9),$B$9,$D$9))</f>
        <v>2.2412832221453596</v>
      </c>
      <c r="E529" s="94" cm="1">
        <f t="array" aca="1" ref="E529" ca="1">_xlfn.SWITCH($B$4,"Normal MLE",EXP(_xlfn.NORM.INV(C529,LN($C$10),$E$10/$C$10)),"Uniforme",$B$10+($D$10-$B$10)*C529,"Triangular",IF(C529&lt;=($C$10-$B$10)/($D$10-$B$10),$B$10+SQRT(C529*($D$10-$B$10)*($C$10-$B$10)),$D$10-SQRT((1-C529)*($D$10-$B$10)*($D$10-$C$10))),"PERT",_xlfn.BETA.INV(C529,1+$B$6*($C$10-$B$10)/($D$10-$B$10),1+$B$6*($D$10-$C$10)/($D$10-$B$10),$B$10,$D$10))</f>
        <v>5230.0532139784109</v>
      </c>
      <c r="F529" s="88">
        <f t="shared" ref="F529:F592" ca="1" si="25">EXP(-POWER($B$12/E529,D529))</f>
        <v>0.57793654682836459</v>
      </c>
      <c r="G529" s="89">
        <f t="shared" ref="G529:G592" ca="1" si="26">(D529/E529)*POWER($B$12/E529,D529-1)*EXP(-POWER($B$12/E529,D529))</f>
        <v>1.7755306782222144E-4</v>
      </c>
    </row>
    <row r="530" spans="1:7" x14ac:dyDescent="0.35">
      <c r="A530" s="84">
        <v>515</v>
      </c>
      <c r="B530" s="84">
        <f t="shared" ca="1" si="24"/>
        <v>0.75316225573678497</v>
      </c>
      <c r="C530" s="84">
        <f t="shared" ca="1" si="24"/>
        <v>0.39745000201985337</v>
      </c>
      <c r="D530" s="93" cm="1">
        <f t="array" aca="1" ref="D530" ca="1">_xlfn.SWITCH($B$4,"Normal MLE",EXP(_xlfn.NORM.INV(B530,LN($C$9),$E$9/$C$9)),"Uniforme",$B$9+($D$9-$B$9)*B530,"Triangular",IF(B530&lt;=($C$9-$B$9)/($D$9-$B$9),$B$9+SQRT(B530*($D$9-$B$9)*($C$9-$B$9)),$D$9-SQRT((1-B530)*($D$9-$B$9)*($D$9-$C$9))),"PERT",_xlfn.BETA.INV(B530,1+$B$6*($C$9-$B$9)/($D$9-$B$9),1+$B$6*($D$9-$C$9)/($D$9-$B$9),$B$9,$D$9))</f>
        <v>2.0438537421079381</v>
      </c>
      <c r="E530" s="94" cm="1">
        <f t="array" aca="1" ref="E530" ca="1">_xlfn.SWITCH($B$4,"Normal MLE",EXP(_xlfn.NORM.INV(C530,LN($C$10),$E$10/$C$10)),"Uniforme",$B$10+($D$10-$B$10)*C530,"Triangular",IF(C530&lt;=($C$10-$B$10)/($D$10-$B$10),$B$10+SQRT(C530*($D$10-$B$10)*($C$10-$B$10)),$D$10-SQRT((1-C530)*($D$10-$B$10)*($D$10-$C$10))),"PERT",_xlfn.BETA.INV(C530,1+$B$6*($C$10-$B$10)/($D$10-$B$10),1+$B$6*($D$10-$C$10)/($D$10-$B$10),$B$10,$D$10))</f>
        <v>5038.4569869867737</v>
      </c>
      <c r="F530" s="88">
        <f t="shared" ca="1" si="25"/>
        <v>0.53583969049639901</v>
      </c>
      <c r="G530" s="89">
        <f t="shared" ca="1" si="26"/>
        <v>1.7082592544440773E-4</v>
      </c>
    </row>
    <row r="531" spans="1:7" x14ac:dyDescent="0.35">
      <c r="A531" s="84">
        <v>516</v>
      </c>
      <c r="B531" s="84">
        <f t="shared" ca="1" si="24"/>
        <v>0.36367277519744046</v>
      </c>
      <c r="C531" s="84">
        <f t="shared" ca="1" si="24"/>
        <v>0.35987481653806175</v>
      </c>
      <c r="D531" s="93" cm="1">
        <f t="array" aca="1" ref="D531" ca="1">_xlfn.SWITCH($B$4,"Normal MLE",EXP(_xlfn.NORM.INV(B531,LN($C$9),$E$9/$C$9)),"Uniforme",$B$9+($D$9-$B$9)*B531,"Triangular",IF(B531&lt;=($C$9-$B$9)/($D$9-$B$9),$B$9+SQRT(B531*($D$9-$B$9)*($C$9-$B$9)),$D$9-SQRT((1-B531)*($D$9-$B$9)*($D$9-$C$9))),"PERT",_xlfn.BETA.INV(B531,1+$B$6*($C$9-$B$9)/($D$9-$B$9),1+$B$6*($D$9-$C$9)/($D$9-$B$9),$B$9,$D$9))</f>
        <v>1.9004380382980102</v>
      </c>
      <c r="E531" s="94" cm="1">
        <f t="array" aca="1" ref="E531" ca="1">_xlfn.SWITCH($B$4,"Normal MLE",EXP(_xlfn.NORM.INV(C531,LN($C$10),$E$10/$C$10)),"Uniforme",$B$10+($D$10-$B$10)*C531,"Triangular",IF(C531&lt;=($C$10-$B$10)/($D$10-$B$10),$B$10+SQRT(C531*($D$10-$B$10)*($C$10-$B$10)),$D$10-SQRT((1-C531)*($D$10-$B$10)*($D$10-$C$10))),"PERT",_xlfn.BETA.INV(C531,1+$B$6*($C$10-$B$10)/($D$10-$B$10),1+$B$6*($D$10-$C$10)/($D$10-$B$10),$B$10,$D$10))</f>
        <v>5015.3359768039854</v>
      </c>
      <c r="F531" s="88">
        <f t="shared" ca="1" si="25"/>
        <v>0.52174293552580231</v>
      </c>
      <c r="G531" s="89">
        <f t="shared" ca="1" si="26"/>
        <v>1.6126911065319184E-4</v>
      </c>
    </row>
    <row r="532" spans="1:7" x14ac:dyDescent="0.35">
      <c r="A532" s="84">
        <v>517</v>
      </c>
      <c r="B532" s="84">
        <f t="shared" ca="1" si="24"/>
        <v>0.11216046629363563</v>
      </c>
      <c r="C532" s="84">
        <f t="shared" ca="1" si="24"/>
        <v>0.19921173459588859</v>
      </c>
      <c r="D532" s="93" cm="1">
        <f t="array" aca="1" ref="D532" ca="1">_xlfn.SWITCH($B$4,"Normal MLE",EXP(_xlfn.NORM.INV(B532,LN($C$9),$E$9/$C$9)),"Uniforme",$B$9+($D$9-$B$9)*B532,"Triangular",IF(B532&lt;=($C$9-$B$9)/($D$9-$B$9),$B$9+SQRT(B532*($D$9-$B$9)*($C$9-$B$9)),$D$9-SQRT((1-B532)*($D$9-$B$9)*($D$9-$C$9))),"PERT",_xlfn.BETA.INV(B532,1+$B$6*($C$9-$B$9)/($D$9-$B$9),1+$B$6*($D$9-$C$9)/($D$9-$B$9),$B$9,$D$9))</f>
        <v>1.7879483122794211</v>
      </c>
      <c r="E532" s="94" cm="1">
        <f t="array" aca="1" ref="E532" ca="1">_xlfn.SWITCH($B$4,"Normal MLE",EXP(_xlfn.NORM.INV(C532,LN($C$10),$E$10/$C$10)),"Uniforme",$B$10+($D$10-$B$10)*C532,"Triangular",IF(C532&lt;=($C$10-$B$10)/($D$10-$B$10),$B$10+SQRT(C532*($D$10-$B$10)*($C$10-$B$10)),$D$10-SQRT((1-C532)*($D$10-$B$10)*($D$10-$C$10))),"PERT",_xlfn.BETA.INV(C532,1+$B$6*($C$10-$B$10)/($D$10-$B$10),1+$B$6*($D$10-$C$10)/($D$10-$B$10),$B$10,$D$10))</f>
        <v>4903.2643726391061</v>
      </c>
      <c r="F532" s="88">
        <f t="shared" ca="1" si="25"/>
        <v>0.49914209621472316</v>
      </c>
      <c r="G532" s="89">
        <f t="shared" ca="1" si="26"/>
        <v>1.5503125672071367E-4</v>
      </c>
    </row>
    <row r="533" spans="1:7" x14ac:dyDescent="0.35">
      <c r="A533" s="84">
        <v>518</v>
      </c>
      <c r="B533" s="84">
        <f t="shared" ca="1" si="24"/>
        <v>0.55801840464627661</v>
      </c>
      <c r="C533" s="84">
        <f t="shared" ca="1" si="24"/>
        <v>0.65468400673911453</v>
      </c>
      <c r="D533" s="93" cm="1">
        <f t="array" aca="1" ref="D533" ca="1">_xlfn.SWITCH($B$4,"Normal MLE",EXP(_xlfn.NORM.INV(B533,LN($C$9),$E$9/$C$9)),"Uniforme",$B$9+($D$9-$B$9)*B533,"Triangular",IF(B533&lt;=($C$9-$B$9)/($D$9-$B$9),$B$9+SQRT(B533*($D$9-$B$9)*($C$9-$B$9)),$D$9-SQRT((1-B533)*($D$9-$B$9)*($D$9-$C$9))),"PERT",_xlfn.BETA.INV(B533,1+$B$6*($C$9-$B$9)/($D$9-$B$9),1+$B$6*($D$9-$C$9)/($D$9-$B$9),$B$9,$D$9))</f>
        <v>1.9677962928355868</v>
      </c>
      <c r="E533" s="94" cm="1">
        <f t="array" aca="1" ref="E533" ca="1">_xlfn.SWITCH($B$4,"Normal MLE",EXP(_xlfn.NORM.INV(C533,LN($C$10),$E$10/$C$10)),"Uniforme",$B$10+($D$10-$B$10)*C533,"Triangular",IF(C533&lt;=($C$10-$B$10)/($D$10-$B$10),$B$10+SQRT(C533*($D$10-$B$10)*($C$10-$B$10)),$D$10-SQRT((1-C533)*($D$10-$B$10)*($D$10-$C$10))),"PERT",_xlfn.BETA.INV(C533,1+$B$6*($C$10-$B$10)/($D$10-$B$10),1+$B$6*($D$10-$C$10)/($D$10-$B$10),$B$10,$D$10))</f>
        <v>5195.1066347270989</v>
      </c>
      <c r="F533" s="88">
        <f t="shared" ca="1" si="25"/>
        <v>0.5499966001380947</v>
      </c>
      <c r="G533" s="89">
        <f t="shared" ca="1" si="26"/>
        <v>1.6175861978458218E-4</v>
      </c>
    </row>
    <row r="534" spans="1:7" x14ac:dyDescent="0.35">
      <c r="A534" s="84">
        <v>519</v>
      </c>
      <c r="B534" s="84">
        <f t="shared" ca="1" si="24"/>
        <v>0.92967367034382875</v>
      </c>
      <c r="C534" s="84">
        <f t="shared" ca="1" si="24"/>
        <v>0.59942124229495397</v>
      </c>
      <c r="D534" s="93" cm="1">
        <f t="array" aca="1" ref="D534" ca="1">_xlfn.SWITCH($B$4,"Normal MLE",EXP(_xlfn.NORM.INV(B534,LN($C$9),$E$9/$C$9)),"Uniforme",$B$9+($D$9-$B$9)*B534,"Triangular",IF(B534&lt;=($C$9-$B$9)/($D$9-$B$9),$B$9+SQRT(B534*($D$9-$B$9)*($C$9-$B$9)),$D$9-SQRT((1-B534)*($D$9-$B$9)*($D$9-$C$9))),"PERT",_xlfn.BETA.INV(B534,1+$B$6*($C$9-$B$9)/($D$9-$B$9),1+$B$6*($D$9-$C$9)/($D$9-$B$9),$B$9,$D$9))</f>
        <v>2.1606094933908144</v>
      </c>
      <c r="E534" s="94" cm="1">
        <f t="array" aca="1" ref="E534" ca="1">_xlfn.SWITCH($B$4,"Normal MLE",EXP(_xlfn.NORM.INV(C534,LN($C$10),$E$10/$C$10)),"Uniforme",$B$10+($D$10-$B$10)*C534,"Triangular",IF(C534&lt;=($C$10-$B$10)/($D$10-$B$10),$B$10+SQRT(C534*($D$10-$B$10)*($C$10-$B$10)),$D$10-SQRT((1-C534)*($D$10-$B$10)*($D$10-$C$10))),"PERT",_xlfn.BETA.INV(C534,1+$B$6*($C$10-$B$10)/($D$10-$B$10),1+$B$6*($D$10-$C$10)/($D$10-$B$10),$B$10,$D$10))</f>
        <v>5159.8950813215715</v>
      </c>
      <c r="F534" s="88">
        <f t="shared" ca="1" si="25"/>
        <v>0.56165363315418493</v>
      </c>
      <c r="G534" s="89">
        <f t="shared" ca="1" si="26"/>
        <v>1.7500995889428296E-4</v>
      </c>
    </row>
    <row r="535" spans="1:7" x14ac:dyDescent="0.35">
      <c r="A535" s="84">
        <v>520</v>
      </c>
      <c r="B535" s="84">
        <f t="shared" ca="1" si="24"/>
        <v>0.25792017354350971</v>
      </c>
      <c r="C535" s="84">
        <f t="shared" ca="1" si="24"/>
        <v>0.2886325092100831</v>
      </c>
      <c r="D535" s="93" cm="1">
        <f t="array" aca="1" ref="D535" ca="1">_xlfn.SWITCH($B$4,"Normal MLE",EXP(_xlfn.NORM.INV(B535,LN($C$9),$E$9/$C$9)),"Uniforme",$B$9+($D$9-$B$9)*B535,"Triangular",IF(B535&lt;=($C$9-$B$9)/($D$9-$B$9),$B$9+SQRT(B535*($D$9-$B$9)*($C$9-$B$9)),$D$9-SQRT((1-B535)*($D$9-$B$9)*($D$9-$C$9))),"PERT",_xlfn.BETA.INV(B535,1+$B$6*($C$9-$B$9)/($D$9-$B$9),1+$B$6*($D$9-$C$9)/($D$9-$B$9),$B$9,$D$9))</f>
        <v>1.8605650971576104</v>
      </c>
      <c r="E535" s="94" cm="1">
        <f t="array" aca="1" ref="E535" ca="1">_xlfn.SWITCH($B$4,"Normal MLE",EXP(_xlfn.NORM.INV(C535,LN($C$10),$E$10/$C$10)),"Uniforme",$B$10+($D$10-$B$10)*C535,"Triangular",IF(C535&lt;=($C$10-$B$10)/($D$10-$B$10),$B$10+SQRT(C535*($D$10-$B$10)*($C$10-$B$10)),$D$10-SQRT((1-C535)*($D$10-$B$10)*($D$10-$C$10))),"PERT",_xlfn.BETA.INV(C535,1+$B$6*($C$10-$B$10)/($D$10-$B$10),1+$B$6*($D$10-$C$10)/($D$10-$B$10),$B$10,$D$10))</f>
        <v>4969.2013607926792</v>
      </c>
      <c r="F535" s="88">
        <f t="shared" ca="1" si="25"/>
        <v>0.51280493605260213</v>
      </c>
      <c r="G535" s="89">
        <f t="shared" ca="1" si="26"/>
        <v>1.5930240935093566E-4</v>
      </c>
    </row>
    <row r="536" spans="1:7" x14ac:dyDescent="0.35">
      <c r="A536" s="84">
        <v>521</v>
      </c>
      <c r="B536" s="84">
        <f t="shared" ca="1" si="24"/>
        <v>0.78998246545889694</v>
      </c>
      <c r="C536" s="84">
        <f t="shared" ca="1" si="24"/>
        <v>0.93843746637570713</v>
      </c>
      <c r="D536" s="93" cm="1">
        <f t="array" aca="1" ref="D536" ca="1">_xlfn.SWITCH($B$4,"Normal MLE",EXP(_xlfn.NORM.INV(B536,LN($C$9),$E$9/$C$9)),"Uniforme",$B$9+($D$9-$B$9)*B536,"Triangular",IF(B536&lt;=($C$9-$B$9)/($D$9-$B$9),$B$9+SQRT(B536*($D$9-$B$9)*($C$9-$B$9)),$D$9-SQRT((1-B536)*($D$9-$B$9)*($D$9-$C$9))),"PERT",_xlfn.BETA.INV(B536,1+$B$6*($C$9-$B$9)/($D$9-$B$9),1+$B$6*($D$9-$C$9)/($D$9-$B$9),$B$9,$D$9))</f>
        <v>2.0614719072966543</v>
      </c>
      <c r="E536" s="94" cm="1">
        <f t="array" aca="1" ref="E536" ca="1">_xlfn.SWITCH($B$4,"Normal MLE",EXP(_xlfn.NORM.INV(C536,LN($C$10),$E$10/$C$10)),"Uniforme",$B$10+($D$10-$B$10)*C536,"Triangular",IF(C536&lt;=($C$10-$B$10)/($D$10-$B$10),$B$10+SQRT(C536*($D$10-$B$10)*($C$10-$B$10)),$D$10-SQRT((1-C536)*($D$10-$B$10)*($D$10-$C$10))),"PERT",_xlfn.BETA.INV(C536,1+$B$6*($C$10-$B$10)/($D$10-$B$10),1+$B$6*($D$10-$C$10)/($D$10-$B$10),$B$10,$D$10))</f>
        <v>5479.1098208660142</v>
      </c>
      <c r="F536" s="88">
        <f t="shared" ca="1" si="25"/>
        <v>0.59288372790834409</v>
      </c>
      <c r="G536" s="89">
        <f t="shared" ca="1" si="26"/>
        <v>1.5973011175423872E-4</v>
      </c>
    </row>
    <row r="537" spans="1:7" x14ac:dyDescent="0.35">
      <c r="A537" s="84">
        <v>522</v>
      </c>
      <c r="B537" s="84">
        <f t="shared" ca="1" si="24"/>
        <v>0.75567181777843195</v>
      </c>
      <c r="C537" s="84">
        <f t="shared" ca="1" si="24"/>
        <v>0.65970552896521351</v>
      </c>
      <c r="D537" s="93" cm="1">
        <f t="array" aca="1" ref="D537" ca="1">_xlfn.SWITCH($B$4,"Normal MLE",EXP(_xlfn.NORM.INV(B537,LN($C$9),$E$9/$C$9)),"Uniforme",$B$9+($D$9-$B$9)*B537,"Triangular",IF(B537&lt;=($C$9-$B$9)/($D$9-$B$9),$B$9+SQRT(B537*($D$9-$B$9)*($C$9-$B$9)),$D$9-SQRT((1-B537)*($D$9-$B$9)*($D$9-$C$9))),"PERT",_xlfn.BETA.INV(B537,1+$B$6*($C$9-$B$9)/($D$9-$B$9),1+$B$6*($D$9-$C$9)/($D$9-$B$9),$B$9,$D$9))</f>
        <v>2.0450015683475455</v>
      </c>
      <c r="E537" s="94" cm="1">
        <f t="array" aca="1" ref="E537" ca="1">_xlfn.SWITCH($B$4,"Normal MLE",EXP(_xlfn.NORM.INV(C537,LN($C$10),$E$10/$C$10)),"Uniforme",$B$10+($D$10-$B$10)*C537,"Triangular",IF(C537&lt;=($C$10-$B$10)/($D$10-$B$10),$B$10+SQRT(C537*($D$10-$B$10)*($C$10-$B$10)),$D$10-SQRT((1-C537)*($D$10-$B$10)*($D$10-$C$10))),"PERT",_xlfn.BETA.INV(C537,1+$B$6*($C$10-$B$10)/($D$10-$B$10),1+$B$6*($D$10-$C$10)/($D$10-$B$10),$B$10,$D$10))</f>
        <v>5198.4104919714091</v>
      </c>
      <c r="F537" s="88">
        <f t="shared" ca="1" si="25"/>
        <v>0.5570298240210162</v>
      </c>
      <c r="G537" s="89">
        <f t="shared" ca="1" si="26"/>
        <v>1.6663617551937519E-4</v>
      </c>
    </row>
    <row r="538" spans="1:7" x14ac:dyDescent="0.35">
      <c r="A538" s="84">
        <v>523</v>
      </c>
      <c r="B538" s="84">
        <f t="shared" ca="1" si="24"/>
        <v>0.1332538382808226</v>
      </c>
      <c r="C538" s="84">
        <f t="shared" ca="1" si="24"/>
        <v>0.11927883527073624</v>
      </c>
      <c r="D538" s="93" cm="1">
        <f t="array" aca="1" ref="D538" ca="1">_xlfn.SWITCH($B$4,"Normal MLE",EXP(_xlfn.NORM.INV(B538,LN($C$9),$E$9/$C$9)),"Uniforme",$B$9+($D$9-$B$9)*B538,"Triangular",IF(B538&lt;=($C$9-$B$9)/($D$9-$B$9),$B$9+SQRT(B538*($D$9-$B$9)*($C$9-$B$9)),$D$9-SQRT((1-B538)*($D$9-$B$9)*($D$9-$C$9))),"PERT",_xlfn.BETA.INV(B538,1+$B$6*($C$9-$B$9)/($D$9-$B$9),1+$B$6*($D$9-$C$9)/($D$9-$B$9),$B$9,$D$9))</f>
        <v>1.8010877811946309</v>
      </c>
      <c r="E538" s="94" cm="1">
        <f t="array" aca="1" ref="E538" ca="1">_xlfn.SWITCH($B$4,"Normal MLE",EXP(_xlfn.NORM.INV(C538,LN($C$10),$E$10/$C$10)),"Uniforme",$B$10+($D$10-$B$10)*C538,"Triangular",IF(C538&lt;=($C$10-$B$10)/($D$10-$B$10),$B$10+SQRT(C538*($D$10-$B$10)*($C$10-$B$10)),$D$10-SQRT((1-C538)*($D$10-$B$10)*($D$10-$C$10))),"PERT",_xlfn.BETA.INV(C538,1+$B$6*($C$10-$B$10)/($D$10-$B$10),1+$B$6*($D$10-$C$10)/($D$10-$B$10),$B$10,$D$10))</f>
        <v>4827.6089837177678</v>
      </c>
      <c r="F538" s="88">
        <f t="shared" ca="1" si="25"/>
        <v>0.49032287108224859</v>
      </c>
      <c r="G538" s="89">
        <f t="shared" ca="1" si="26"/>
        <v>1.5734698541011461E-4</v>
      </c>
    </row>
    <row r="539" spans="1:7" x14ac:dyDescent="0.35">
      <c r="A539" s="84">
        <v>524</v>
      </c>
      <c r="B539" s="84">
        <f t="shared" ca="1" si="24"/>
        <v>0.24532249708521048</v>
      </c>
      <c r="C539" s="84">
        <f t="shared" ca="1" si="24"/>
        <v>0.60550198227305785</v>
      </c>
      <c r="D539" s="93" cm="1">
        <f t="array" aca="1" ref="D539" ca="1">_xlfn.SWITCH($B$4,"Normal MLE",EXP(_xlfn.NORM.INV(B539,LN($C$9),$E$9/$C$9)),"Uniforme",$B$9+($D$9-$B$9)*B539,"Triangular",IF(B539&lt;=($C$9-$B$9)/($D$9-$B$9),$B$9+SQRT(B539*($D$9-$B$9)*($C$9-$B$9)),$D$9-SQRT((1-B539)*($D$9-$B$9)*($D$9-$C$9))),"PERT",_xlfn.BETA.INV(B539,1+$B$6*($C$9-$B$9)/($D$9-$B$9),1+$B$6*($D$9-$C$9)/($D$9-$B$9),$B$9,$D$9))</f>
        <v>1.8553953491033315</v>
      </c>
      <c r="E539" s="94" cm="1">
        <f t="array" aca="1" ref="E539" ca="1">_xlfn.SWITCH($B$4,"Normal MLE",EXP(_xlfn.NORM.INV(C539,LN($C$10),$E$10/$C$10)),"Uniforme",$B$10+($D$10-$B$10)*C539,"Triangular",IF(C539&lt;=($C$10-$B$10)/($D$10-$B$10),$B$10+SQRT(C539*($D$10-$B$10)*($C$10-$B$10)),$D$10-SQRT((1-C539)*($D$10-$B$10)*($D$10-$C$10))),"PERT",_xlfn.BETA.INV(C539,1+$B$6*($C$10-$B$10)/($D$10-$B$10),1+$B$6*($D$10-$C$10)/($D$10-$B$10),$B$10,$D$10))</f>
        <v>5163.6818852252773</v>
      </c>
      <c r="F539" s="88">
        <f t="shared" ca="1" si="25"/>
        <v>0.53652568453230942</v>
      </c>
      <c r="G539" s="89">
        <f t="shared" ca="1" si="26"/>
        <v>1.5495464365052259E-4</v>
      </c>
    </row>
    <row r="540" spans="1:7" x14ac:dyDescent="0.35">
      <c r="A540" s="84">
        <v>525</v>
      </c>
      <c r="B540" s="84">
        <f t="shared" ca="1" si="24"/>
        <v>0.51556104324563268</v>
      </c>
      <c r="C540" s="84">
        <f t="shared" ca="1" si="24"/>
        <v>0.51799415099563784</v>
      </c>
      <c r="D540" s="93" cm="1">
        <f t="array" aca="1" ref="D540" ca="1">_xlfn.SWITCH($B$4,"Normal MLE",EXP(_xlfn.NORM.INV(B540,LN($C$9),$E$9/$C$9)),"Uniforme",$B$9+($D$9-$B$9)*B540,"Triangular",IF(B540&lt;=($C$9-$B$9)/($D$9-$B$9),$B$9+SQRT(B540*($D$9-$B$9)*($C$9-$B$9)),$D$9-SQRT((1-B540)*($D$9-$B$9)*($D$9-$C$9))),"PERT",_xlfn.BETA.INV(B540,1+$B$6*($C$9-$B$9)/($D$9-$B$9),1+$B$6*($D$9-$C$9)/($D$9-$B$9),$B$9,$D$9))</f>
        <v>1.9530343311998426</v>
      </c>
      <c r="E540" s="94" cm="1">
        <f t="array" aca="1" ref="E540" ca="1">_xlfn.SWITCH($B$4,"Normal MLE",EXP(_xlfn.NORM.INV(C540,LN($C$10),$E$10/$C$10)),"Uniforme",$B$10+($D$10-$B$10)*C540,"Triangular",IF(C540&lt;=($C$10-$B$10)/($D$10-$B$10),$B$10+SQRT(C540*($D$10-$B$10)*($C$10-$B$10)),$D$10-SQRT((1-C540)*($D$10-$B$10)*($D$10-$C$10))),"PERT",_xlfn.BETA.INV(C540,1+$B$6*($C$10-$B$10)/($D$10-$B$10),1+$B$6*($D$10-$C$10)/($D$10-$B$10),$B$10,$D$10))</f>
        <v>5110.4948499079374</v>
      </c>
      <c r="F540" s="88">
        <f t="shared" ca="1" si="25"/>
        <v>0.53809827205498117</v>
      </c>
      <c r="G540" s="89">
        <f t="shared" ca="1" si="26"/>
        <v>1.6281816009262531E-4</v>
      </c>
    </row>
    <row r="541" spans="1:7" x14ac:dyDescent="0.35">
      <c r="A541" s="84">
        <v>526</v>
      </c>
      <c r="B541" s="84">
        <f t="shared" ca="1" si="24"/>
        <v>0.11899392300033451</v>
      </c>
      <c r="C541" s="84">
        <f t="shared" ca="1" si="24"/>
        <v>0.67791689418811285</v>
      </c>
      <c r="D541" s="93" cm="1">
        <f t="array" aca="1" ref="D541" ca="1">_xlfn.SWITCH($B$4,"Normal MLE",EXP(_xlfn.NORM.INV(B541,LN($C$9),$E$9/$C$9)),"Uniforme",$B$9+($D$9-$B$9)*B541,"Triangular",IF(B541&lt;=($C$9-$B$9)/($D$9-$B$9),$B$9+SQRT(B541*($D$9-$B$9)*($C$9-$B$9)),$D$9-SQRT((1-B541)*($D$9-$B$9)*($D$9-$C$9))),"PERT",_xlfn.BETA.INV(B541,1+$B$6*($C$9-$B$9)/($D$9-$B$9),1+$B$6*($D$9-$C$9)/($D$9-$B$9),$B$9,$D$9))</f>
        <v>1.7923714909038244</v>
      </c>
      <c r="E541" s="94" cm="1">
        <f t="array" aca="1" ref="E541" ca="1">_xlfn.SWITCH($B$4,"Normal MLE",EXP(_xlfn.NORM.INV(C541,LN($C$10),$E$10/$C$10)),"Uniforme",$B$10+($D$10-$B$10)*C541,"Triangular",IF(C541&lt;=($C$10-$B$10)/($D$10-$B$10),$B$10+SQRT(C541*($D$10-$B$10)*($C$10-$B$10)),$D$10-SQRT((1-C541)*($D$10-$B$10)*($D$10-$C$10))),"PERT",_xlfn.BETA.INV(C541,1+$B$6*($C$10-$B$10)/($D$10-$B$10),1+$B$6*($D$10-$C$10)/($D$10-$B$10),$B$10,$D$10))</f>
        <v>5210.5736279422899</v>
      </c>
      <c r="F541" s="88">
        <f t="shared" ca="1" si="25"/>
        <v>0.53656232931891323</v>
      </c>
      <c r="G541" s="89">
        <f t="shared" ca="1" si="26"/>
        <v>1.4968496503928343E-4</v>
      </c>
    </row>
    <row r="542" spans="1:7" x14ac:dyDescent="0.35">
      <c r="A542" s="84">
        <v>527</v>
      </c>
      <c r="B542" s="84">
        <f t="shared" ca="1" si="24"/>
        <v>0.35233192824004123</v>
      </c>
      <c r="C542" s="84">
        <f t="shared" ca="1" si="24"/>
        <v>7.0335184067477741E-2</v>
      </c>
      <c r="D542" s="93" cm="1">
        <f t="array" aca="1" ref="D542" ca="1">_xlfn.SWITCH($B$4,"Normal MLE",EXP(_xlfn.NORM.INV(B542,LN($C$9),$E$9/$C$9)),"Uniforme",$B$9+($D$9-$B$9)*B542,"Triangular",IF(B542&lt;=($C$9-$B$9)/($D$9-$B$9),$B$9+SQRT(B542*($D$9-$B$9)*($C$9-$B$9)),$D$9-SQRT((1-B542)*($D$9-$B$9)*($D$9-$C$9))),"PERT",_xlfn.BETA.INV(B542,1+$B$6*($C$9-$B$9)/($D$9-$B$9),1+$B$6*($D$9-$C$9)/($D$9-$B$9),$B$9,$D$9))</f>
        <v>1.8963775453625318</v>
      </c>
      <c r="E542" s="94" cm="1">
        <f t="array" aca="1" ref="E542" ca="1">_xlfn.SWITCH($B$4,"Normal MLE",EXP(_xlfn.NORM.INV(C542,LN($C$10),$E$10/$C$10)),"Uniforme",$B$10+($D$10-$B$10)*C542,"Triangular",IF(C542&lt;=($C$10-$B$10)/($D$10-$B$10),$B$10+SQRT(C542*($D$10-$B$10)*($C$10-$B$10)),$D$10-SQRT((1-C542)*($D$10-$B$10)*($D$10-$C$10))),"PERT",_xlfn.BETA.INV(C542,1+$B$6*($C$10-$B$10)/($D$10-$B$10),1+$B$6*($D$10-$C$10)/($D$10-$B$10),$B$10,$D$10))</f>
        <v>4761.8567603245874</v>
      </c>
      <c r="F542" s="88">
        <f t="shared" ca="1" si="25"/>
        <v>0.48749384569074022</v>
      </c>
      <c r="G542" s="89">
        <f t="shared" ca="1" si="26"/>
        <v>1.6605317762530969E-4</v>
      </c>
    </row>
    <row r="543" spans="1:7" x14ac:dyDescent="0.35">
      <c r="A543" s="84">
        <v>528</v>
      </c>
      <c r="B543" s="84">
        <f t="shared" ca="1" si="24"/>
        <v>0.64704853571007115</v>
      </c>
      <c r="C543" s="84">
        <f t="shared" ca="1" si="24"/>
        <v>0.1042604425612319</v>
      </c>
      <c r="D543" s="93" cm="1">
        <f t="array" aca="1" ref="D543" ca="1">_xlfn.SWITCH($B$4,"Normal MLE",EXP(_xlfn.NORM.INV(B543,LN($C$9),$E$9/$C$9)),"Uniforme",$B$9+($D$9-$B$9)*B543,"Triangular",IF(B543&lt;=($C$9-$B$9)/($D$9-$B$9),$B$9+SQRT(B543*($D$9-$B$9)*($C$9-$B$9)),$D$9-SQRT((1-B543)*($D$9-$B$9)*($D$9-$C$9))),"PERT",_xlfn.BETA.INV(B543,1+$B$6*($C$9-$B$9)/($D$9-$B$9),1+$B$6*($D$9-$C$9)/($D$9-$B$9),$B$9,$D$9))</f>
        <v>2.0001267662932505</v>
      </c>
      <c r="E543" s="94" cm="1">
        <f t="array" aca="1" ref="E543" ca="1">_xlfn.SWITCH($B$4,"Normal MLE",EXP(_xlfn.NORM.INV(C543,LN($C$10),$E$10/$C$10)),"Uniforme",$B$10+($D$10-$B$10)*C543,"Triangular",IF(C543&lt;=($C$10-$B$10)/($D$10-$B$10),$B$10+SQRT(C543*($D$10-$B$10)*($C$10-$B$10)),$D$10-SQRT((1-C543)*($D$10-$B$10)*($D$10-$C$10))),"PERT",_xlfn.BETA.INV(C543,1+$B$6*($C$10-$B$10)/($D$10-$B$10),1+$B$6*($D$10-$C$10)/($D$10-$B$10),$B$10,$D$10))</f>
        <v>4809.8845318131889</v>
      </c>
      <c r="F543" s="88">
        <f t="shared" ca="1" si="25"/>
        <v>0.50078571554538875</v>
      </c>
      <c r="G543" s="89">
        <f t="shared" ca="1" si="26"/>
        <v>1.7317691291387938E-4</v>
      </c>
    </row>
    <row r="544" spans="1:7" x14ac:dyDescent="0.35">
      <c r="A544" s="84">
        <v>529</v>
      </c>
      <c r="B544" s="84">
        <f t="shared" ca="1" si="24"/>
        <v>0.54247993987184151</v>
      </c>
      <c r="C544" s="84">
        <f t="shared" ca="1" si="24"/>
        <v>0.35190046516444395</v>
      </c>
      <c r="D544" s="93" cm="1">
        <f t="array" aca="1" ref="D544" ca="1">_xlfn.SWITCH($B$4,"Normal MLE",EXP(_xlfn.NORM.INV(B544,LN($C$9),$E$9/$C$9)),"Uniforme",$B$9+($D$9-$B$9)*B544,"Triangular",IF(B544&lt;=($C$9-$B$9)/($D$9-$B$9),$B$9+SQRT(B544*($D$9-$B$9)*($C$9-$B$9)),$D$9-SQRT((1-B544)*($D$9-$B$9)*($D$9-$C$9))),"PERT",_xlfn.BETA.INV(B544,1+$B$6*($C$9-$B$9)/($D$9-$B$9),1+$B$6*($D$9-$C$9)/($D$9-$B$9),$B$9,$D$9))</f>
        <v>1.9623630031632788</v>
      </c>
      <c r="E544" s="94" cm="1">
        <f t="array" aca="1" ref="E544" ca="1">_xlfn.SWITCH($B$4,"Normal MLE",EXP(_xlfn.NORM.INV(C544,LN($C$10),$E$10/$C$10)),"Uniforme",$B$10+($D$10-$B$10)*C544,"Triangular",IF(C544&lt;=($C$10-$B$10)/($D$10-$B$10),$B$10+SQRT(C544*($D$10-$B$10)*($C$10-$B$10)),$D$10-SQRT((1-C544)*($D$10-$B$10)*($D$10-$C$10))),"PERT",_xlfn.BETA.INV(C544,1+$B$6*($C$10-$B$10)/($D$10-$B$10),1+$B$6*($D$10-$C$10)/($D$10-$B$10),$B$10,$D$10))</f>
        <v>5010.3437347693671</v>
      </c>
      <c r="F544" s="88">
        <f t="shared" ca="1" si="25"/>
        <v>0.52582565608231113</v>
      </c>
      <c r="G544" s="89">
        <f t="shared" ca="1" si="26"/>
        <v>1.6581631121260392E-4</v>
      </c>
    </row>
    <row r="545" spans="1:7" x14ac:dyDescent="0.35">
      <c r="A545" s="84">
        <v>530</v>
      </c>
      <c r="B545" s="84">
        <f t="shared" ca="1" si="24"/>
        <v>0.52691645607557069</v>
      </c>
      <c r="C545" s="84">
        <f t="shared" ca="1" si="24"/>
        <v>0.15380010821059265</v>
      </c>
      <c r="D545" s="93" cm="1">
        <f t="array" aca="1" ref="D545" ca="1">_xlfn.SWITCH($B$4,"Normal MLE",EXP(_xlfn.NORM.INV(B545,LN($C$9),$E$9/$C$9)),"Uniforme",$B$9+($D$9-$B$9)*B545,"Triangular",IF(B545&lt;=($C$9-$B$9)/($D$9-$B$9),$B$9+SQRT(B545*($D$9-$B$9)*($C$9-$B$9)),$D$9-SQRT((1-B545)*($D$9-$B$9)*($D$9-$C$9))),"PERT",_xlfn.BETA.INV(B545,1+$B$6*($C$9-$B$9)/($D$9-$B$9),1+$B$6*($D$9-$C$9)/($D$9-$B$9),$B$9,$D$9))</f>
        <v>1.9569586320862233</v>
      </c>
      <c r="E545" s="94" cm="1">
        <f t="array" aca="1" ref="E545" ca="1">_xlfn.SWITCH($B$4,"Normal MLE",EXP(_xlfn.NORM.INV(C545,LN($C$10),$E$10/$C$10)),"Uniforme",$B$10+($D$10-$B$10)*C545,"Triangular",IF(C545&lt;=($C$10-$B$10)/($D$10-$B$10),$B$10+SQRT(C545*($D$10-$B$10)*($C$10-$B$10)),$D$10-SQRT((1-C545)*($D$10-$B$10)*($D$10-$C$10))),"PERT",_xlfn.BETA.INV(C545,1+$B$6*($C$10-$B$10)/($D$10-$B$10),1+$B$6*($D$10-$C$10)/($D$10-$B$10),$B$10,$D$10))</f>
        <v>4863.30887409347</v>
      </c>
      <c r="F545" s="88">
        <f t="shared" ca="1" si="25"/>
        <v>0.50550559546754081</v>
      </c>
      <c r="G545" s="89">
        <f t="shared" ca="1" si="26"/>
        <v>1.6871624414944444E-4</v>
      </c>
    </row>
    <row r="546" spans="1:7" x14ac:dyDescent="0.35">
      <c r="A546" s="84">
        <v>531</v>
      </c>
      <c r="B546" s="84">
        <f t="shared" ca="1" si="24"/>
        <v>0.73019771118137011</v>
      </c>
      <c r="C546" s="84">
        <f t="shared" ca="1" si="24"/>
        <v>0.70583827850499159</v>
      </c>
      <c r="D546" s="93" cm="1">
        <f t="array" aca="1" ref="D546" ca="1">_xlfn.SWITCH($B$4,"Normal MLE",EXP(_xlfn.NORM.INV(B546,LN($C$9),$E$9/$C$9)),"Uniforme",$B$9+($D$9-$B$9)*B546,"Triangular",IF(B546&lt;=($C$9-$B$9)/($D$9-$B$9),$B$9+SQRT(B546*($D$9-$B$9)*($C$9-$B$9)),$D$9-SQRT((1-B546)*($D$9-$B$9)*($D$9-$C$9))),"PERT",_xlfn.BETA.INV(B546,1+$B$6*($C$9-$B$9)/($D$9-$B$9),1+$B$6*($D$9-$C$9)/($D$9-$B$9),$B$9,$D$9))</f>
        <v>2.0336513129160823</v>
      </c>
      <c r="E546" s="94" cm="1">
        <f t="array" aca="1" ref="E546" ca="1">_xlfn.SWITCH($B$4,"Normal MLE",EXP(_xlfn.NORM.INV(C546,LN($C$10),$E$10/$C$10)),"Uniforme",$B$10+($D$10-$B$10)*C546,"Triangular",IF(C546&lt;=($C$10-$B$10)/($D$10-$B$10),$B$10+SQRT(C546*($D$10-$B$10)*($C$10-$B$10)),$D$10-SQRT((1-C546)*($D$10-$B$10)*($D$10-$C$10))),"PERT",_xlfn.BETA.INV(C546,1+$B$6*($C$10-$B$10)/($D$10-$B$10),1+$B$6*($D$10-$C$10)/($D$10-$B$10),$B$10,$D$10))</f>
        <v>5229.8578701654324</v>
      </c>
      <c r="F546" s="88">
        <f t="shared" ca="1" si="25"/>
        <v>0.56005223880345156</v>
      </c>
      <c r="G546" s="89">
        <f t="shared" ca="1" si="26"/>
        <v>1.6506964938942814E-4</v>
      </c>
    </row>
    <row r="547" spans="1:7" x14ac:dyDescent="0.35">
      <c r="A547" s="84">
        <v>532</v>
      </c>
      <c r="B547" s="84">
        <f t="shared" ca="1" si="24"/>
        <v>0.38814187010559054</v>
      </c>
      <c r="C547" s="84">
        <f t="shared" ca="1" si="24"/>
        <v>0.33433727902525845</v>
      </c>
      <c r="D547" s="93" cm="1">
        <f t="array" aca="1" ref="D547" ca="1">_xlfn.SWITCH($B$4,"Normal MLE",EXP(_xlfn.NORM.INV(B547,LN($C$9),$E$9/$C$9)),"Uniforme",$B$9+($D$9-$B$9)*B547,"Triangular",IF(B547&lt;=($C$9-$B$9)/($D$9-$B$9),$B$9+SQRT(B547*($D$9-$B$9)*($C$9-$B$9)),$D$9-SQRT((1-B547)*($D$9-$B$9)*($D$9-$C$9))),"PERT",_xlfn.BETA.INV(B547,1+$B$6*($C$9-$B$9)/($D$9-$B$9),1+$B$6*($D$9-$C$9)/($D$9-$B$9),$B$9,$D$9))</f>
        <v>1.909088686771127</v>
      </c>
      <c r="E547" s="94" cm="1">
        <f t="array" aca="1" ref="E547" ca="1">_xlfn.SWITCH($B$4,"Normal MLE",EXP(_xlfn.NORM.INV(C547,LN($C$10),$E$10/$C$10)),"Uniforme",$B$10+($D$10-$B$10)*C547,"Triangular",IF(C547&lt;=($C$10-$B$10)/($D$10-$B$10),$B$10+SQRT(C547*($D$10-$B$10)*($C$10-$B$10)),$D$10-SQRT((1-C547)*($D$10-$B$10)*($D$10-$C$10))),"PERT",_xlfn.BETA.INV(C547,1+$B$6*($C$10-$B$10)/($D$10-$B$10),1+$B$6*($D$10-$C$10)/($D$10-$B$10),$B$10,$D$10))</f>
        <v>4999.217659517677</v>
      </c>
      <c r="F547" s="88">
        <f t="shared" ca="1" si="25"/>
        <v>0.52032017378916973</v>
      </c>
      <c r="G547" s="89">
        <f t="shared" ca="1" si="26"/>
        <v>1.6223954017321199E-4</v>
      </c>
    </row>
    <row r="548" spans="1:7" x14ac:dyDescent="0.35">
      <c r="A548" s="84">
        <v>533</v>
      </c>
      <c r="B548" s="84">
        <f t="shared" ca="1" si="24"/>
        <v>0.32226566949711755</v>
      </c>
      <c r="C548" s="84">
        <f t="shared" ca="1" si="24"/>
        <v>0.62749063141211248</v>
      </c>
      <c r="D548" s="93" cm="1">
        <f t="array" aca="1" ref="D548" ca="1">_xlfn.SWITCH($B$4,"Normal MLE",EXP(_xlfn.NORM.INV(B548,LN($C$9),$E$9/$C$9)),"Uniforme",$B$9+($D$9-$B$9)*B548,"Triangular",IF(B548&lt;=($C$9-$B$9)/($D$9-$B$9),$B$9+SQRT(B548*($D$9-$B$9)*($C$9-$B$9)),$D$9-SQRT((1-B548)*($D$9-$B$9)*($D$9-$C$9))),"PERT",_xlfn.BETA.INV(B548,1+$B$6*($C$9-$B$9)/($D$9-$B$9),1+$B$6*($D$9-$C$9)/($D$9-$B$9),$B$9,$D$9))</f>
        <v>1.885413491806277</v>
      </c>
      <c r="E548" s="94" cm="1">
        <f t="array" aca="1" ref="E548" ca="1">_xlfn.SWITCH($B$4,"Normal MLE",EXP(_xlfn.NORM.INV(C548,LN($C$10),$E$10/$C$10)),"Uniforme",$B$10+($D$10-$B$10)*C548,"Triangular",IF(C548&lt;=($C$10-$B$10)/($D$10-$B$10),$B$10+SQRT(C548*($D$10-$B$10)*($C$10-$B$10)),$D$10-SQRT((1-C548)*($D$10-$B$10)*($D$10-$C$10))),"PERT",_xlfn.BETA.INV(C548,1+$B$6*($C$10-$B$10)/($D$10-$B$10),1+$B$6*($D$10-$C$10)/($D$10-$B$10),$B$10,$D$10))</f>
        <v>5177.5410466756757</v>
      </c>
      <c r="F548" s="88">
        <f t="shared" ca="1" si="25"/>
        <v>0.54076434830768705</v>
      </c>
      <c r="G548" s="89">
        <f t="shared" ca="1" si="26"/>
        <v>1.566998295908805E-4</v>
      </c>
    </row>
    <row r="549" spans="1:7" x14ac:dyDescent="0.35">
      <c r="A549" s="84">
        <v>534</v>
      </c>
      <c r="B549" s="84">
        <f t="shared" ca="1" si="24"/>
        <v>0.88640411004567599</v>
      </c>
      <c r="C549" s="84">
        <f t="shared" ca="1" si="24"/>
        <v>0.91344970811001902</v>
      </c>
      <c r="D549" s="93" cm="1">
        <f t="array" aca="1" ref="D549" ca="1">_xlfn.SWITCH($B$4,"Normal MLE",EXP(_xlfn.NORM.INV(B549,LN($C$9),$E$9/$C$9)),"Uniforme",$B$9+($D$9-$B$9)*B549,"Triangular",IF(B549&lt;=($C$9-$B$9)/($D$9-$B$9),$B$9+SQRT(B549*($D$9-$B$9)*($C$9-$B$9)),$D$9-SQRT((1-B549)*($D$9-$B$9)*($D$9-$C$9))),"PERT",_xlfn.BETA.INV(B549,1+$B$6*($C$9-$B$9)/($D$9-$B$9),1+$B$6*($D$9-$C$9)/($D$9-$B$9),$B$9,$D$9))</f>
        <v>2.1205532966831777</v>
      </c>
      <c r="E549" s="94" cm="1">
        <f t="array" aca="1" ref="E549" ca="1">_xlfn.SWITCH($B$4,"Normal MLE",EXP(_xlfn.NORM.INV(C549,LN($C$10),$E$10/$C$10)),"Uniforme",$B$10+($D$10-$B$10)*C549,"Triangular",IF(C549&lt;=($C$10-$B$10)/($D$10-$B$10),$B$10+SQRT(C549*($D$10-$B$10)*($C$10-$B$10)),$D$10-SQRT((1-C549)*($D$10-$B$10)*($D$10-$C$10))),"PERT",_xlfn.BETA.INV(C549,1+$B$6*($C$10-$B$10)/($D$10-$B$10),1+$B$6*($D$10-$C$10)/($D$10-$B$10),$B$10,$D$10))</f>
        <v>5433.5390384857792</v>
      </c>
      <c r="F549" s="88">
        <f t="shared" ca="1" si="25"/>
        <v>0.59315612281053209</v>
      </c>
      <c r="G549" s="89">
        <f t="shared" ca="1" si="26"/>
        <v>1.6423899572333111E-4</v>
      </c>
    </row>
    <row r="550" spans="1:7" x14ac:dyDescent="0.35">
      <c r="A550" s="84">
        <v>535</v>
      </c>
      <c r="B550" s="84">
        <f t="shared" ca="1" si="24"/>
        <v>0.31274811113647549</v>
      </c>
      <c r="C550" s="84">
        <f t="shared" ca="1" si="24"/>
        <v>0.6066750263844054</v>
      </c>
      <c r="D550" s="93" cm="1">
        <f t="array" aca="1" ref="D550" ca="1">_xlfn.SWITCH($B$4,"Normal MLE",EXP(_xlfn.NORM.INV(B550,LN($C$9),$E$9/$C$9)),"Uniforme",$B$9+($D$9-$B$9)*B550,"Triangular",IF(B550&lt;=($C$9-$B$9)/($D$9-$B$9),$B$9+SQRT(B550*($D$9-$B$9)*($C$9-$B$9)),$D$9-SQRT((1-B550)*($D$9-$B$9)*($D$9-$C$9))),"PERT",_xlfn.BETA.INV(B550,1+$B$6*($C$9-$B$9)/($D$9-$B$9),1+$B$6*($D$9-$C$9)/($D$9-$B$9),$B$9,$D$9))</f>
        <v>1.8818714509899188</v>
      </c>
      <c r="E550" s="94" cm="1">
        <f t="array" aca="1" ref="E550" ca="1">_xlfn.SWITCH($B$4,"Normal MLE",EXP(_xlfn.NORM.INV(C550,LN($C$10),$E$10/$C$10)),"Uniforme",$B$10+($D$10-$B$10)*C550,"Triangular",IF(C550&lt;=($C$10-$B$10)/($D$10-$B$10),$B$10+SQRT(C550*($D$10-$B$10)*($C$10-$B$10)),$D$10-SQRT((1-C550)*($D$10-$B$10)*($D$10-$C$10))),"PERT",_xlfn.BETA.INV(C550,1+$B$6*($C$10-$B$10)/($D$10-$B$10),1+$B$6*($D$10-$C$10)/($D$10-$B$10),$B$10,$D$10))</f>
        <v>5164.4145361806468</v>
      </c>
      <c r="F550" s="88">
        <f t="shared" ca="1" si="25"/>
        <v>0.53887029196165159</v>
      </c>
      <c r="G550" s="89">
        <f t="shared" ca="1" si="26"/>
        <v>1.5674715647344089E-4</v>
      </c>
    </row>
    <row r="551" spans="1:7" x14ac:dyDescent="0.35">
      <c r="A551" s="84">
        <v>536</v>
      </c>
      <c r="B551" s="84">
        <f t="shared" ca="1" si="24"/>
        <v>0.27420360264804922</v>
      </c>
      <c r="C551" s="84">
        <f t="shared" ca="1" si="24"/>
        <v>0.25457248440474745</v>
      </c>
      <c r="D551" s="93" cm="1">
        <f t="array" aca="1" ref="D551" ca="1">_xlfn.SWITCH($B$4,"Normal MLE",EXP(_xlfn.NORM.INV(B551,LN($C$9),$E$9/$C$9)),"Uniforme",$B$9+($D$9-$B$9)*B551,"Triangular",IF(B551&lt;=($C$9-$B$9)/($D$9-$B$9),$B$9+SQRT(B551*($D$9-$B$9)*($C$9-$B$9)),$D$9-SQRT((1-B551)*($D$9-$B$9)*($D$9-$C$9))),"PERT",_xlfn.BETA.INV(B551,1+$B$6*($C$9-$B$9)/($D$9-$B$9),1+$B$6*($D$9-$C$9)/($D$9-$B$9),$B$9,$D$9))</f>
        <v>1.8670779581884029</v>
      </c>
      <c r="E551" s="94" cm="1">
        <f t="array" aca="1" ref="E551" ca="1">_xlfn.SWITCH($B$4,"Normal MLE",EXP(_xlfn.NORM.INV(C551,LN($C$10),$E$10/$C$10)),"Uniforme",$B$10+($D$10-$B$10)*C551,"Triangular",IF(C551&lt;=($C$10-$B$10)/($D$10-$B$10),$B$10+SQRT(C551*($D$10-$B$10)*($C$10-$B$10)),$D$10-SQRT((1-C551)*($D$10-$B$10)*($D$10-$C$10))),"PERT",_xlfn.BETA.INV(C551,1+$B$6*($C$10-$B$10)/($D$10-$B$10),1+$B$6*($D$10-$C$10)/($D$10-$B$10),$B$10,$D$10))</f>
        <v>4945.4901599256646</v>
      </c>
      <c r="F551" s="88">
        <f t="shared" ca="1" si="25"/>
        <v>0.5102272073341324</v>
      </c>
      <c r="G551" s="89">
        <f t="shared" ca="1" si="26"/>
        <v>1.6025664708460848E-4</v>
      </c>
    </row>
    <row r="552" spans="1:7" x14ac:dyDescent="0.35">
      <c r="A552" s="84">
        <v>537</v>
      </c>
      <c r="B552" s="84">
        <f t="shared" ca="1" si="24"/>
        <v>0.37540010223723586</v>
      </c>
      <c r="C552" s="84">
        <f t="shared" ca="1" si="24"/>
        <v>1.3255402485915724E-2</v>
      </c>
      <c r="D552" s="93" cm="1">
        <f t="array" aca="1" ref="D552" ca="1">_xlfn.SWITCH($B$4,"Normal MLE",EXP(_xlfn.NORM.INV(B552,LN($C$9),$E$9/$C$9)),"Uniforme",$B$9+($D$9-$B$9)*B552,"Triangular",IF(B552&lt;=($C$9-$B$9)/($D$9-$B$9),$B$9+SQRT(B552*($D$9-$B$9)*($C$9-$B$9)),$D$9-SQRT((1-B552)*($D$9-$B$9)*($D$9-$C$9))),"PERT",_xlfn.BETA.INV(B552,1+$B$6*($C$9-$B$9)/($D$9-$B$9),1+$B$6*($D$9-$C$9)/($D$9-$B$9),$B$9,$D$9))</f>
        <v>1.9046011981091782</v>
      </c>
      <c r="E552" s="94" cm="1">
        <f t="array" aca="1" ref="E552" ca="1">_xlfn.SWITCH($B$4,"Normal MLE",EXP(_xlfn.NORM.INV(C552,LN($C$10),$E$10/$C$10)),"Uniforme",$B$10+($D$10-$B$10)*C552,"Triangular",IF(C552&lt;=($C$10-$B$10)/($D$10-$B$10),$B$10+SQRT(C552*($D$10-$B$10)*($C$10-$B$10)),$D$10-SQRT((1-C552)*($D$10-$B$10)*($D$10-$C$10))),"PERT",_xlfn.BETA.INV(C552,1+$B$6*($C$10-$B$10)/($D$10-$B$10),1+$B$6*($D$10-$C$10)/($D$10-$B$10),$B$10,$D$10))</f>
        <v>4599.5269923412079</v>
      </c>
      <c r="F552" s="88">
        <f t="shared" ca="1" si="25"/>
        <v>0.4646629239404968</v>
      </c>
      <c r="G552" s="89">
        <f t="shared" ca="1" si="26"/>
        <v>1.6957505339755525E-4</v>
      </c>
    </row>
    <row r="553" spans="1:7" x14ac:dyDescent="0.35">
      <c r="A553" s="84">
        <v>538</v>
      </c>
      <c r="B553" s="84">
        <f t="shared" ca="1" si="24"/>
        <v>0.33499539597314598</v>
      </c>
      <c r="C553" s="84">
        <f t="shared" ca="1" si="24"/>
        <v>0.25988667660906761</v>
      </c>
      <c r="D553" s="93" cm="1">
        <f t="array" aca="1" ref="D553" ca="1">_xlfn.SWITCH($B$4,"Normal MLE",EXP(_xlfn.NORM.INV(B553,LN($C$9),$E$9/$C$9)),"Uniforme",$B$9+($D$9-$B$9)*B553,"Triangular",IF(B553&lt;=($C$9-$B$9)/($D$9-$B$9),$B$9+SQRT(B553*($D$9-$B$9)*($C$9-$B$9)),$D$9-SQRT((1-B553)*($D$9-$B$9)*($D$9-$C$9))),"PERT",_xlfn.BETA.INV(B553,1+$B$6*($C$9-$B$9)/($D$9-$B$9),1+$B$6*($D$9-$C$9)/($D$9-$B$9),$B$9,$D$9))</f>
        <v>1.890094371872679</v>
      </c>
      <c r="E553" s="94" cm="1">
        <f t="array" aca="1" ref="E553" ca="1">_xlfn.SWITCH($B$4,"Normal MLE",EXP(_xlfn.NORM.INV(C553,LN($C$10),$E$10/$C$10)),"Uniforme",$B$10+($D$10-$B$10)*C553,"Triangular",IF(C553&lt;=($C$10-$B$10)/($D$10-$B$10),$B$10+SQRT(C553*($D$10-$B$10)*($C$10-$B$10)),$D$10-SQRT((1-C553)*($D$10-$B$10)*($D$10-$C$10))),"PERT",_xlfn.BETA.INV(C553,1+$B$6*($C$10-$B$10)/($D$10-$B$10),1+$B$6*($D$10-$C$10)/($D$10-$B$10),$B$10,$D$10))</f>
        <v>4949.2830476321387</v>
      </c>
      <c r="F553" s="88">
        <f t="shared" ca="1" si="25"/>
        <v>0.5123991600254556</v>
      </c>
      <c r="G553" s="89">
        <f t="shared" ca="1" si="26"/>
        <v>1.6189432723267416E-4</v>
      </c>
    </row>
    <row r="554" spans="1:7" x14ac:dyDescent="0.35">
      <c r="A554" s="84">
        <v>539</v>
      </c>
      <c r="B554" s="84">
        <f t="shared" ca="1" si="24"/>
        <v>0.74641350842633447</v>
      </c>
      <c r="C554" s="84">
        <f t="shared" ca="1" si="24"/>
        <v>0.63446768169893719</v>
      </c>
      <c r="D554" s="93" cm="1">
        <f t="array" aca="1" ref="D554" ca="1">_xlfn.SWITCH($B$4,"Normal MLE",EXP(_xlfn.NORM.INV(B554,LN($C$9),$E$9/$C$9)),"Uniforme",$B$9+($D$9-$B$9)*B554,"Triangular",IF(B554&lt;=($C$9-$B$9)/($D$9-$B$9),$B$9+SQRT(B554*($D$9-$B$9)*($C$9-$B$9)),$D$9-SQRT((1-B554)*($D$9-$B$9)*($D$9-$C$9))),"PERT",_xlfn.BETA.INV(B554,1+$B$6*($C$9-$B$9)/($D$9-$B$9),1+$B$6*($D$9-$C$9)/($D$9-$B$9),$B$9,$D$9))</f>
        <v>2.0408006529636107</v>
      </c>
      <c r="E554" s="94" cm="1">
        <f t="array" aca="1" ref="E554" ca="1">_xlfn.SWITCH($B$4,"Normal MLE",EXP(_xlfn.NORM.INV(C554,LN($C$10),$E$10/$C$10)),"Uniforme",$B$10+($D$10-$B$10)*C554,"Triangular",IF(C554&lt;=($C$10-$B$10)/($D$10-$B$10),$B$10+SQRT(C554*($D$10-$B$10)*($C$10-$B$10)),$D$10-SQRT((1-C554)*($D$10-$B$10)*($D$10-$C$10))),"PERT",_xlfn.BETA.INV(C554,1+$B$6*($C$10-$B$10)/($D$10-$B$10),1+$B$6*($D$10-$C$10)/($D$10-$B$10),$B$10,$D$10))</f>
        <v>5181.9990671574469</v>
      </c>
      <c r="F554" s="88">
        <f t="shared" ca="1" si="25"/>
        <v>0.55456386857396489</v>
      </c>
      <c r="G554" s="89">
        <f t="shared" ca="1" si="26"/>
        <v>1.6681302913363914E-4</v>
      </c>
    </row>
    <row r="555" spans="1:7" x14ac:dyDescent="0.35">
      <c r="A555" s="84">
        <v>540</v>
      </c>
      <c r="B555" s="84">
        <f t="shared" ca="1" si="24"/>
        <v>0.68411797409621988</v>
      </c>
      <c r="C555" s="84">
        <f t="shared" ca="1" si="24"/>
        <v>0.94701413469737739</v>
      </c>
      <c r="D555" s="93" cm="1">
        <f t="array" aca="1" ref="D555" ca="1">_xlfn.SWITCH($B$4,"Normal MLE",EXP(_xlfn.NORM.INV(B555,LN($C$9),$E$9/$C$9)),"Uniforme",$B$9+($D$9-$B$9)*B555,"Triangular",IF(B555&lt;=($C$9-$B$9)/($D$9-$B$9),$B$9+SQRT(B555*($D$9-$B$9)*($C$9-$B$9)),$D$9-SQRT((1-B555)*($D$9-$B$9)*($D$9-$C$9))),"PERT",_xlfn.BETA.INV(B555,1+$B$6*($C$9-$B$9)/($D$9-$B$9),1+$B$6*($D$9-$C$9)/($D$9-$B$9),$B$9,$D$9))</f>
        <v>2.0145281100507852</v>
      </c>
      <c r="E555" s="94" cm="1">
        <f t="array" aca="1" ref="E555" ca="1">_xlfn.SWITCH($B$4,"Normal MLE",EXP(_xlfn.NORM.INV(C555,LN($C$10),$E$10/$C$10)),"Uniforme",$B$10+($D$10-$B$10)*C555,"Triangular",IF(C555&lt;=($C$10-$B$10)/($D$10-$B$10),$B$10+SQRT(C555*($D$10-$B$10)*($C$10-$B$10)),$D$10-SQRT((1-C555)*($D$10-$B$10)*($D$10-$C$10))),"PERT",_xlfn.BETA.INV(C555,1+$B$6*($C$10-$B$10)/($D$10-$B$10),1+$B$6*($D$10-$C$10)/($D$10-$B$10),$B$10,$D$10))</f>
        <v>5498.209178633826</v>
      </c>
      <c r="F555" s="88">
        <f t="shared" ca="1" si="25"/>
        <v>0.59047398994886846</v>
      </c>
      <c r="G555" s="89">
        <f t="shared" ca="1" si="26"/>
        <v>1.5666946339845114E-4</v>
      </c>
    </row>
    <row r="556" spans="1:7" x14ac:dyDescent="0.35">
      <c r="A556" s="84">
        <v>541</v>
      </c>
      <c r="B556" s="84">
        <f t="shared" ca="1" si="24"/>
        <v>0.4518420330749251</v>
      </c>
      <c r="C556" s="84">
        <f t="shared" ca="1" si="24"/>
        <v>0.63295227457696601</v>
      </c>
      <c r="D556" s="93" cm="1">
        <f t="array" aca="1" ref="D556" ca="1">_xlfn.SWITCH($B$4,"Normal MLE",EXP(_xlfn.NORM.INV(B556,LN($C$9),$E$9/$C$9)),"Uniforme",$B$9+($D$9-$B$9)*B556,"Triangular",IF(B556&lt;=($C$9-$B$9)/($D$9-$B$9),$B$9+SQRT(B556*($D$9-$B$9)*($C$9-$B$9)),$D$9-SQRT((1-B556)*($D$9-$B$9)*($D$9-$C$9))),"PERT",_xlfn.BETA.INV(B556,1+$B$6*($C$9-$B$9)/($D$9-$B$9),1+$B$6*($D$9-$C$9)/($D$9-$B$9),$B$9,$D$9))</f>
        <v>1.9311494449133209</v>
      </c>
      <c r="E556" s="94" cm="1">
        <f t="array" aca="1" ref="E556" ca="1">_xlfn.SWITCH($B$4,"Normal MLE",EXP(_xlfn.NORM.INV(C556,LN($C$10),$E$10/$C$10)),"Uniforme",$B$10+($D$10-$B$10)*C556,"Triangular",IF(C556&lt;=($C$10-$B$10)/($D$10-$B$10),$B$10+SQRT(C556*($D$10-$B$10)*($C$10-$B$10)),$D$10-SQRT((1-C556)*($D$10-$B$10)*($D$10-$C$10))),"PERT",_xlfn.BETA.INV(C556,1+$B$6*($C$10-$B$10)/($D$10-$B$10),1+$B$6*($D$10-$C$10)/($D$10-$B$10),$B$10,$D$10))</f>
        <v>5181.0281042589922</v>
      </c>
      <c r="F556" s="88">
        <f t="shared" ca="1" si="25"/>
        <v>0.54510891544766715</v>
      </c>
      <c r="G556" s="89">
        <f t="shared" ca="1" si="26"/>
        <v>1.5968459966774227E-4</v>
      </c>
    </row>
    <row r="557" spans="1:7" x14ac:dyDescent="0.35">
      <c r="A557" s="84">
        <v>542</v>
      </c>
      <c r="B557" s="84">
        <f t="shared" ca="1" si="24"/>
        <v>0.4001914405673177</v>
      </c>
      <c r="C557" s="84">
        <f t="shared" ca="1" si="24"/>
        <v>0.26372232438249188</v>
      </c>
      <c r="D557" s="93" cm="1">
        <f t="array" aca="1" ref="D557" ca="1">_xlfn.SWITCH($B$4,"Normal MLE",EXP(_xlfn.NORM.INV(B557,LN($C$9),$E$9/$C$9)),"Uniforme",$B$9+($D$9-$B$9)*B557,"Triangular",IF(B557&lt;=($C$9-$B$9)/($D$9-$B$9),$B$9+SQRT(B557*($D$9-$B$9)*($C$9-$B$9)),$D$9-SQRT((1-B557)*($D$9-$B$9)*($D$9-$C$9))),"PERT",_xlfn.BETA.INV(B557,1+$B$6*($C$9-$B$9)/($D$9-$B$9),1+$B$6*($D$9-$C$9)/($D$9-$B$9),$B$9,$D$9))</f>
        <v>1.9133030443932377</v>
      </c>
      <c r="E557" s="94" cm="1">
        <f t="array" aca="1" ref="E557" ca="1">_xlfn.SWITCH($B$4,"Normal MLE",EXP(_xlfn.NORM.INV(C557,LN($C$10),$E$10/$C$10)),"Uniforme",$B$10+($D$10-$B$10)*C557,"Triangular",IF(C557&lt;=($C$10-$B$10)/($D$10-$B$10),$B$10+SQRT(C557*($D$10-$B$10)*($C$10-$B$10)),$D$10-SQRT((1-C557)*($D$10-$B$10)*($D$10-$C$10))),"PERT",_xlfn.BETA.INV(C557,1+$B$6*($C$10-$B$10)/($D$10-$B$10),1+$B$6*($D$10-$C$10)/($D$10-$B$10),$B$10,$D$10))</f>
        <v>4951.9976025898204</v>
      </c>
      <c r="F557" s="88">
        <f t="shared" ca="1" si="25"/>
        <v>0.51444985336776805</v>
      </c>
      <c r="G557" s="89">
        <f t="shared" ca="1" si="26"/>
        <v>1.6355526518011061E-4</v>
      </c>
    </row>
    <row r="558" spans="1:7" x14ac:dyDescent="0.35">
      <c r="A558" s="84">
        <v>543</v>
      </c>
      <c r="B558" s="84">
        <f t="shared" ca="1" si="24"/>
        <v>0.66695413148566773</v>
      </c>
      <c r="C558" s="84">
        <f t="shared" ca="1" si="24"/>
        <v>0.96974645734063059</v>
      </c>
      <c r="D558" s="93" cm="1">
        <f t="array" aca="1" ref="D558" ca="1">_xlfn.SWITCH($B$4,"Normal MLE",EXP(_xlfn.NORM.INV(B558,LN($C$9),$E$9/$C$9)),"Uniforme",$B$9+($D$9-$B$9)*B558,"Triangular",IF(B558&lt;=($C$9-$B$9)/($D$9-$B$9),$B$9+SQRT(B558*($D$9-$B$9)*($C$9-$B$9)),$D$9-SQRT((1-B558)*($D$9-$B$9)*($D$9-$C$9))),"PERT",_xlfn.BETA.INV(B558,1+$B$6*($C$9-$B$9)/($D$9-$B$9),1+$B$6*($D$9-$C$9)/($D$9-$B$9),$B$9,$D$9))</f>
        <v>2.0077687745817414</v>
      </c>
      <c r="E558" s="94" cm="1">
        <f t="array" aca="1" ref="E558" ca="1">_xlfn.SWITCH($B$4,"Normal MLE",EXP(_xlfn.NORM.INV(C558,LN($C$10),$E$10/$C$10)),"Uniforme",$B$10+($D$10-$B$10)*C558,"Triangular",IF(C558&lt;=($C$10-$B$10)/($D$10-$B$10),$B$10+SQRT(C558*($D$10-$B$10)*($C$10-$B$10)),$D$10-SQRT((1-C558)*($D$10-$B$10)*($D$10-$C$10))),"PERT",_xlfn.BETA.INV(C558,1+$B$6*($C$10-$B$10)/($D$10-$B$10),1+$B$6*($D$10-$C$10)/($D$10-$B$10),$B$10,$D$10))</f>
        <v>5565.2684888633175</v>
      </c>
      <c r="F558" s="88">
        <f t="shared" ca="1" si="25"/>
        <v>0.59734025693992998</v>
      </c>
      <c r="G558" s="89">
        <f t="shared" ca="1" si="26"/>
        <v>1.5449306309107442E-4</v>
      </c>
    </row>
    <row r="559" spans="1:7" x14ac:dyDescent="0.35">
      <c r="A559" s="84">
        <v>544</v>
      </c>
      <c r="B559" s="84">
        <f t="shared" ca="1" si="24"/>
        <v>0.13294361175035363</v>
      </c>
      <c r="C559" s="84">
        <f t="shared" ca="1" si="24"/>
        <v>0.97676618881676114</v>
      </c>
      <c r="D559" s="93" cm="1">
        <f t="array" aca="1" ref="D559" ca="1">_xlfn.SWITCH($B$4,"Normal MLE",EXP(_xlfn.NORM.INV(B559,LN($C$9),$E$9/$C$9)),"Uniforme",$B$9+($D$9-$B$9)*B559,"Triangular",IF(B559&lt;=($C$9-$B$9)/($D$9-$B$9),$B$9+SQRT(B559*($D$9-$B$9)*($C$9-$B$9)),$D$9-SQRT((1-B559)*($D$9-$B$9)*($D$9-$C$9))),"PERT",_xlfn.BETA.INV(B559,1+$B$6*($C$9-$B$9)/($D$9-$B$9),1+$B$6*($D$9-$C$9)/($D$9-$B$9),$B$9,$D$9))</f>
        <v>1.8009047942425134</v>
      </c>
      <c r="E559" s="94" cm="1">
        <f t="array" aca="1" ref="E559" ca="1">_xlfn.SWITCH($B$4,"Normal MLE",EXP(_xlfn.NORM.INV(C559,LN($C$10),$E$10/$C$10)),"Uniforme",$B$10+($D$10-$B$10)*C559,"Triangular",IF(C559&lt;=($C$10-$B$10)/($D$10-$B$10),$B$10+SQRT(C559*($D$10-$B$10)*($C$10-$B$10)),$D$10-SQRT((1-C559)*($D$10-$B$10)*($D$10-$C$10))),"PERT",_xlfn.BETA.INV(C559,1+$B$6*($C$10-$B$10)/($D$10-$B$10),1+$B$6*($D$10-$C$10)/($D$10-$B$10),$B$10,$D$10))</f>
        <v>5594.8806889877978</v>
      </c>
      <c r="F559" s="88">
        <f t="shared" ca="1" si="25"/>
        <v>0.57900001608346185</v>
      </c>
      <c r="G559" s="89">
        <f t="shared" ca="1" si="26"/>
        <v>1.42449842481626E-4</v>
      </c>
    </row>
    <row r="560" spans="1:7" x14ac:dyDescent="0.35">
      <c r="A560" s="84">
        <v>545</v>
      </c>
      <c r="B560" s="84">
        <f t="shared" ca="1" si="24"/>
        <v>0.85463578557300213</v>
      </c>
      <c r="C560" s="84">
        <f t="shared" ca="1" si="24"/>
        <v>0.35132159090989445</v>
      </c>
      <c r="D560" s="93" cm="1">
        <f t="array" aca="1" ref="D560" ca="1">_xlfn.SWITCH($B$4,"Normal MLE",EXP(_xlfn.NORM.INV(B560,LN($C$9),$E$9/$C$9)),"Uniforme",$B$9+($D$9-$B$9)*B560,"Triangular",IF(B560&lt;=($C$9-$B$9)/($D$9-$B$9),$B$9+SQRT(B560*($D$9-$B$9)*($C$9-$B$9)),$D$9-SQRT((1-B560)*($D$9-$B$9)*($D$9-$C$9))),"PERT",_xlfn.BETA.INV(B560,1+$B$6*($C$9-$B$9)/($D$9-$B$9),1+$B$6*($D$9-$C$9)/($D$9-$B$9),$B$9,$D$9))</f>
        <v>2.0981095070935556</v>
      </c>
      <c r="E560" s="94" cm="1">
        <f t="array" aca="1" ref="E560" ca="1">_xlfn.SWITCH($B$4,"Normal MLE",EXP(_xlfn.NORM.INV(C560,LN($C$10),$E$10/$C$10)),"Uniforme",$B$10+($D$10-$B$10)*C560,"Triangular",IF(C560&lt;=($C$10-$B$10)/($D$10-$B$10),$B$10+SQRT(C560*($D$10-$B$10)*($C$10-$B$10)),$D$10-SQRT((1-C560)*($D$10-$B$10)*($D$10-$C$10))),"PERT",_xlfn.BETA.INV(C560,1+$B$6*($C$10-$B$10)/($D$10-$B$10),1+$B$6*($D$10-$C$10)/($D$10-$B$10),$B$10,$D$10))</f>
        <v>5009.9799736582445</v>
      </c>
      <c r="F560" s="88">
        <f t="shared" ca="1" si="25"/>
        <v>0.53605046202023454</v>
      </c>
      <c r="G560" s="89">
        <f t="shared" ca="1" si="26"/>
        <v>1.7531903959627619E-4</v>
      </c>
    </row>
    <row r="561" spans="1:7" x14ac:dyDescent="0.35">
      <c r="A561" s="84">
        <v>546</v>
      </c>
      <c r="B561" s="84">
        <f t="shared" ca="1" si="24"/>
        <v>3.7743087910442785E-2</v>
      </c>
      <c r="C561" s="84">
        <f t="shared" ca="1" si="24"/>
        <v>0.92018699839943963</v>
      </c>
      <c r="D561" s="93" cm="1">
        <f t="array" aca="1" ref="D561" ca="1">_xlfn.SWITCH($B$4,"Normal MLE",EXP(_xlfn.NORM.INV(B561,LN($C$9),$E$9/$C$9)),"Uniforme",$B$9+($D$9-$B$9)*B561,"Triangular",IF(B561&lt;=($C$9-$B$9)/($D$9-$B$9),$B$9+SQRT(B561*($D$9-$B$9)*($C$9-$B$9)),$D$9-SQRT((1-B561)*($D$9-$B$9)*($D$9-$C$9))),"PERT",_xlfn.BETA.INV(B561,1+$B$6*($C$9-$B$9)/($D$9-$B$9),1+$B$6*($D$9-$C$9)/($D$9-$B$9),$B$9,$D$9))</f>
        <v>1.7185247555177074</v>
      </c>
      <c r="E561" s="94" cm="1">
        <f t="array" aca="1" ref="E561" ca="1">_xlfn.SWITCH($B$4,"Normal MLE",EXP(_xlfn.NORM.INV(C561,LN($C$10),$E$10/$C$10)),"Uniforme",$B$10+($D$10-$B$10)*C561,"Triangular",IF(C561&lt;=($C$10-$B$10)/($D$10-$B$10),$B$10+SQRT(C561*($D$10-$B$10)*($C$10-$B$10)),$D$10-SQRT((1-C561)*($D$10-$B$10)*($D$10-$C$10))),"PERT",_xlfn.BETA.INV(C561,1+$B$6*($C$10-$B$10)/($D$10-$B$10),1+$B$6*($D$10-$C$10)/($D$10-$B$10),$B$10,$D$10))</f>
        <v>5444.6812642169607</v>
      </c>
      <c r="F561" s="88">
        <f t="shared" ca="1" si="25"/>
        <v>0.55506788782859406</v>
      </c>
      <c r="G561" s="89">
        <f t="shared" ca="1" si="26"/>
        <v>1.403815425205436E-4</v>
      </c>
    </row>
    <row r="562" spans="1:7" x14ac:dyDescent="0.35">
      <c r="A562" s="84">
        <v>547</v>
      </c>
      <c r="B562" s="84">
        <f t="shared" ca="1" si="24"/>
        <v>0.51841334742635359</v>
      </c>
      <c r="C562" s="84">
        <f t="shared" ca="1" si="24"/>
        <v>2.7030104329466398E-2</v>
      </c>
      <c r="D562" s="93" cm="1">
        <f t="array" aca="1" ref="D562" ca="1">_xlfn.SWITCH($B$4,"Normal MLE",EXP(_xlfn.NORM.INV(B562,LN($C$9),$E$9/$C$9)),"Uniforme",$B$9+($D$9-$B$9)*B562,"Triangular",IF(B562&lt;=($C$9-$B$9)/($D$9-$B$9),$B$9+SQRT(B562*($D$9-$B$9)*($C$9-$B$9)),$D$9-SQRT((1-B562)*($D$9-$B$9)*($D$9-$C$9))),"PERT",_xlfn.BETA.INV(B562,1+$B$6*($C$9-$B$9)/($D$9-$B$9),1+$B$6*($D$9-$C$9)/($D$9-$B$9),$B$9,$D$9))</f>
        <v>1.9540187791208155</v>
      </c>
      <c r="E562" s="94" cm="1">
        <f t="array" aca="1" ref="E562" ca="1">_xlfn.SWITCH($B$4,"Normal MLE",EXP(_xlfn.NORM.INV(C562,LN($C$10),$E$10/$C$10)),"Uniforme",$B$10+($D$10-$B$10)*C562,"Triangular",IF(C562&lt;=($C$10-$B$10)/($D$10-$B$10),$B$10+SQRT(C562*($D$10-$B$10)*($C$10-$B$10)),$D$10-SQRT((1-C562)*($D$10-$B$10)*($D$10-$C$10))),"PERT",_xlfn.BETA.INV(C562,1+$B$6*($C$10-$B$10)/($D$10-$B$10),1+$B$6*($D$10-$C$10)/($D$10-$B$10),$B$10,$D$10))</f>
        <v>4662.5154105015981</v>
      </c>
      <c r="F562" s="88">
        <f t="shared" ca="1" si="25"/>
        <v>0.4765380339854286</v>
      </c>
      <c r="G562" s="89">
        <f t="shared" ca="1" si="26"/>
        <v>1.7254654045079784E-4</v>
      </c>
    </row>
    <row r="563" spans="1:7" x14ac:dyDescent="0.35">
      <c r="A563" s="84">
        <v>548</v>
      </c>
      <c r="B563" s="84">
        <f t="shared" ca="1" si="24"/>
        <v>0.78471674395468805</v>
      </c>
      <c r="C563" s="84">
        <f t="shared" ca="1" si="24"/>
        <v>0.6869811760887431</v>
      </c>
      <c r="D563" s="93" cm="1">
        <f t="array" aca="1" ref="D563" ca="1">_xlfn.SWITCH($B$4,"Normal MLE",EXP(_xlfn.NORM.INV(B563,LN($C$9),$E$9/$C$9)),"Uniforme",$B$9+($D$9-$B$9)*B563,"Triangular",IF(B563&lt;=($C$9-$B$9)/($D$9-$B$9),$B$9+SQRT(B563*($D$9-$B$9)*($C$9-$B$9)),$D$9-SQRT((1-B563)*($D$9-$B$9)*($D$9-$C$9))),"PERT",_xlfn.BETA.INV(B563,1+$B$6*($C$9-$B$9)/($D$9-$B$9),1+$B$6*($D$9-$C$9)/($D$9-$B$9),$B$9,$D$9))</f>
        <v>2.0588405630370401</v>
      </c>
      <c r="E563" s="94" cm="1">
        <f t="array" aca="1" ref="E563" ca="1">_xlfn.SWITCH($B$4,"Normal MLE",EXP(_xlfn.NORM.INV(C563,LN($C$10),$E$10/$C$10)),"Uniforme",$B$10+($D$10-$B$10)*C563,"Triangular",IF(C563&lt;=($C$10-$B$10)/($D$10-$B$10),$B$10+SQRT(C563*($D$10-$B$10)*($C$10-$B$10)),$D$10-SQRT((1-C563)*($D$10-$B$10)*($D$10-$C$10))),"PERT",_xlfn.BETA.INV(C563,1+$B$6*($C$10-$B$10)/($D$10-$B$10),1+$B$6*($D$10-$C$10)/($D$10-$B$10),$B$10,$D$10))</f>
        <v>5216.7432526644161</v>
      </c>
      <c r="F563" s="88">
        <f t="shared" ca="1" si="25"/>
        <v>0.56056624395572785</v>
      </c>
      <c r="G563" s="89">
        <f t="shared" ca="1" si="26"/>
        <v>1.6700292737825787E-4</v>
      </c>
    </row>
    <row r="564" spans="1:7" x14ac:dyDescent="0.35">
      <c r="A564" s="84">
        <v>549</v>
      </c>
      <c r="B564" s="84">
        <f t="shared" ca="1" si="24"/>
        <v>0.70423586105284852</v>
      </c>
      <c r="C564" s="84">
        <f t="shared" ca="1" si="24"/>
        <v>0.73784003354760019</v>
      </c>
      <c r="D564" s="93" cm="1">
        <f t="array" aca="1" ref="D564" ca="1">_xlfn.SWITCH($B$4,"Normal MLE",EXP(_xlfn.NORM.INV(B564,LN($C$9),$E$9/$C$9)),"Uniforme",$B$9+($D$9-$B$9)*B564,"Triangular",IF(B564&lt;=($C$9-$B$9)/($D$9-$B$9),$B$9+SQRT(B564*($D$9-$B$9)*($C$9-$B$9)),$D$9-SQRT((1-B564)*($D$9-$B$9)*($D$9-$C$9))),"PERT",_xlfn.BETA.INV(B564,1+$B$6*($C$9-$B$9)/($D$9-$B$9),1+$B$6*($D$9-$C$9)/($D$9-$B$9),$B$9,$D$9))</f>
        <v>2.0226842303881751</v>
      </c>
      <c r="E564" s="94" cm="1">
        <f t="array" aca="1" ref="E564" ca="1">_xlfn.SWITCH($B$4,"Normal MLE",EXP(_xlfn.NORM.INV(C564,LN($C$10),$E$10/$C$10)),"Uniforme",$B$10+($D$10-$B$10)*C564,"Triangular",IF(C564&lt;=($C$10-$B$10)/($D$10-$B$10),$B$10+SQRT(C564*($D$10-$B$10)*($C$10-$B$10)),$D$10-SQRT((1-C564)*($D$10-$B$10)*($D$10-$C$10))),"PERT",_xlfn.BETA.INV(C564,1+$B$6*($C$10-$B$10)/($D$10-$B$10),1+$B$6*($D$10-$C$10)/($D$10-$B$10),$B$10,$D$10))</f>
        <v>5253.134918721451</v>
      </c>
      <c r="F564" s="88">
        <f t="shared" ca="1" si="25"/>
        <v>0.5620115756647911</v>
      </c>
      <c r="G564" s="89">
        <f t="shared" ca="1" si="26"/>
        <v>1.6376133023147423E-4</v>
      </c>
    </row>
    <row r="565" spans="1:7" x14ac:dyDescent="0.35">
      <c r="A565" s="84">
        <v>550</v>
      </c>
      <c r="B565" s="84">
        <f t="shared" ca="1" si="24"/>
        <v>0.20190634584542699</v>
      </c>
      <c r="C565" s="84">
        <f t="shared" ca="1" si="24"/>
        <v>0.81357636999355976</v>
      </c>
      <c r="D565" s="93" cm="1">
        <f t="array" aca="1" ref="D565" ca="1">_xlfn.SWITCH($B$4,"Normal MLE",EXP(_xlfn.NORM.INV(B565,LN($C$9),$E$9/$C$9)),"Uniforme",$B$9+($D$9-$B$9)*B565,"Triangular",IF(B565&lt;=($C$9-$B$9)/($D$9-$B$9),$B$9+SQRT(B565*($D$9-$B$9)*($C$9-$B$9)),$D$9-SQRT((1-B565)*($D$9-$B$9)*($D$9-$C$9))),"PERT",_xlfn.BETA.INV(B565,1+$B$6*($C$9-$B$9)/($D$9-$B$9),1+$B$6*($D$9-$C$9)/($D$9-$B$9),$B$9,$D$9))</f>
        <v>1.8364757577744519</v>
      </c>
      <c r="E565" s="94" cm="1">
        <f t="array" aca="1" ref="E565" ca="1">_xlfn.SWITCH($B$4,"Normal MLE",EXP(_xlfn.NORM.INV(C565,LN($C$10),$E$10/$C$10)),"Uniforme",$B$10+($D$10-$B$10)*C565,"Triangular",IF(C565&lt;=($C$10-$B$10)/($D$10-$B$10),$B$10+SQRT(C565*($D$10-$B$10)*($C$10-$B$10)),$D$10-SQRT((1-C565)*($D$10-$B$10)*($D$10-$C$10))),"PERT",_xlfn.BETA.INV(C565,1+$B$6*($C$10-$B$10)/($D$10-$B$10),1+$B$6*($D$10-$C$10)/($D$10-$B$10),$B$10,$D$10))</f>
        <v>5315.7057040653599</v>
      </c>
      <c r="F565" s="88">
        <f t="shared" ca="1" si="25"/>
        <v>0.55256202378192898</v>
      </c>
      <c r="G565" s="89">
        <f t="shared" ca="1" si="26"/>
        <v>1.5048727019570453E-4</v>
      </c>
    </row>
    <row r="566" spans="1:7" x14ac:dyDescent="0.35">
      <c r="A566" s="84">
        <v>551</v>
      </c>
      <c r="B566" s="84">
        <f t="shared" ca="1" si="24"/>
        <v>0.97428806635805698</v>
      </c>
      <c r="C566" s="84">
        <f t="shared" ca="1" si="24"/>
        <v>7.2230694155408948E-2</v>
      </c>
      <c r="D566" s="93" cm="1">
        <f t="array" aca="1" ref="D566" ca="1">_xlfn.SWITCH($B$4,"Normal MLE",EXP(_xlfn.NORM.INV(B566,LN($C$9),$E$9/$C$9)),"Uniforme",$B$9+($D$9-$B$9)*B566,"Triangular",IF(B566&lt;=($C$9-$B$9)/($D$9-$B$9),$B$9+SQRT(B566*($D$9-$B$9)*($C$9-$B$9)),$D$9-SQRT((1-B566)*($D$9-$B$9)*($D$9-$C$9))),"PERT",_xlfn.BETA.INV(B566,1+$B$6*($C$9-$B$9)/($D$9-$B$9),1+$B$6*($D$9-$C$9)/($D$9-$B$9),$B$9,$D$9))</f>
        <v>2.2340334348304651</v>
      </c>
      <c r="E566" s="94" cm="1">
        <f t="array" aca="1" ref="E566" ca="1">_xlfn.SWITCH($B$4,"Normal MLE",EXP(_xlfn.NORM.INV(C566,LN($C$10),$E$10/$C$10)),"Uniforme",$B$10+($D$10-$B$10)*C566,"Triangular",IF(C566&lt;=($C$10-$B$10)/($D$10-$B$10),$B$10+SQRT(C566*($D$10-$B$10)*($C$10-$B$10)),$D$10-SQRT((1-C566)*($D$10-$B$10)*($D$10-$C$10))),"PERT",_xlfn.BETA.INV(C566,1+$B$6*($C$10-$B$10)/($D$10-$B$10),1+$B$6*($D$10-$C$10)/($D$10-$B$10),$B$10,$D$10))</f>
        <v>4764.9427946956557</v>
      </c>
      <c r="F566" s="88">
        <f t="shared" ca="1" si="25"/>
        <v>0.50843222295228641</v>
      </c>
      <c r="G566" s="89">
        <f t="shared" ca="1" si="26"/>
        <v>1.9207964394818967E-4</v>
      </c>
    </row>
    <row r="567" spans="1:7" x14ac:dyDescent="0.35">
      <c r="A567" s="84">
        <v>552</v>
      </c>
      <c r="B567" s="84">
        <f t="shared" ca="1" si="24"/>
        <v>0.84366924816373978</v>
      </c>
      <c r="C567" s="84">
        <f t="shared" ca="1" si="24"/>
        <v>0.43528347655236566</v>
      </c>
      <c r="D567" s="93" cm="1">
        <f t="array" aca="1" ref="D567" ca="1">_xlfn.SWITCH($B$4,"Normal MLE",EXP(_xlfn.NORM.INV(B567,LN($C$9),$E$9/$C$9)),"Uniforme",$B$9+($D$9-$B$9)*B567,"Triangular",IF(B567&lt;=($C$9-$B$9)/($D$9-$B$9),$B$9+SQRT(B567*($D$9-$B$9)*($C$9-$B$9)),$D$9-SQRT((1-B567)*($D$9-$B$9)*($D$9-$C$9))),"PERT",_xlfn.BETA.INV(B567,1+$B$6*($C$9-$B$9)/($D$9-$B$9),1+$B$6*($D$9-$C$9)/($D$9-$B$9),$B$9,$D$9))</f>
        <v>2.0911957108943664</v>
      </c>
      <c r="E567" s="94" cm="1">
        <f t="array" aca="1" ref="E567" ca="1">_xlfn.SWITCH($B$4,"Normal MLE",EXP(_xlfn.NORM.INV(C567,LN($C$10),$E$10/$C$10)),"Uniforme",$B$10+($D$10-$B$10)*C567,"Triangular",IF(C567&lt;=($C$10-$B$10)/($D$10-$B$10),$B$10+SQRT(C567*($D$10-$B$10)*($C$10-$B$10)),$D$10-SQRT((1-C567)*($D$10-$B$10)*($D$10-$C$10))),"PERT",_xlfn.BETA.INV(C567,1+$B$6*($C$10-$B$10)/($D$10-$B$10),1+$B$6*($D$10-$C$10)/($D$10-$B$10),$B$10,$D$10))</f>
        <v>5061.2545665795478</v>
      </c>
      <c r="F567" s="88">
        <f t="shared" ca="1" si="25"/>
        <v>0.54262267823539323</v>
      </c>
      <c r="G567" s="89">
        <f t="shared" ca="1" si="26"/>
        <v>1.7342680032068512E-4</v>
      </c>
    </row>
    <row r="568" spans="1:7" x14ac:dyDescent="0.35">
      <c r="A568" s="84">
        <v>553</v>
      </c>
      <c r="B568" s="84">
        <f t="shared" ca="1" si="24"/>
        <v>0.30447358256791812</v>
      </c>
      <c r="C568" s="84">
        <f t="shared" ca="1" si="24"/>
        <v>0.26298564528406021</v>
      </c>
      <c r="D568" s="93" cm="1">
        <f t="array" aca="1" ref="D568" ca="1">_xlfn.SWITCH($B$4,"Normal MLE",EXP(_xlfn.NORM.INV(B568,LN($C$9),$E$9/$C$9)),"Uniforme",$B$9+($D$9-$B$9)*B568,"Triangular",IF(B568&lt;=($C$9-$B$9)/($D$9-$B$9),$B$9+SQRT(B568*($D$9-$B$9)*($C$9-$B$9)),$D$9-SQRT((1-B568)*($D$9-$B$9)*($D$9-$C$9))),"PERT",_xlfn.BETA.INV(B568,1+$B$6*($C$9-$B$9)/($D$9-$B$9),1+$B$6*($D$9-$C$9)/($D$9-$B$9),$B$9,$D$9))</f>
        <v>1.8787596400016366</v>
      </c>
      <c r="E568" s="94" cm="1">
        <f t="array" aca="1" ref="E568" ca="1">_xlfn.SWITCH($B$4,"Normal MLE",EXP(_xlfn.NORM.INV(C568,LN($C$10),$E$10/$C$10)),"Uniforme",$B$10+($D$10-$B$10)*C568,"Triangular",IF(C568&lt;=($C$10-$B$10)/($D$10-$B$10),$B$10+SQRT(C568*($D$10-$B$10)*($C$10-$B$10)),$D$10-SQRT((1-C568)*($D$10-$B$10)*($D$10-$C$10))),"PERT",_xlfn.BETA.INV(C568,1+$B$6*($C$10-$B$10)/($D$10-$B$10),1+$B$6*($D$10-$C$10)/($D$10-$B$10),$B$10,$D$10))</f>
        <v>4951.4777040909676</v>
      </c>
      <c r="F568" s="88">
        <f t="shared" ca="1" si="25"/>
        <v>0.51185741015806574</v>
      </c>
      <c r="G568" s="89">
        <f t="shared" ca="1" si="26"/>
        <v>1.610076395815474E-4</v>
      </c>
    </row>
    <row r="569" spans="1:7" x14ac:dyDescent="0.35">
      <c r="A569" s="84">
        <v>554</v>
      </c>
      <c r="B569" s="84">
        <f t="shared" ca="1" si="24"/>
        <v>7.0839485074729591E-3</v>
      </c>
      <c r="C569" s="84">
        <f t="shared" ca="1" si="24"/>
        <v>0.18387929092956401</v>
      </c>
      <c r="D569" s="93" cm="1">
        <f t="array" aca="1" ref="D569" ca="1">_xlfn.SWITCH($B$4,"Normal MLE",EXP(_xlfn.NORM.INV(B569,LN($C$9),$E$9/$C$9)),"Uniforme",$B$9+($D$9-$B$9)*B569,"Triangular",IF(B569&lt;=($C$9-$B$9)/($D$9-$B$9),$B$9+SQRT(B569*($D$9-$B$9)*($C$9-$B$9)),$D$9-SQRT((1-B569)*($D$9-$B$9)*($D$9-$C$9))),"PERT",_xlfn.BETA.INV(B569,1+$B$6*($C$9-$B$9)/($D$9-$B$9),1+$B$6*($D$9-$C$9)/($D$9-$B$9),$B$9,$D$9))</f>
        <v>1.6386936009515329</v>
      </c>
      <c r="E569" s="94" cm="1">
        <f t="array" aca="1" ref="E569" ca="1">_xlfn.SWITCH($B$4,"Normal MLE",EXP(_xlfn.NORM.INV(C569,LN($C$10),$E$10/$C$10)),"Uniforme",$B$10+($D$10-$B$10)*C569,"Triangular",IF(C569&lt;=($C$10-$B$10)/($D$10-$B$10),$B$10+SQRT(C569*($D$10-$B$10)*($C$10-$B$10)),$D$10-SQRT((1-C569)*($D$10-$B$10)*($D$10-$C$10))),"PERT",_xlfn.BETA.INV(C569,1+$B$6*($C$10-$B$10)/($D$10-$B$10),1+$B$6*($D$10-$C$10)/($D$10-$B$10),$B$10,$D$10))</f>
        <v>4890.4489563182306</v>
      </c>
      <c r="F569" s="88">
        <f t="shared" ca="1" si="25"/>
        <v>0.48705240749202333</v>
      </c>
      <c r="G569" s="89">
        <f t="shared" ca="1" si="26"/>
        <v>1.435403374240379E-4</v>
      </c>
    </row>
    <row r="570" spans="1:7" x14ac:dyDescent="0.35">
      <c r="A570" s="84">
        <v>555</v>
      </c>
      <c r="B570" s="84">
        <f t="shared" ca="1" si="24"/>
        <v>0.42999027430175019</v>
      </c>
      <c r="C570" s="84">
        <f t="shared" ca="1" si="24"/>
        <v>0.78145995851771211</v>
      </c>
      <c r="D570" s="93" cm="1">
        <f t="array" aca="1" ref="D570" ca="1">_xlfn.SWITCH($B$4,"Normal MLE",EXP(_xlfn.NORM.INV(B570,LN($C$9),$E$9/$C$9)),"Uniforme",$B$9+($D$9-$B$9)*B570,"Triangular",IF(B570&lt;=($C$9-$B$9)/($D$9-$B$9),$B$9+SQRT(B570*($D$9-$B$9)*($C$9-$B$9)),$D$9-SQRT((1-B570)*($D$9-$B$9)*($D$9-$C$9))),"PERT",_xlfn.BETA.INV(B570,1+$B$6*($C$9-$B$9)/($D$9-$B$9),1+$B$6*($D$9-$C$9)/($D$9-$B$9),$B$9,$D$9))</f>
        <v>1.9236315835483901</v>
      </c>
      <c r="E570" s="94" cm="1">
        <f t="array" aca="1" ref="E570" ca="1">_xlfn.SWITCH($B$4,"Normal MLE",EXP(_xlfn.NORM.INV(C570,LN($C$10),$E$10/$C$10)),"Uniforme",$B$10+($D$10-$B$10)*C570,"Triangular",IF(C570&lt;=($C$10-$B$10)/($D$10-$B$10),$B$10+SQRT(C570*($D$10-$B$10)*($C$10-$B$10)),$D$10-SQRT((1-C570)*($D$10-$B$10)*($D$10-$C$10))),"PERT",_xlfn.BETA.INV(C570,1+$B$6*($C$10-$B$10)/($D$10-$B$10),1+$B$6*($D$10-$C$10)/($D$10-$B$10),$B$10,$D$10))</f>
        <v>5287.5762768777968</v>
      </c>
      <c r="F570" s="88">
        <f t="shared" ca="1" si="25"/>
        <v>0.55732613996958569</v>
      </c>
      <c r="G570" s="89">
        <f t="shared" ca="1" si="26"/>
        <v>1.5668723221261364E-4</v>
      </c>
    </row>
    <row r="571" spans="1:7" x14ac:dyDescent="0.35">
      <c r="A571" s="84">
        <v>556</v>
      </c>
      <c r="B571" s="84">
        <f t="shared" ca="1" si="24"/>
        <v>0.42734998030904092</v>
      </c>
      <c r="C571" s="84">
        <f t="shared" ca="1" si="24"/>
        <v>9.0406161722245026E-2</v>
      </c>
      <c r="D571" s="93" cm="1">
        <f t="array" aca="1" ref="D571" ca="1">_xlfn.SWITCH($B$4,"Normal MLE",EXP(_xlfn.NORM.INV(B571,LN($C$9),$E$9/$C$9)),"Uniforme",$B$9+($D$9-$B$9)*B571,"Triangular",IF(B571&lt;=($C$9-$B$9)/($D$9-$B$9),$B$9+SQRT(B571*($D$9-$B$9)*($C$9-$B$9)),$D$9-SQRT((1-B571)*($D$9-$B$9)*($D$9-$C$9))),"PERT",_xlfn.BETA.INV(B571,1+$B$6*($C$9-$B$9)/($D$9-$B$9),1+$B$6*($D$9-$C$9)/($D$9-$B$9),$B$9,$D$9))</f>
        <v>1.9227206811941666</v>
      </c>
      <c r="E571" s="94" cm="1">
        <f t="array" aca="1" ref="E571" ca="1">_xlfn.SWITCH($B$4,"Normal MLE",EXP(_xlfn.NORM.INV(C571,LN($C$10),$E$10/$C$10)),"Uniforme",$B$10+($D$10-$B$10)*C571,"Triangular",IF(C571&lt;=($C$10-$B$10)/($D$10-$B$10),$B$10+SQRT(C571*($D$10-$B$10)*($C$10-$B$10)),$D$10-SQRT((1-C571)*($D$10-$B$10)*($D$10-$C$10))),"PERT",_xlfn.BETA.INV(C571,1+$B$6*($C$10-$B$10)/($D$10-$B$10),1+$B$6*($D$10-$C$10)/($D$10-$B$10),$B$10,$D$10))</f>
        <v>4791.8747026330047</v>
      </c>
      <c r="F571" s="88">
        <f t="shared" ca="1" si="25"/>
        <v>0.49332051551376971</v>
      </c>
      <c r="G571" s="89">
        <f t="shared" ca="1" si="26"/>
        <v>1.6755472150372928E-4</v>
      </c>
    </row>
    <row r="572" spans="1:7" x14ac:dyDescent="0.35">
      <c r="A572" s="84">
        <v>557</v>
      </c>
      <c r="B572" s="84">
        <f t="shared" ca="1" si="24"/>
        <v>5.6297179389455887E-2</v>
      </c>
      <c r="C572" s="84">
        <f t="shared" ca="1" si="24"/>
        <v>0.87661353508095674</v>
      </c>
      <c r="D572" s="93" cm="1">
        <f t="array" aca="1" ref="D572" ca="1">_xlfn.SWITCH($B$4,"Normal MLE",EXP(_xlfn.NORM.INV(B572,LN($C$9),$E$9/$C$9)),"Uniforme",$B$9+($D$9-$B$9)*B572,"Triangular",IF(B572&lt;=($C$9-$B$9)/($D$9-$B$9),$B$9+SQRT(B572*($D$9-$B$9)*($C$9-$B$9)),$D$9-SQRT((1-B572)*($D$9-$B$9)*($D$9-$C$9))),"PERT",_xlfn.BETA.INV(B572,1+$B$6*($C$9-$B$9)/($D$9-$B$9),1+$B$6*($D$9-$C$9)/($D$9-$B$9),$B$9,$D$9))</f>
        <v>1.7417780536963652</v>
      </c>
      <c r="E572" s="94" cm="1">
        <f t="array" aca="1" ref="E572" ca="1">_xlfn.SWITCH($B$4,"Normal MLE",EXP(_xlfn.NORM.INV(C572,LN($C$10),$E$10/$C$10)),"Uniforme",$B$10+($D$10-$B$10)*C572,"Triangular",IF(C572&lt;=($C$10-$B$10)/($D$10-$B$10),$B$10+SQRT(C572*($D$10-$B$10)*($C$10-$B$10)),$D$10-SQRT((1-C572)*($D$10-$B$10)*($D$10-$C$10))),"PERT",_xlfn.BETA.INV(C572,1+$B$6*($C$10-$B$10)/($D$10-$B$10),1+$B$6*($D$10-$C$10)/($D$10-$B$10),$B$10,$D$10))</f>
        <v>5382.1812099577828</v>
      </c>
      <c r="F572" s="88">
        <f t="shared" ca="1" si="25"/>
        <v>0.55082866661308671</v>
      </c>
      <c r="G572" s="89">
        <f t="shared" ca="1" si="26"/>
        <v>1.4303327552532877E-4</v>
      </c>
    </row>
    <row r="573" spans="1:7" x14ac:dyDescent="0.35">
      <c r="A573" s="84">
        <v>558</v>
      </c>
      <c r="B573" s="84">
        <f t="shared" ca="1" si="24"/>
        <v>1.6552202639178559E-2</v>
      </c>
      <c r="C573" s="84">
        <f t="shared" ca="1" si="24"/>
        <v>0.91961625209713538</v>
      </c>
      <c r="D573" s="93" cm="1">
        <f t="array" aca="1" ref="D573" ca="1">_xlfn.SWITCH($B$4,"Normal MLE",EXP(_xlfn.NORM.INV(B573,LN($C$9),$E$9/$C$9)),"Uniforme",$B$9+($D$9-$B$9)*B573,"Triangular",IF(B573&lt;=($C$9-$B$9)/($D$9-$B$9),$B$9+SQRT(B573*($D$9-$B$9)*($C$9-$B$9)),$D$9-SQRT((1-B573)*($D$9-$B$9)*($D$9-$C$9))),"PERT",_xlfn.BETA.INV(B573,1+$B$6*($C$9-$B$9)/($D$9-$B$9),1+$B$6*($D$9-$C$9)/($D$9-$B$9),$B$9,$D$9))</f>
        <v>1.6762948498587031</v>
      </c>
      <c r="E573" s="94" cm="1">
        <f t="array" aca="1" ref="E573" ca="1">_xlfn.SWITCH($B$4,"Normal MLE",EXP(_xlfn.NORM.INV(C573,LN($C$10),$E$10/$C$10)),"Uniforme",$B$10+($D$10-$B$10)*C573,"Triangular",IF(C573&lt;=($C$10-$B$10)/($D$10-$B$10),$B$10+SQRT(C573*($D$10-$B$10)*($C$10-$B$10)),$D$10-SQRT((1-C573)*($D$10-$B$10)*($D$10-$C$10))),"PERT",_xlfn.BETA.INV(C573,1+$B$6*($C$10-$B$10)/($D$10-$B$10),1+$B$6*($D$10-$C$10)/($D$10-$B$10),$B$10,$D$10))</f>
        <v>5443.7095569009007</v>
      </c>
      <c r="F573" s="88">
        <f t="shared" ca="1" si="25"/>
        <v>0.55070353666476823</v>
      </c>
      <c r="G573" s="89">
        <f t="shared" ca="1" si="26"/>
        <v>1.3767701454252913E-4</v>
      </c>
    </row>
    <row r="574" spans="1:7" x14ac:dyDescent="0.35">
      <c r="A574" s="84">
        <v>559</v>
      </c>
      <c r="B574" s="84">
        <f t="shared" ca="1" si="24"/>
        <v>0.10595284402940153</v>
      </c>
      <c r="C574" s="84">
        <f t="shared" ca="1" si="24"/>
        <v>0.47192084589609973</v>
      </c>
      <c r="D574" s="93" cm="1">
        <f t="array" aca="1" ref="D574" ca="1">_xlfn.SWITCH($B$4,"Normal MLE",EXP(_xlfn.NORM.INV(B574,LN($C$9),$E$9/$C$9)),"Uniforme",$B$9+($D$9-$B$9)*B574,"Triangular",IF(B574&lt;=($C$9-$B$9)/($D$9-$B$9),$B$9+SQRT(B574*($D$9-$B$9)*($C$9-$B$9)),$D$9-SQRT((1-B574)*($D$9-$B$9)*($D$9-$C$9))),"PERT",_xlfn.BETA.INV(B574,1+$B$6*($C$9-$B$9)/($D$9-$B$9),1+$B$6*($D$9-$C$9)/($D$9-$B$9),$B$9,$D$9))</f>
        <v>1.7837700879308385</v>
      </c>
      <c r="E574" s="94" cm="1">
        <f t="array" aca="1" ref="E574" ca="1">_xlfn.SWITCH($B$4,"Normal MLE",EXP(_xlfn.NORM.INV(C574,LN($C$10),$E$10/$C$10)),"Uniforme",$B$10+($D$10-$B$10)*C574,"Triangular",IF(C574&lt;=($C$10-$B$10)/($D$10-$B$10),$B$10+SQRT(C574*($D$10-$B$10)*($C$10-$B$10)),$D$10-SQRT((1-C574)*($D$10-$B$10)*($D$10-$C$10))),"PERT",_xlfn.BETA.INV(C574,1+$B$6*($C$10-$B$10)/($D$10-$B$10),1+$B$6*($D$10-$C$10)/($D$10-$B$10),$B$10,$D$10))</f>
        <v>5083.086392433911</v>
      </c>
      <c r="F574" s="88">
        <f t="shared" ca="1" si="25"/>
        <v>0.52090893275736938</v>
      </c>
      <c r="G574" s="89">
        <f t="shared" ca="1" si="26"/>
        <v>1.51498452755316E-4</v>
      </c>
    </row>
    <row r="575" spans="1:7" x14ac:dyDescent="0.35">
      <c r="A575" s="84">
        <v>560</v>
      </c>
      <c r="B575" s="84">
        <f t="shared" ca="1" si="24"/>
        <v>0.37627216026099664</v>
      </c>
      <c r="C575" s="84">
        <f t="shared" ca="1" si="24"/>
        <v>0.63302156387888242</v>
      </c>
      <c r="D575" s="93" cm="1">
        <f t="array" aca="1" ref="D575" ca="1">_xlfn.SWITCH($B$4,"Normal MLE",EXP(_xlfn.NORM.INV(B575,LN($C$9),$E$9/$C$9)),"Uniforme",$B$9+($D$9-$B$9)*B575,"Triangular",IF(B575&lt;=($C$9-$B$9)/($D$9-$B$9),$B$9+SQRT(B575*($D$9-$B$9)*($C$9-$B$9)),$D$9-SQRT((1-B575)*($D$9-$B$9)*($D$9-$C$9))),"PERT",_xlfn.BETA.INV(B575,1+$B$6*($C$9-$B$9)/($D$9-$B$9),1+$B$6*($D$9-$C$9)/($D$9-$B$9),$B$9,$D$9))</f>
        <v>1.9049094534585524</v>
      </c>
      <c r="E575" s="94" cm="1">
        <f t="array" aca="1" ref="E575" ca="1">_xlfn.SWITCH($B$4,"Normal MLE",EXP(_xlfn.NORM.INV(C575,LN($C$10),$E$10/$C$10)),"Uniforme",$B$10+($D$10-$B$10)*C575,"Triangular",IF(C575&lt;=($C$10-$B$10)/($D$10-$B$10),$B$10+SQRT(C575*($D$10-$B$10)*($C$10-$B$10)),$D$10-SQRT((1-C575)*($D$10-$B$10)*($D$10-$C$10))),"PERT",_xlfn.BETA.INV(C575,1+$B$6*($C$10-$B$10)/($D$10-$B$10),1+$B$6*($D$10-$C$10)/($D$10-$B$10),$B$10,$D$10))</f>
        <v>5181.0724667648519</v>
      </c>
      <c r="F575" s="88">
        <f t="shared" ca="1" si="25"/>
        <v>0.54286599291466964</v>
      </c>
      <c r="G575" s="89">
        <f t="shared" ca="1" si="26"/>
        <v>1.5793266891833962E-4</v>
      </c>
    </row>
    <row r="576" spans="1:7" x14ac:dyDescent="0.35">
      <c r="A576" s="84">
        <v>561</v>
      </c>
      <c r="B576" s="84">
        <f t="shared" ca="1" si="24"/>
        <v>0.11354978812005379</v>
      </c>
      <c r="C576" s="84">
        <f t="shared" ca="1" si="24"/>
        <v>0.96274939645393121</v>
      </c>
      <c r="D576" s="93" cm="1">
        <f t="array" aca="1" ref="D576" ca="1">_xlfn.SWITCH($B$4,"Normal MLE",EXP(_xlfn.NORM.INV(B576,LN($C$9),$E$9/$C$9)),"Uniforme",$B$9+($D$9-$B$9)*B576,"Triangular",IF(B576&lt;=($C$9-$B$9)/($D$9-$B$9),$B$9+SQRT(B576*($D$9-$B$9)*($C$9-$B$9)),$D$9-SQRT((1-B576)*($D$9-$B$9)*($D$9-$C$9))),"PERT",_xlfn.BETA.INV(B576,1+$B$6*($C$9-$B$9)/($D$9-$B$9),1+$B$6*($D$9-$C$9)/($D$9-$B$9),$B$9,$D$9))</f>
        <v>1.7888619213635775</v>
      </c>
      <c r="E576" s="94" cm="1">
        <f t="array" aca="1" ref="E576" ca="1">_xlfn.SWITCH($B$4,"Normal MLE",EXP(_xlfn.NORM.INV(C576,LN($C$10),$E$10/$C$10)),"Uniforme",$B$10+($D$10-$B$10)*C576,"Triangular",IF(C576&lt;=($C$10-$B$10)/($D$10-$B$10),$B$10+SQRT(C576*($D$10-$B$10)*($C$10-$B$10)),$D$10-SQRT((1-C576)*($D$10-$B$10)*($D$10-$C$10))),"PERT",_xlfn.BETA.INV(C576,1+$B$6*($C$10-$B$10)/($D$10-$B$10),1+$B$6*($D$10-$C$10)/($D$10-$B$10),$B$10,$D$10))</f>
        <v>5541.0920655269465</v>
      </c>
      <c r="F576" s="88">
        <f t="shared" ca="1" si="25"/>
        <v>0.57222130419603534</v>
      </c>
      <c r="G576" s="89">
        <f t="shared" ca="1" si="26"/>
        <v>1.4285439581144022E-4</v>
      </c>
    </row>
    <row r="577" spans="1:7" x14ac:dyDescent="0.35">
      <c r="A577" s="84">
        <v>562</v>
      </c>
      <c r="B577" s="84">
        <f t="shared" ca="1" si="24"/>
        <v>0.1658273683210324</v>
      </c>
      <c r="C577" s="84">
        <f t="shared" ca="1" si="24"/>
        <v>0.68416917332447713</v>
      </c>
      <c r="D577" s="93" cm="1">
        <f t="array" aca="1" ref="D577" ca="1">_xlfn.SWITCH($B$4,"Normal MLE",EXP(_xlfn.NORM.INV(B577,LN($C$9),$E$9/$C$9)),"Uniforme",$B$9+($D$9-$B$9)*B577,"Triangular",IF(B577&lt;=($C$9-$B$9)/($D$9-$B$9),$B$9+SQRT(B577*($D$9-$B$9)*($C$9-$B$9)),$D$9-SQRT((1-B577)*($D$9-$B$9)*($D$9-$C$9))),"PERT",_xlfn.BETA.INV(B577,1+$B$6*($C$9-$B$9)/($D$9-$B$9),1+$B$6*($D$9-$C$9)/($D$9-$B$9),$B$9,$D$9))</f>
        <v>1.8189774663897131</v>
      </c>
      <c r="E577" s="94" cm="1">
        <f t="array" aca="1" ref="E577" ca="1">_xlfn.SWITCH($B$4,"Normal MLE",EXP(_xlfn.NORM.INV(C577,LN($C$10),$E$10/$C$10)),"Uniforme",$B$10+($D$10-$B$10)*C577,"Triangular",IF(C577&lt;=($C$10-$B$10)/($D$10-$B$10),$B$10+SQRT(C577*($D$10-$B$10)*($C$10-$B$10)),$D$10-SQRT((1-C577)*($D$10-$B$10)*($D$10-$C$10))),"PERT",_xlfn.BETA.INV(C577,1+$B$6*($C$10-$B$10)/($D$10-$B$10),1+$B$6*($D$10-$C$10)/($D$10-$B$10),$B$10,$D$10))</f>
        <v>5214.8204676762316</v>
      </c>
      <c r="F577" s="88">
        <f t="shared" ca="1" si="25"/>
        <v>0.53940264969322227</v>
      </c>
      <c r="G577" s="89">
        <f t="shared" ca="1" si="26"/>
        <v>1.5141598440984602E-4</v>
      </c>
    </row>
    <row r="578" spans="1:7" x14ac:dyDescent="0.35">
      <c r="A578" s="84">
        <v>563</v>
      </c>
      <c r="B578" s="84">
        <f t="shared" ca="1" si="24"/>
        <v>0.17482415707884713</v>
      </c>
      <c r="C578" s="84">
        <f t="shared" ca="1" si="24"/>
        <v>0.79892399881956311</v>
      </c>
      <c r="D578" s="93" cm="1">
        <f t="array" aca="1" ref="D578" ca="1">_xlfn.SWITCH($B$4,"Normal MLE",EXP(_xlfn.NORM.INV(B578,LN($C$9),$E$9/$C$9)),"Uniforme",$B$9+($D$9-$B$9)*B578,"Triangular",IF(B578&lt;=($C$9-$B$9)/($D$9-$B$9),$B$9+SQRT(B578*($D$9-$B$9)*($C$9-$B$9)),$D$9-SQRT((1-B578)*($D$9-$B$9)*($D$9-$C$9))),"PERT",_xlfn.BETA.INV(B578,1+$B$6*($C$9-$B$9)/($D$9-$B$9),1+$B$6*($D$9-$C$9)/($D$9-$B$9),$B$9,$D$9))</f>
        <v>1.823532272528003</v>
      </c>
      <c r="E578" s="94" cm="1">
        <f t="array" aca="1" ref="E578" ca="1">_xlfn.SWITCH($B$4,"Normal MLE",EXP(_xlfn.NORM.INV(C578,LN($C$10),$E$10/$C$10)),"Uniforme",$B$10+($D$10-$B$10)*C578,"Triangular",IF(C578&lt;=($C$10-$B$10)/($D$10-$B$10),$B$10+SQRT(C578*($D$10-$B$10)*($C$10-$B$10)),$D$10-SQRT((1-C578)*($D$10-$B$10)*($D$10-$C$10))),"PERT",_xlfn.BETA.INV(C578,1+$B$6*($C$10-$B$10)/($D$10-$B$10),1+$B$6*($D$10-$C$10)/($D$10-$B$10),$B$10,$D$10))</f>
        <v>5302.5206734564017</v>
      </c>
      <c r="F578" s="88">
        <f t="shared" ca="1" si="25"/>
        <v>0.5498666989659976</v>
      </c>
      <c r="G578" s="89">
        <f t="shared" ca="1" si="26"/>
        <v>1.4992350333471291E-4</v>
      </c>
    </row>
    <row r="579" spans="1:7" x14ac:dyDescent="0.35">
      <c r="A579" s="84">
        <v>564</v>
      </c>
      <c r="B579" s="84">
        <f t="shared" ca="1" si="24"/>
        <v>0.9335639805938597</v>
      </c>
      <c r="C579" s="84">
        <f t="shared" ca="1" si="24"/>
        <v>0.47254637786636866</v>
      </c>
      <c r="D579" s="93" cm="1">
        <f t="array" aca="1" ref="D579" ca="1">_xlfn.SWITCH($B$4,"Normal MLE",EXP(_xlfn.NORM.INV(B579,LN($C$9),$E$9/$C$9)),"Uniforme",$B$9+($D$9-$B$9)*B579,"Triangular",IF(B579&lt;=($C$9-$B$9)/($D$9-$B$9),$B$9+SQRT(B579*($D$9-$B$9)*($C$9-$B$9)),$D$9-SQRT((1-B579)*($D$9-$B$9)*($D$9-$C$9))),"PERT",_xlfn.BETA.INV(B579,1+$B$6*($C$9-$B$9)/($D$9-$B$9),1+$B$6*($D$9-$C$9)/($D$9-$B$9),$B$9,$D$9))</f>
        <v>2.1651036399110315</v>
      </c>
      <c r="E579" s="94" cm="1">
        <f t="array" aca="1" ref="E579" ca="1">_xlfn.SWITCH($B$4,"Normal MLE",EXP(_xlfn.NORM.INV(C579,LN($C$10),$E$10/$C$10)),"Uniforme",$B$10+($D$10-$B$10)*C579,"Triangular",IF(C579&lt;=($C$10-$B$10)/($D$10-$B$10),$B$10+SQRT(C579*($D$10-$B$10)*($C$10-$B$10)),$D$10-SQRT((1-C579)*($D$10-$B$10)*($D$10-$C$10))),"PERT",_xlfn.BETA.INV(C579,1+$B$6*($C$10-$B$10)/($D$10-$B$10),1+$B$6*($D$10-$C$10)/($D$10-$B$10),$B$10,$D$10))</f>
        <v>5083.4581926447563</v>
      </c>
      <c r="F579" s="88">
        <f t="shared" ca="1" si="25"/>
        <v>0.55148900866908679</v>
      </c>
      <c r="G579" s="89">
        <f t="shared" ca="1" si="26"/>
        <v>1.7765190251569518E-4</v>
      </c>
    </row>
    <row r="580" spans="1:7" x14ac:dyDescent="0.35">
      <c r="A580" s="84">
        <v>565</v>
      </c>
      <c r="B580" s="84">
        <f t="shared" ca="1" si="24"/>
        <v>0.24796846876967105</v>
      </c>
      <c r="C580" s="84">
        <f t="shared" ca="1" si="24"/>
        <v>0.46192390566965191</v>
      </c>
      <c r="D580" s="93" cm="1">
        <f t="array" aca="1" ref="D580" ca="1">_xlfn.SWITCH($B$4,"Normal MLE",EXP(_xlfn.NORM.INV(B580,LN($C$9),$E$9/$C$9)),"Uniforme",$B$9+($D$9-$B$9)*B580,"Triangular",IF(B580&lt;=($C$9-$B$9)/($D$9-$B$9),$B$9+SQRT(B580*($D$9-$B$9)*($C$9-$B$9)),$D$9-SQRT((1-B580)*($D$9-$B$9)*($D$9-$C$9))),"PERT",_xlfn.BETA.INV(B580,1+$B$6*($C$9-$B$9)/($D$9-$B$9),1+$B$6*($D$9-$C$9)/($D$9-$B$9),$B$9,$D$9))</f>
        <v>1.8564914511151251</v>
      </c>
      <c r="E580" s="94" cm="1">
        <f t="array" aca="1" ref="E580" ca="1">_xlfn.SWITCH($B$4,"Normal MLE",EXP(_xlfn.NORM.INV(C580,LN($C$10),$E$10/$C$10)),"Uniforme",$B$10+($D$10-$B$10)*C580,"Triangular",IF(C580&lt;=($C$10-$B$10)/($D$10-$B$10),$B$10+SQRT(C580*($D$10-$B$10)*($C$10-$B$10)),$D$10-SQRT((1-C580)*($D$10-$B$10)*($D$10-$C$10))),"PERT",_xlfn.BETA.INV(C580,1+$B$6*($C$10-$B$10)/($D$10-$B$10),1+$B$6*($D$10-$C$10)/($D$10-$B$10),$B$10,$D$10))</f>
        <v>5077.1419454711149</v>
      </c>
      <c r="F580" s="88">
        <f t="shared" ca="1" si="25"/>
        <v>0.5260770796846298</v>
      </c>
      <c r="G580" s="89">
        <f t="shared" ca="1" si="26"/>
        <v>1.5682863471777671E-4</v>
      </c>
    </row>
    <row r="581" spans="1:7" x14ac:dyDescent="0.35">
      <c r="A581" s="84">
        <v>566</v>
      </c>
      <c r="B581" s="84">
        <f t="shared" ca="1" si="24"/>
        <v>0.12566708354691281</v>
      </c>
      <c r="C581" s="84">
        <f t="shared" ca="1" si="24"/>
        <v>0.40005352189593724</v>
      </c>
      <c r="D581" s="93" cm="1">
        <f t="array" aca="1" ref="D581" ca="1">_xlfn.SWITCH($B$4,"Normal MLE",EXP(_xlfn.NORM.INV(B581,LN($C$9),$E$9/$C$9)),"Uniforme",$B$9+($D$9-$B$9)*B581,"Triangular",IF(B581&lt;=($C$9-$B$9)/($D$9-$B$9),$B$9+SQRT(B581*($D$9-$B$9)*($C$9-$B$9)),$D$9-SQRT((1-B581)*($D$9-$B$9)*($D$9-$C$9))),"PERT",_xlfn.BETA.INV(B581,1+$B$6*($C$9-$B$9)/($D$9-$B$9),1+$B$6*($D$9-$C$9)/($D$9-$B$9),$B$9,$D$9))</f>
        <v>1.7965309313173767</v>
      </c>
      <c r="E581" s="94" cm="1">
        <f t="array" aca="1" ref="E581" ca="1">_xlfn.SWITCH($B$4,"Normal MLE",EXP(_xlfn.NORM.INV(C581,LN($C$10),$E$10/$C$10)),"Uniforme",$B$10+($D$10-$B$10)*C581,"Triangular",IF(C581&lt;=($C$10-$B$10)/($D$10-$B$10),$B$10+SQRT(C581*($D$10-$B$10)*($C$10-$B$10)),$D$10-SQRT((1-C581)*($D$10-$B$10)*($D$10-$C$10))),"PERT",_xlfn.BETA.INV(C581,1+$B$6*($C$10-$B$10)/($D$10-$B$10),1+$B$6*($D$10-$C$10)/($D$10-$B$10),$B$10,$D$10))</f>
        <v>5040.038548494188</v>
      </c>
      <c r="F581" s="88">
        <f t="shared" ca="1" si="25"/>
        <v>0.51674819169775077</v>
      </c>
      <c r="G581" s="89">
        <f t="shared" ca="1" si="26"/>
        <v>1.5322474834673333E-4</v>
      </c>
    </row>
    <row r="582" spans="1:7" x14ac:dyDescent="0.35">
      <c r="A582" s="84">
        <v>567</v>
      </c>
      <c r="B582" s="84">
        <f t="shared" ca="1" si="24"/>
        <v>0.36199634829279714</v>
      </c>
      <c r="C582" s="84">
        <f t="shared" ca="1" si="24"/>
        <v>0.98970979959273342</v>
      </c>
      <c r="D582" s="93" cm="1">
        <f t="array" aca="1" ref="D582" ca="1">_xlfn.SWITCH($B$4,"Normal MLE",EXP(_xlfn.NORM.INV(B582,LN($C$9),$E$9/$C$9)),"Uniforme",$B$9+($D$9-$B$9)*B582,"Triangular",IF(B582&lt;=($C$9-$B$9)/($D$9-$B$9),$B$9+SQRT(B582*($D$9-$B$9)*($C$9-$B$9)),$D$9-SQRT((1-B582)*($D$9-$B$9)*($D$9-$C$9))),"PERT",_xlfn.BETA.INV(B582,1+$B$6*($C$9-$B$9)/($D$9-$B$9),1+$B$6*($D$9-$C$9)/($D$9-$B$9),$B$9,$D$9))</f>
        <v>1.8998400543623404</v>
      </c>
      <c r="E582" s="94" cm="1">
        <f t="array" aca="1" ref="E582" ca="1">_xlfn.SWITCH($B$4,"Normal MLE",EXP(_xlfn.NORM.INV(C582,LN($C$10),$E$10/$C$10)),"Uniforme",$B$10+($D$10-$B$10)*C582,"Triangular",IF(C582&lt;=($C$10-$B$10)/($D$10-$B$10),$B$10+SQRT(C582*($D$10-$B$10)*($C$10-$B$10)),$D$10-SQRT((1-C582)*($D$10-$B$10)*($D$10-$C$10))),"PERT",_xlfn.BETA.INV(C582,1+$B$6*($C$10-$B$10)/($D$10-$B$10),1+$B$6*($D$10-$C$10)/($D$10-$B$10),$B$10,$D$10))</f>
        <v>5679.9997841576278</v>
      </c>
      <c r="F582" s="88">
        <f t="shared" ca="1" si="25"/>
        <v>0.59830122486153448</v>
      </c>
      <c r="G582" s="89">
        <f t="shared" ca="1" si="26"/>
        <v>1.4596659430401857E-4</v>
      </c>
    </row>
    <row r="583" spans="1:7" x14ac:dyDescent="0.35">
      <c r="A583" s="84">
        <v>568</v>
      </c>
      <c r="B583" s="84">
        <f t="shared" ca="1" si="24"/>
        <v>0.73357060862366907</v>
      </c>
      <c r="C583" s="84">
        <f t="shared" ca="1" si="24"/>
        <v>0.6144617585378509</v>
      </c>
      <c r="D583" s="93" cm="1">
        <f t="array" aca="1" ref="D583" ca="1">_xlfn.SWITCH($B$4,"Normal MLE",EXP(_xlfn.NORM.INV(B583,LN($C$9),$E$9/$C$9)),"Uniforme",$B$9+($D$9-$B$9)*B583,"Triangular",IF(B583&lt;=($C$9-$B$9)/($D$9-$B$9),$B$9+SQRT(B583*($D$9-$B$9)*($C$9-$B$9)),$D$9-SQRT((1-B583)*($D$9-$B$9)*($D$9-$C$9))),"PERT",_xlfn.BETA.INV(B583,1+$B$6*($C$9-$B$9)/($D$9-$B$9),1+$B$6*($D$9-$C$9)/($D$9-$B$9),$B$9,$D$9))</f>
        <v>2.0351178599254403</v>
      </c>
      <c r="E583" s="94" cm="1">
        <f t="array" aca="1" ref="E583" ca="1">_xlfn.SWITCH($B$4,"Normal MLE",EXP(_xlfn.NORM.INV(C583,LN($C$10),$E$10/$C$10)),"Uniforme",$B$10+($D$10-$B$10)*C583,"Triangular",IF(C583&lt;=($C$10-$B$10)/($D$10-$B$10),$B$10+SQRT(C583*($D$10-$B$10)*($C$10-$B$10)),$D$10-SQRT((1-C583)*($D$10-$B$10)*($D$10-$C$10))),"PERT",_xlfn.BETA.INV(C583,1+$B$6*($C$10-$B$10)/($D$10-$B$10),1+$B$6*($D$10-$C$10)/($D$10-$B$10),$B$10,$D$10))</f>
        <v>5169.2962814031353</v>
      </c>
      <c r="F583" s="88">
        <f t="shared" ca="1" si="25"/>
        <v>0.5524469311719481</v>
      </c>
      <c r="G583" s="89">
        <f t="shared" ca="1" si="26"/>
        <v>1.6678851674104198E-4</v>
      </c>
    </row>
    <row r="584" spans="1:7" x14ac:dyDescent="0.35">
      <c r="A584" s="84">
        <v>569</v>
      </c>
      <c r="B584" s="84">
        <f t="shared" ca="1" si="24"/>
        <v>3.7976912477586389E-3</v>
      </c>
      <c r="C584" s="84">
        <f t="shared" ca="1" si="24"/>
        <v>0.27267900450545268</v>
      </c>
      <c r="D584" s="93" cm="1">
        <f t="array" aca="1" ref="D584" ca="1">_xlfn.SWITCH($B$4,"Normal MLE",EXP(_xlfn.NORM.INV(B584,LN($C$9),$E$9/$C$9)),"Uniforme",$B$9+($D$9-$B$9)*B584,"Triangular",IF(B584&lt;=($C$9-$B$9)/($D$9-$B$9),$B$9+SQRT(B584*($D$9-$B$9)*($C$9-$B$9)),$D$9-SQRT((1-B584)*($D$9-$B$9)*($D$9-$C$9))),"PERT",_xlfn.BETA.INV(B584,1+$B$6*($C$9-$B$9)/($D$9-$B$9),1+$B$6*($D$9-$C$9)/($D$9-$B$9),$B$9,$D$9))</f>
        <v>1.613892119422202</v>
      </c>
      <c r="E584" s="94" cm="1">
        <f t="array" aca="1" ref="E584" ca="1">_xlfn.SWITCH($B$4,"Normal MLE",EXP(_xlfn.NORM.INV(C584,LN($C$10),$E$10/$C$10)),"Uniforme",$B$10+($D$10-$B$10)*C584,"Triangular",IF(C584&lt;=($C$10-$B$10)/($D$10-$B$10),$B$10+SQRT(C584*($D$10-$B$10)*($C$10-$B$10)),$D$10-SQRT((1-C584)*($D$10-$B$10)*($D$10-$C$10))),"PERT",_xlfn.BETA.INV(C584,1+$B$6*($C$10-$B$10)/($D$10-$B$10),1+$B$6*($D$10-$C$10)/($D$10-$B$10),$B$10,$D$10))</f>
        <v>4958.2650902064233</v>
      </c>
      <c r="F584" s="88">
        <f t="shared" ca="1" si="25"/>
        <v>0.49307858046396386</v>
      </c>
      <c r="G584" s="89">
        <f t="shared" ca="1" si="26"/>
        <v>1.4067059698749299E-4</v>
      </c>
    </row>
    <row r="585" spans="1:7" x14ac:dyDescent="0.35">
      <c r="A585" s="84">
        <v>570</v>
      </c>
      <c r="B585" s="84">
        <f t="shared" ca="1" si="24"/>
        <v>0.36322340923815544</v>
      </c>
      <c r="C585" s="84">
        <f t="shared" ca="1" si="24"/>
        <v>0.63406663065780178</v>
      </c>
      <c r="D585" s="93" cm="1">
        <f t="array" aca="1" ref="D585" ca="1">_xlfn.SWITCH($B$4,"Normal MLE",EXP(_xlfn.NORM.INV(B585,LN($C$9),$E$9/$C$9)),"Uniforme",$B$9+($D$9-$B$9)*B585,"Triangular",IF(B585&lt;=($C$9-$B$9)/($D$9-$B$9),$B$9+SQRT(B585*($D$9-$B$9)*($C$9-$B$9)),$D$9-SQRT((1-B585)*($D$9-$B$9)*($D$9-$C$9))),"PERT",_xlfn.BETA.INV(B585,1+$B$6*($C$9-$B$9)/($D$9-$B$9),1+$B$6*($D$9-$C$9)/($D$9-$B$9),$B$9,$D$9))</f>
        <v>1.9002778222238141</v>
      </c>
      <c r="E585" s="94" cm="1">
        <f t="array" aca="1" ref="E585" ca="1">_xlfn.SWITCH($B$4,"Normal MLE",EXP(_xlfn.NORM.INV(C585,LN($C$10),$E$10/$C$10)),"Uniforme",$B$10+($D$10-$B$10)*C585,"Triangular",IF(C585&lt;=($C$10-$B$10)/($D$10-$B$10),$B$10+SQRT(C585*($D$10-$B$10)*($C$10-$B$10)),$D$10-SQRT((1-C585)*($D$10-$B$10)*($D$10-$C$10))),"PERT",_xlfn.BETA.INV(C585,1+$B$6*($C$10-$B$10)/($D$10-$B$10),1+$B$6*($D$10-$C$10)/($D$10-$B$10),$B$10,$D$10))</f>
        <v>5181.7419548969265</v>
      </c>
      <c r="F585" s="88">
        <f t="shared" ca="1" si="25"/>
        <v>0.54254997087915147</v>
      </c>
      <c r="G585" s="89">
        <f t="shared" ca="1" si="26"/>
        <v>1.5760704247590226E-4</v>
      </c>
    </row>
    <row r="586" spans="1:7" x14ac:dyDescent="0.35">
      <c r="A586" s="84">
        <v>571</v>
      </c>
      <c r="B586" s="84">
        <f t="shared" ca="1" si="24"/>
        <v>0.16515773176080895</v>
      </c>
      <c r="C586" s="84">
        <f t="shared" ca="1" si="24"/>
        <v>0.510637463063213</v>
      </c>
      <c r="D586" s="93" cm="1">
        <f t="array" aca="1" ref="D586" ca="1">_xlfn.SWITCH($B$4,"Normal MLE",EXP(_xlfn.NORM.INV(B586,LN($C$9),$E$9/$C$9)),"Uniforme",$B$9+($D$9-$B$9)*B586,"Triangular",IF(B586&lt;=($C$9-$B$9)/($D$9-$B$9),$B$9+SQRT(B586*($D$9-$B$9)*($C$9-$B$9)),$D$9-SQRT((1-B586)*($D$9-$B$9)*($D$9-$C$9))),"PERT",_xlfn.BETA.INV(B586,1+$B$6*($C$9-$B$9)/($D$9-$B$9),1+$B$6*($D$9-$C$9)/($D$9-$B$9),$B$9,$D$9))</f>
        <v>1.8186326235723513</v>
      </c>
      <c r="E586" s="94" cm="1">
        <f t="array" aca="1" ref="E586" ca="1">_xlfn.SWITCH($B$4,"Normal MLE",EXP(_xlfn.NORM.INV(C586,LN($C$10),$E$10/$C$10)),"Uniforme",$B$10+($D$10-$B$10)*C586,"Triangular",IF(C586&lt;=($C$10-$B$10)/($D$10-$B$10),$B$10+SQRT(C586*($D$10-$B$10)*($C$10-$B$10)),$D$10-SQRT((1-C586)*($D$10-$B$10)*($D$10-$C$10))),"PERT",_xlfn.BETA.INV(C586,1+$B$6*($C$10-$B$10)/($D$10-$B$10),1+$B$6*($D$10-$C$10)/($D$10-$B$10),$B$10,$D$10))</f>
        <v>5106.1084536582248</v>
      </c>
      <c r="F586" s="88">
        <f t="shared" ca="1" si="25"/>
        <v>0.5265225760739386</v>
      </c>
      <c r="G586" s="89">
        <f t="shared" ca="1" si="26"/>
        <v>1.5355794344354781E-4</v>
      </c>
    </row>
    <row r="587" spans="1:7" x14ac:dyDescent="0.35">
      <c r="A587" s="84">
        <v>572</v>
      </c>
      <c r="B587" s="84">
        <f t="shared" ca="1" si="24"/>
        <v>0.25898830975070619</v>
      </c>
      <c r="C587" s="84">
        <f t="shared" ca="1" si="24"/>
        <v>0.18642976293074009</v>
      </c>
      <c r="D587" s="93" cm="1">
        <f t="array" aca="1" ref="D587" ca="1">_xlfn.SWITCH($B$4,"Normal MLE",EXP(_xlfn.NORM.INV(B587,LN($C$9),$E$9/$C$9)),"Uniforme",$B$9+($D$9-$B$9)*B587,"Triangular",IF(B587&lt;=($C$9-$B$9)/($D$9-$B$9),$B$9+SQRT(B587*($D$9-$B$9)*($C$9-$B$9)),$D$9-SQRT((1-B587)*($D$9-$B$9)*($D$9-$C$9))),"PERT",_xlfn.BETA.INV(B587,1+$B$6*($C$9-$B$9)/($D$9-$B$9),1+$B$6*($D$9-$C$9)/($D$9-$B$9),$B$9,$D$9))</f>
        <v>1.8609979291665699</v>
      </c>
      <c r="E587" s="94" cm="1">
        <f t="array" aca="1" ref="E587" ca="1">_xlfn.SWITCH($B$4,"Normal MLE",EXP(_xlfn.NORM.INV(C587,LN($C$10),$E$10/$C$10)),"Uniforme",$B$10+($D$10-$B$10)*C587,"Triangular",IF(C587&lt;=($C$10-$B$10)/($D$10-$B$10),$B$10+SQRT(C587*($D$10-$B$10)*($C$10-$B$10)),$D$10-SQRT((1-C587)*($D$10-$B$10)*($D$10-$C$10))),"PERT",_xlfn.BETA.INV(C587,1+$B$6*($C$10-$B$10)/($D$10-$B$10),1+$B$6*($D$10-$C$10)/($D$10-$B$10),$B$10,$D$10))</f>
        <v>4892.6227657516847</v>
      </c>
      <c r="F587" s="88">
        <f t="shared" ca="1" si="25"/>
        <v>0.50289210412887886</v>
      </c>
      <c r="G587" s="89">
        <f t="shared" ca="1" si="26"/>
        <v>1.6082641366909741E-4</v>
      </c>
    </row>
    <row r="588" spans="1:7" x14ac:dyDescent="0.35">
      <c r="A588" s="84">
        <v>573</v>
      </c>
      <c r="B588" s="84">
        <f t="shared" ca="1" si="24"/>
        <v>0.23536485295329423</v>
      </c>
      <c r="C588" s="84">
        <f t="shared" ca="1" si="24"/>
        <v>0.96819564477413345</v>
      </c>
      <c r="D588" s="93" cm="1">
        <f t="array" aca="1" ref="D588" ca="1">_xlfn.SWITCH($B$4,"Normal MLE",EXP(_xlfn.NORM.INV(B588,LN($C$9),$E$9/$C$9)),"Uniforme",$B$9+($D$9-$B$9)*B588,"Triangular",IF(B588&lt;=($C$9-$B$9)/($D$9-$B$9),$B$9+SQRT(B588*($D$9-$B$9)*($C$9-$B$9)),$D$9-SQRT((1-B588)*($D$9-$B$9)*($D$9-$C$9))),"PERT",_xlfn.BETA.INV(B588,1+$B$6*($C$9-$B$9)/($D$9-$B$9),1+$B$6*($D$9-$C$9)/($D$9-$B$9),$B$9,$D$9))</f>
        <v>1.851217897045853</v>
      </c>
      <c r="E588" s="94" cm="1">
        <f t="array" aca="1" ref="E588" ca="1">_xlfn.SWITCH($B$4,"Normal MLE",EXP(_xlfn.NORM.INV(C588,LN($C$10),$E$10/$C$10)),"Uniforme",$B$10+($D$10-$B$10)*C588,"Triangular",IF(C588&lt;=($C$10-$B$10)/($D$10-$B$10),$B$10+SQRT(C588*($D$10-$B$10)*($C$10-$B$10)),$D$10-SQRT((1-C588)*($D$10-$B$10)*($D$10-$C$10))),"PERT",_xlfn.BETA.INV(C588,1+$B$6*($C$10-$B$10)/($D$10-$B$10),1+$B$6*($D$10-$C$10)/($D$10-$B$10),$B$10,$D$10))</f>
        <v>5559.5305389612977</v>
      </c>
      <c r="F588" s="88">
        <f t="shared" ca="1" si="25"/>
        <v>0.58062732492425784</v>
      </c>
      <c r="G588" s="89">
        <f t="shared" ca="1" si="26"/>
        <v>1.4608692518982191E-4</v>
      </c>
    </row>
    <row r="589" spans="1:7" x14ac:dyDescent="0.35">
      <c r="A589" s="84">
        <v>574</v>
      </c>
      <c r="B589" s="84">
        <f t="shared" ca="1" si="24"/>
        <v>0.48329643389274524</v>
      </c>
      <c r="C589" s="84">
        <f t="shared" ca="1" si="24"/>
        <v>7.7471298559136259E-2</v>
      </c>
      <c r="D589" s="93" cm="1">
        <f t="array" aca="1" ref="D589" ca="1">_xlfn.SWITCH($B$4,"Normal MLE",EXP(_xlfn.NORM.INV(B589,LN($C$9),$E$9/$C$9)),"Uniforme",$B$9+($D$9-$B$9)*B589,"Triangular",IF(B589&lt;=($C$9-$B$9)/($D$9-$B$9),$B$9+SQRT(B589*($D$9-$B$9)*($C$9-$B$9)),$D$9-SQRT((1-B589)*($D$9-$B$9)*($D$9-$C$9))),"PERT",_xlfn.BETA.INV(B589,1+$B$6*($C$9-$B$9)/($D$9-$B$9),1+$B$6*($D$9-$C$9)/($D$9-$B$9),$B$9,$D$9))</f>
        <v>1.9419399925993417</v>
      </c>
      <c r="E589" s="94" cm="1">
        <f t="array" aca="1" ref="E589" ca="1">_xlfn.SWITCH($B$4,"Normal MLE",EXP(_xlfn.NORM.INV(C589,LN($C$10),$E$10/$C$10)),"Uniforme",$B$10+($D$10-$B$10)*C589,"Triangular",IF(C589&lt;=($C$10-$B$10)/($D$10-$B$10),$B$10+SQRT(C589*($D$10-$B$10)*($C$10-$B$10)),$D$10-SQRT((1-C589)*($D$10-$B$10)*($D$10-$C$10))),"PERT",_xlfn.BETA.INV(C589,1+$B$6*($C$10-$B$10)/($D$10-$B$10),1+$B$6*($D$10-$C$10)/($D$10-$B$10),$B$10,$D$10))</f>
        <v>4773.1736993744125</v>
      </c>
      <c r="F589" s="88">
        <f t="shared" ca="1" si="25"/>
        <v>0.4918828079116237</v>
      </c>
      <c r="G589" s="89">
        <f t="shared" ca="1" si="26"/>
        <v>1.6943335420263652E-4</v>
      </c>
    </row>
    <row r="590" spans="1:7" x14ac:dyDescent="0.35">
      <c r="A590" s="84">
        <v>575</v>
      </c>
      <c r="B590" s="84">
        <f t="shared" ca="1" si="24"/>
        <v>0.55403941956039404</v>
      </c>
      <c r="C590" s="84">
        <f t="shared" ca="1" si="24"/>
        <v>0.6942780075476348</v>
      </c>
      <c r="D590" s="93" cm="1">
        <f t="array" aca="1" ref="D590" ca="1">_xlfn.SWITCH($B$4,"Normal MLE",EXP(_xlfn.NORM.INV(B590,LN($C$9),$E$9/$C$9)),"Uniforme",$B$9+($D$9-$B$9)*B590,"Triangular",IF(B590&lt;=($C$9-$B$9)/($D$9-$B$9),$B$9+SQRT(B590*($D$9-$B$9)*($C$9-$B$9)),$D$9-SQRT((1-B590)*($D$9-$B$9)*($D$9-$C$9))),"PERT",_xlfn.BETA.INV(B590,1+$B$6*($C$9-$B$9)/($D$9-$B$9),1+$B$6*($D$9-$C$9)/($D$9-$B$9),$B$9,$D$9))</f>
        <v>1.9664009062070922</v>
      </c>
      <c r="E590" s="94" cm="1">
        <f t="array" aca="1" ref="E590" ca="1">_xlfn.SWITCH($B$4,"Normal MLE",EXP(_xlfn.NORM.INV(C590,LN($C$10),$E$10/$C$10)),"Uniforme",$B$10+($D$10-$B$10)*C590,"Triangular",IF(C590&lt;=($C$10-$B$10)/($D$10-$B$10),$B$10+SQRT(C590*($D$10-$B$10)*($C$10-$B$10)),$D$10-SQRT((1-C590)*($D$10-$B$10)*($D$10-$C$10))),"PERT",_xlfn.BETA.INV(C590,1+$B$6*($C$10-$B$10)/($D$10-$B$10),1+$B$6*($D$10-$C$10)/($D$10-$B$10),$B$10,$D$10))</f>
        <v>5221.7712184325683</v>
      </c>
      <c r="F590" s="88">
        <f t="shared" ca="1" si="25"/>
        <v>0.55318055772094299</v>
      </c>
      <c r="G590" s="89">
        <f t="shared" ca="1" si="26"/>
        <v>1.6100992339153816E-4</v>
      </c>
    </row>
    <row r="591" spans="1:7" x14ac:dyDescent="0.35">
      <c r="A591" s="84">
        <v>576</v>
      </c>
      <c r="B591" s="84">
        <f t="shared" ca="1" si="24"/>
        <v>0.32418618321595205</v>
      </c>
      <c r="C591" s="84">
        <f t="shared" ca="1" si="24"/>
        <v>0.4235145996031271</v>
      </c>
      <c r="D591" s="93" cm="1">
        <f t="array" aca="1" ref="D591" ca="1">_xlfn.SWITCH($B$4,"Normal MLE",EXP(_xlfn.NORM.INV(B591,LN($C$9),$E$9/$C$9)),"Uniforme",$B$9+($D$9-$B$9)*B591,"Triangular",IF(B591&lt;=($C$9-$B$9)/($D$9-$B$9),$B$9+SQRT(B591*($D$9-$B$9)*($C$9-$B$9)),$D$9-SQRT((1-B591)*($D$9-$B$9)*($D$9-$C$9))),"PERT",_xlfn.BETA.INV(B591,1+$B$6*($C$9-$B$9)/($D$9-$B$9),1+$B$6*($D$9-$C$9)/($D$9-$B$9),$B$9,$D$9))</f>
        <v>1.8861236868779312</v>
      </c>
      <c r="E591" s="94" cm="1">
        <f t="array" aca="1" ref="E591" ca="1">_xlfn.SWITCH($B$4,"Normal MLE",EXP(_xlfn.NORM.INV(C591,LN($C$10),$E$10/$C$10)),"Uniforme",$B$10+($D$10-$B$10)*C591,"Triangular",IF(C591&lt;=($C$10-$B$10)/($D$10-$B$10),$B$10+SQRT(C591*($D$10-$B$10)*($C$10-$B$10)),$D$10-SQRT((1-C591)*($D$10-$B$10)*($D$10-$C$10))),"PERT",_xlfn.BETA.INV(C591,1+$B$6*($C$10-$B$10)/($D$10-$B$10),1+$B$6*($D$10-$C$10)/($D$10-$B$10),$B$10,$D$10))</f>
        <v>5054.2004364134909</v>
      </c>
      <c r="F591" s="88">
        <f t="shared" ca="1" si="25"/>
        <v>0.52557820332169802</v>
      </c>
      <c r="G591" s="89">
        <f t="shared" ca="1" si="26"/>
        <v>1.5941587252586242E-4</v>
      </c>
    </row>
    <row r="592" spans="1:7" x14ac:dyDescent="0.35">
      <c r="A592" s="84">
        <v>577</v>
      </c>
      <c r="B592" s="84">
        <f t="shared" ca="1" si="24"/>
        <v>0.61576207595052646</v>
      </c>
      <c r="C592" s="84">
        <f t="shared" ca="1" si="24"/>
        <v>0.28848270427979095</v>
      </c>
      <c r="D592" s="93" cm="1">
        <f t="array" aca="1" ref="D592" ca="1">_xlfn.SWITCH($B$4,"Normal MLE",EXP(_xlfn.NORM.INV(B592,LN($C$9),$E$9/$C$9)),"Uniforme",$B$9+($D$9-$B$9)*B592,"Triangular",IF(B592&lt;=($C$9-$B$9)/($D$9-$B$9),$B$9+SQRT(B592*($D$9-$B$9)*($C$9-$B$9)),$D$9-SQRT((1-B592)*($D$9-$B$9)*($D$9-$C$9))),"PERT",_xlfn.BETA.INV(B592,1+$B$6*($C$9-$B$9)/($D$9-$B$9),1+$B$6*($D$9-$C$9)/($D$9-$B$9),$B$9,$D$9))</f>
        <v>1.9884711739130236</v>
      </c>
      <c r="E592" s="94" cm="1">
        <f t="array" aca="1" ref="E592" ca="1">_xlfn.SWITCH($B$4,"Normal MLE",EXP(_xlfn.NORM.INV(C592,LN($C$10),$E$10/$C$10)),"Uniforme",$B$10+($D$10-$B$10)*C592,"Triangular",IF(C592&lt;=($C$10-$B$10)/($D$10-$B$10),$B$10+SQRT(C592*($D$10-$B$10)*($C$10-$B$10)),$D$10-SQRT((1-C592)*($D$10-$B$10)*($D$10-$C$10))),"PERT",_xlfn.BETA.INV(C592,1+$B$6*($C$10-$B$10)/($D$10-$B$10),1+$B$6*($D$10-$C$10)/($D$10-$B$10),$B$10,$D$10))</f>
        <v>4969.0999259538912</v>
      </c>
      <c r="F592" s="88">
        <f t="shared" ca="1" si="25"/>
        <v>0.52225094517746873</v>
      </c>
      <c r="G592" s="89">
        <f t="shared" ca="1" si="26"/>
        <v>1.6865114147067713E-4</v>
      </c>
    </row>
    <row r="593" spans="1:7" x14ac:dyDescent="0.35">
      <c r="A593" s="84">
        <v>578</v>
      </c>
      <c r="B593" s="84">
        <f t="shared" ref="B593:C656" ca="1" si="27">RAND()</f>
        <v>0.79021413520443828</v>
      </c>
      <c r="C593" s="84">
        <f t="shared" ca="1" si="27"/>
        <v>0.81725746166358115</v>
      </c>
      <c r="D593" s="93" cm="1">
        <f t="array" aca="1" ref="D593" ca="1">_xlfn.SWITCH($B$4,"Normal MLE",EXP(_xlfn.NORM.INV(B593,LN($C$9),$E$9/$C$9)),"Uniforme",$B$9+($D$9-$B$9)*B593,"Triangular",IF(B593&lt;=($C$9-$B$9)/($D$9-$B$9),$B$9+SQRT(B593*($D$9-$B$9)*($C$9-$B$9)),$D$9-SQRT((1-B593)*($D$9-$B$9)*($D$9-$C$9))),"PERT",_xlfn.BETA.INV(B593,1+$B$6*($C$9-$B$9)/($D$9-$B$9),1+$B$6*($D$9-$C$9)/($D$9-$B$9),$B$9,$D$9))</f>
        <v>2.0615886354023529</v>
      </c>
      <c r="E593" s="94" cm="1">
        <f t="array" aca="1" ref="E593" ca="1">_xlfn.SWITCH($B$4,"Normal MLE",EXP(_xlfn.NORM.INV(C593,LN($C$10),$E$10/$C$10)),"Uniforme",$B$10+($D$10-$B$10)*C593,"Triangular",IF(C593&lt;=($C$10-$B$10)/($D$10-$B$10),$B$10+SQRT(C593*($D$10-$B$10)*($C$10-$B$10)),$D$10-SQRT((1-C593)*($D$10-$B$10)*($D$10-$C$10))),"PERT",_xlfn.BETA.INV(C593,1+$B$6*($C$10-$B$10)/($D$10-$B$10),1+$B$6*($D$10-$C$10)/($D$10-$B$10),$B$10,$D$10))</f>
        <v>5319.1229152647747</v>
      </c>
      <c r="F593" s="88">
        <f t="shared" ref="F593:F656" ca="1" si="28">EXP(-POWER($B$12/E593,D593))</f>
        <v>0.57368810183151964</v>
      </c>
      <c r="G593" s="89">
        <f t="shared" ref="G593:G656" ca="1" si="29">(D593/E593)*POWER($B$12/E593,D593-1)*EXP(-POWER($B$12/E593,D593))</f>
        <v>1.6429878423456745E-4</v>
      </c>
    </row>
    <row r="594" spans="1:7" x14ac:dyDescent="0.35">
      <c r="A594" s="84">
        <v>579</v>
      </c>
      <c r="B594" s="84">
        <f t="shared" ca="1" si="27"/>
        <v>0.12416677415594646</v>
      </c>
      <c r="C594" s="84">
        <f t="shared" ca="1" si="27"/>
        <v>0.1536488566922285</v>
      </c>
      <c r="D594" s="93" cm="1">
        <f t="array" aca="1" ref="D594" ca="1">_xlfn.SWITCH($B$4,"Normal MLE",EXP(_xlfn.NORM.INV(B594,LN($C$9),$E$9/$C$9)),"Uniforme",$B$9+($D$9-$B$9)*B594,"Triangular",IF(B594&lt;=($C$9-$B$9)/($D$9-$B$9),$B$9+SQRT(B594*($D$9-$B$9)*($C$9-$B$9)),$D$9-SQRT((1-B594)*($D$9-$B$9)*($D$9-$C$9))),"PERT",_xlfn.BETA.INV(B594,1+$B$6*($C$9-$B$9)/($D$9-$B$9),1+$B$6*($D$9-$C$9)/($D$9-$B$9),$B$9,$D$9))</f>
        <v>1.7956086918663683</v>
      </c>
      <c r="E594" s="94" cm="1">
        <f t="array" aca="1" ref="E594" ca="1">_xlfn.SWITCH($B$4,"Normal MLE",EXP(_xlfn.NORM.INV(C594,LN($C$10),$E$10/$C$10)),"Uniforme",$B$10+($D$10-$B$10)*C594,"Triangular",IF(C594&lt;=($C$10-$B$10)/($D$10-$B$10),$B$10+SQRT(C594*($D$10-$B$10)*($C$10-$B$10)),$D$10-SQRT((1-C594)*($D$10-$B$10)*($D$10-$C$10))),"PERT",_xlfn.BETA.INV(C594,1+$B$6*($C$10-$B$10)/($D$10-$B$10),1+$B$6*($D$10-$C$10)/($D$10-$B$10),$B$10,$D$10))</f>
        <v>4863.1644400810328</v>
      </c>
      <c r="F594" s="88">
        <f t="shared" ca="1" si="28"/>
        <v>0.49455975554473197</v>
      </c>
      <c r="G594" s="89">
        <f t="shared" ca="1" si="29"/>
        <v>1.5631368028987862E-4</v>
      </c>
    </row>
    <row r="595" spans="1:7" x14ac:dyDescent="0.35">
      <c r="A595" s="84">
        <v>580</v>
      </c>
      <c r="B595" s="84">
        <f t="shared" ca="1" si="27"/>
        <v>0.36855113947554807</v>
      </c>
      <c r="C595" s="84">
        <f t="shared" ca="1" si="27"/>
        <v>0.49497194980980264</v>
      </c>
      <c r="D595" s="93" cm="1">
        <f t="array" aca="1" ref="D595" ca="1">_xlfn.SWITCH($B$4,"Normal MLE",EXP(_xlfn.NORM.INV(B595,LN($C$9),$E$9/$C$9)),"Uniforme",$B$9+($D$9-$B$9)*B595,"Triangular",IF(B595&lt;=($C$9-$B$9)/($D$9-$B$9),$B$9+SQRT(B595*($D$9-$B$9)*($C$9-$B$9)),$D$9-SQRT((1-B595)*($D$9-$B$9)*($D$9-$C$9))),"PERT",_xlfn.BETA.INV(B595,1+$B$6*($C$9-$B$9)/($D$9-$B$9),1+$B$6*($D$9-$C$9)/($D$9-$B$9),$B$9,$D$9))</f>
        <v>1.9021739841260203</v>
      </c>
      <c r="E595" s="94" cm="1">
        <f t="array" aca="1" ref="E595" ca="1">_xlfn.SWITCH($B$4,"Normal MLE",EXP(_xlfn.NORM.INV(C595,LN($C$10),$E$10/$C$10)),"Uniforme",$B$10+($D$10-$B$10)*C595,"Triangular",IF(C595&lt;=($C$10-$B$10)/($D$10-$B$10),$B$10+SQRT(C595*($D$10-$B$10)*($C$10-$B$10)),$D$10-SQRT((1-C595)*($D$10-$B$10)*($D$10-$C$10))),"PERT",_xlfn.BETA.INV(C595,1+$B$6*($C$10-$B$10)/($D$10-$B$10),1+$B$6*($D$10-$C$10)/($D$10-$B$10),$B$10,$D$10))</f>
        <v>5096.7857980081153</v>
      </c>
      <c r="F595" s="88">
        <f t="shared" ca="1" si="28"/>
        <v>0.53221970104316529</v>
      </c>
      <c r="G595" s="89">
        <f t="shared" ca="1" si="29"/>
        <v>1.5962586678275729E-4</v>
      </c>
    </row>
    <row r="596" spans="1:7" x14ac:dyDescent="0.35">
      <c r="A596" s="84">
        <v>581</v>
      </c>
      <c r="B596" s="84">
        <f t="shared" ca="1" si="27"/>
        <v>0.84577780754826304</v>
      </c>
      <c r="C596" s="84">
        <f t="shared" ca="1" si="27"/>
        <v>0.999024270530532</v>
      </c>
      <c r="D596" s="93" cm="1">
        <f t="array" aca="1" ref="D596" ca="1">_xlfn.SWITCH($B$4,"Normal MLE",EXP(_xlfn.NORM.INV(B596,LN($C$9),$E$9/$C$9)),"Uniforme",$B$9+($D$9-$B$9)*B596,"Triangular",IF(B596&lt;=($C$9-$B$9)/($D$9-$B$9),$B$9+SQRT(B596*($D$9-$B$9)*($C$9-$B$9)),$D$9-SQRT((1-B596)*($D$9-$B$9)*($D$9-$C$9))),"PERT",_xlfn.BETA.INV(B596,1+$B$6*($C$9-$B$9)/($D$9-$B$9),1+$B$6*($D$9-$C$9)/($D$9-$B$9),$B$9,$D$9))</f>
        <v>2.0924976784179554</v>
      </c>
      <c r="E596" s="94" cm="1">
        <f t="array" aca="1" ref="E596" ca="1">_xlfn.SWITCH($B$4,"Normal MLE",EXP(_xlfn.NORM.INV(C596,LN($C$10),$E$10/$C$10)),"Uniforme",$B$10+($D$10-$B$10)*C596,"Triangular",IF(C596&lt;=($C$10-$B$10)/($D$10-$B$10),$B$10+SQRT(C596*($D$10-$B$10)*($C$10-$B$10)),$D$10-SQRT((1-C596)*($D$10-$B$10)*($D$10-$C$10))),"PERT",_xlfn.BETA.INV(C596,1+$B$6*($C$10-$B$10)/($D$10-$B$10),1+$B$6*($D$10-$C$10)/($D$10-$B$10),$B$10,$D$10))</f>
        <v>5890.4808199748804</v>
      </c>
      <c r="F596" s="88">
        <f t="shared" ca="1" si="28"/>
        <v>0.64088305688295055</v>
      </c>
      <c r="G596" s="89">
        <f t="shared" ca="1" si="29"/>
        <v>1.4916065073036327E-4</v>
      </c>
    </row>
    <row r="597" spans="1:7" x14ac:dyDescent="0.35">
      <c r="A597" s="84">
        <v>582</v>
      </c>
      <c r="B597" s="84">
        <f t="shared" ca="1" si="27"/>
        <v>0.71855927923961294</v>
      </c>
      <c r="C597" s="84">
        <f t="shared" ca="1" si="27"/>
        <v>0.64967005677215417</v>
      </c>
      <c r="D597" s="93" cm="1">
        <f t="array" aca="1" ref="D597" ca="1">_xlfn.SWITCH($B$4,"Normal MLE",EXP(_xlfn.NORM.INV(B597,LN($C$9),$E$9/$C$9)),"Uniforme",$B$9+($D$9-$B$9)*B597,"Triangular",IF(B597&lt;=($C$9-$B$9)/($D$9-$B$9),$B$9+SQRT(B597*($D$9-$B$9)*($C$9-$B$9)),$D$9-SQRT((1-B597)*($D$9-$B$9)*($D$9-$C$9))),"PERT",_xlfn.BETA.INV(B597,1+$B$6*($C$9-$B$9)/($D$9-$B$9),1+$B$6*($D$9-$C$9)/($D$9-$B$9),$B$9,$D$9))</f>
        <v>2.028667445704206</v>
      </c>
      <c r="E597" s="94" cm="1">
        <f t="array" aca="1" ref="E597" ca="1">_xlfn.SWITCH($B$4,"Normal MLE",EXP(_xlfn.NORM.INV(C597,LN($C$10),$E$10/$C$10)),"Uniforme",$B$10+($D$10-$B$10)*C597,"Triangular",IF(C597&lt;=($C$10-$B$10)/($D$10-$B$10),$B$10+SQRT(C597*($D$10-$B$10)*($C$10-$B$10)),$D$10-SQRT((1-C597)*($D$10-$B$10)*($D$10-$C$10))),"PERT",_xlfn.BETA.INV(C597,1+$B$6*($C$10-$B$10)/($D$10-$B$10),1+$B$6*($D$10-$C$10)/($D$10-$B$10),$B$10,$D$10))</f>
        <v>5191.8276659555531</v>
      </c>
      <c r="F597" s="88">
        <f t="shared" ca="1" si="28"/>
        <v>0.55479363487990696</v>
      </c>
      <c r="G597" s="89">
        <f t="shared" ca="1" si="29"/>
        <v>1.6577342165775713E-4</v>
      </c>
    </row>
    <row r="598" spans="1:7" x14ac:dyDescent="0.35">
      <c r="A598" s="84">
        <v>583</v>
      </c>
      <c r="B598" s="84">
        <f t="shared" ca="1" si="27"/>
        <v>0.5883047900250552</v>
      </c>
      <c r="C598" s="84">
        <f t="shared" ca="1" si="27"/>
        <v>0.79829556425181281</v>
      </c>
      <c r="D598" s="93" cm="1">
        <f t="array" aca="1" ref="D598" ca="1">_xlfn.SWITCH($B$4,"Normal MLE",EXP(_xlfn.NORM.INV(B598,LN($C$9),$E$9/$C$9)),"Uniforme",$B$9+($D$9-$B$9)*B598,"Triangular",IF(B598&lt;=($C$9-$B$9)/($D$9-$B$9),$B$9+SQRT(B598*($D$9-$B$9)*($C$9-$B$9)),$D$9-SQRT((1-B598)*($D$9-$B$9)*($D$9-$C$9))),"PERT",_xlfn.BETA.INV(B598,1+$B$6*($C$9-$B$9)/($D$9-$B$9),1+$B$6*($D$9-$C$9)/($D$9-$B$9),$B$9,$D$9))</f>
        <v>1.9785286050395383</v>
      </c>
      <c r="E598" s="94" cm="1">
        <f t="array" aca="1" ref="E598" ca="1">_xlfn.SWITCH($B$4,"Normal MLE",EXP(_xlfn.NORM.INV(C598,LN($C$10),$E$10/$C$10)),"Uniforme",$B$10+($D$10-$B$10)*C598,"Triangular",IF(C598&lt;=($C$10-$B$10)/($D$10-$B$10),$B$10+SQRT(C598*($D$10-$B$10)*($C$10-$B$10)),$D$10-SQRT((1-C598)*($D$10-$B$10)*($D$10-$C$10))),"PERT",_xlfn.BETA.INV(C598,1+$B$6*($C$10-$B$10)/($D$10-$B$10),1+$B$6*($D$10-$C$10)/($D$10-$B$10),$B$10,$D$10))</f>
        <v>5301.969119070478</v>
      </c>
      <c r="F598" s="88">
        <f t="shared" ca="1" si="28"/>
        <v>0.56404072488284918</v>
      </c>
      <c r="G598" s="89">
        <f t="shared" ca="1" si="29"/>
        <v>1.5975924829895259E-4</v>
      </c>
    </row>
    <row r="599" spans="1:7" x14ac:dyDescent="0.35">
      <c r="A599" s="84">
        <v>584</v>
      </c>
      <c r="B599" s="84">
        <f t="shared" ca="1" si="27"/>
        <v>0.80281454548148035</v>
      </c>
      <c r="C599" s="84">
        <f t="shared" ca="1" si="27"/>
        <v>0.33169770179724756</v>
      </c>
      <c r="D599" s="93" cm="1">
        <f t="array" aca="1" ref="D599" ca="1">_xlfn.SWITCH($B$4,"Normal MLE",EXP(_xlfn.NORM.INV(B599,LN($C$9),$E$9/$C$9)),"Uniforme",$B$9+($D$9-$B$9)*B599,"Triangular",IF(B599&lt;=($C$9-$B$9)/($D$9-$B$9),$B$9+SQRT(B599*($D$9-$B$9)*($C$9-$B$9)),$D$9-SQRT((1-B599)*($D$9-$B$9)*($D$9-$C$9))),"PERT",_xlfn.BETA.INV(B599,1+$B$6*($C$9-$B$9)/($D$9-$B$9),1+$B$6*($D$9-$C$9)/($D$9-$B$9),$B$9,$D$9))</f>
        <v>2.0680668208706905</v>
      </c>
      <c r="E599" s="94" cm="1">
        <f t="array" aca="1" ref="E599" ca="1">_xlfn.SWITCH($B$4,"Normal MLE",EXP(_xlfn.NORM.INV(C599,LN($C$10),$E$10/$C$10)),"Uniforme",$B$10+($D$10-$B$10)*C599,"Triangular",IF(C599&lt;=($C$10-$B$10)/($D$10-$B$10),$B$10+SQRT(C599*($D$10-$B$10)*($C$10-$B$10)),$D$10-SQRT((1-C599)*($D$10-$B$10)*($D$10-$C$10))),"PERT",_xlfn.BETA.INV(C599,1+$B$6*($C$10-$B$10)/($D$10-$B$10),1+$B$6*($D$10-$C$10)/($D$10-$B$10),$B$10,$D$10))</f>
        <v>4997.5284769234549</v>
      </c>
      <c r="F599" s="88">
        <f t="shared" ca="1" si="28"/>
        <v>0.53206076817660486</v>
      </c>
      <c r="G599" s="89">
        <f t="shared" ca="1" si="29"/>
        <v>1.7357752828727014E-4</v>
      </c>
    </row>
    <row r="600" spans="1:7" x14ac:dyDescent="0.35">
      <c r="A600" s="84">
        <v>585</v>
      </c>
      <c r="B600" s="84">
        <f t="shared" ca="1" si="27"/>
        <v>0.37496911052262305</v>
      </c>
      <c r="C600" s="84">
        <f t="shared" ca="1" si="27"/>
        <v>0.76872988650801111</v>
      </c>
      <c r="D600" s="93" cm="1">
        <f t="array" aca="1" ref="D600" ca="1">_xlfn.SWITCH($B$4,"Normal MLE",EXP(_xlfn.NORM.INV(B600,LN($C$9),$E$9/$C$9)),"Uniforme",$B$9+($D$9-$B$9)*B600,"Triangular",IF(B600&lt;=($C$9-$B$9)/($D$9-$B$9),$B$9+SQRT(B600*($D$9-$B$9)*($C$9-$B$9)),$D$9-SQRT((1-B600)*($D$9-$B$9)*($D$9-$C$9))),"PERT",_xlfn.BETA.INV(B600,1+$B$6*($C$9-$B$9)/($D$9-$B$9),1+$B$6*($D$9-$C$9)/($D$9-$B$9),$B$9,$D$9))</f>
        <v>1.9044487864410247</v>
      </c>
      <c r="E600" s="94" cm="1">
        <f t="array" aca="1" ref="E600" ca="1">_xlfn.SWITCH($B$4,"Normal MLE",EXP(_xlfn.NORM.INV(C600,LN($C$10),$E$10/$C$10)),"Uniforme",$B$10+($D$10-$B$10)*C600,"Triangular",IF(C600&lt;=($C$10-$B$10)/($D$10-$B$10),$B$10+SQRT(C600*($D$10-$B$10)*($C$10-$B$10)),$D$10-SQRT((1-C600)*($D$10-$B$10)*($D$10-$C$10))),"PERT",_xlfn.BETA.INV(C600,1+$B$6*($C$10-$B$10)/($D$10-$B$10),1+$B$6*($D$10-$C$10)/($D$10-$B$10),$B$10,$D$10))</f>
        <v>5277.1384317774355</v>
      </c>
      <c r="F600" s="88">
        <f t="shared" ca="1" si="28"/>
        <v>0.55435026312052116</v>
      </c>
      <c r="G600" s="89">
        <f t="shared" ca="1" si="29"/>
        <v>1.5570948314822393E-4</v>
      </c>
    </row>
    <row r="601" spans="1:7" x14ac:dyDescent="0.35">
      <c r="A601" s="84">
        <v>586</v>
      </c>
      <c r="B601" s="84">
        <f t="shared" ca="1" si="27"/>
        <v>8.1796096237636395E-2</v>
      </c>
      <c r="C601" s="84">
        <f t="shared" ca="1" si="27"/>
        <v>0.27595414082597647</v>
      </c>
      <c r="D601" s="93" cm="1">
        <f t="array" aca="1" ref="D601" ca="1">_xlfn.SWITCH($B$4,"Normal MLE",EXP(_xlfn.NORM.INV(B601,LN($C$9),$E$9/$C$9)),"Uniforme",$B$9+($D$9-$B$9)*B601,"Triangular",IF(B601&lt;=($C$9-$B$9)/($D$9-$B$9),$B$9+SQRT(B601*($D$9-$B$9)*($C$9-$B$9)),$D$9-SQRT((1-B601)*($D$9-$B$9)*($D$9-$C$9))),"PERT",_xlfn.BETA.INV(B601,1+$B$6*($C$9-$B$9)/($D$9-$B$9),1+$B$6*($D$9-$C$9)/($D$9-$B$9),$B$9,$D$9))</f>
        <v>1.7656802251406516</v>
      </c>
      <c r="E601" s="94" cm="1">
        <f t="array" aca="1" ref="E601" ca="1">_xlfn.SWITCH($B$4,"Normal MLE",EXP(_xlfn.NORM.INV(C601,LN($C$10),$E$10/$C$10)),"Uniforme",$B$10+($D$10-$B$10)*C601,"Triangular",IF(C601&lt;=($C$10-$B$10)/($D$10-$B$10),$B$10+SQRT(C601*($D$10-$B$10)*($C$10-$B$10)),$D$10-SQRT((1-C601)*($D$10-$B$10)*($D$10-$C$10))),"PERT",_xlfn.BETA.INV(C601,1+$B$6*($C$10-$B$10)/($D$10-$B$10),1+$B$6*($D$10-$C$10)/($D$10-$B$10),$B$10,$D$10))</f>
        <v>4960.5331157328455</v>
      </c>
      <c r="F601" s="88">
        <f t="shared" ca="1" si="28"/>
        <v>0.50466715933078055</v>
      </c>
      <c r="G601" s="89">
        <f t="shared" ca="1" si="29"/>
        <v>1.5234277698241946E-4</v>
      </c>
    </row>
    <row r="602" spans="1:7" x14ac:dyDescent="0.35">
      <c r="A602" s="84">
        <v>587</v>
      </c>
      <c r="B602" s="84">
        <f t="shared" ca="1" si="27"/>
        <v>0.56046515631871352</v>
      </c>
      <c r="C602" s="84">
        <f t="shared" ca="1" si="27"/>
        <v>0.79229576357227183</v>
      </c>
      <c r="D602" s="93" cm="1">
        <f t="array" aca="1" ref="D602" ca="1">_xlfn.SWITCH($B$4,"Normal MLE",EXP(_xlfn.NORM.INV(B602,LN($C$9),$E$9/$C$9)),"Uniforme",$B$9+($D$9-$B$9)*B602,"Triangular",IF(B602&lt;=($C$9-$B$9)/($D$9-$B$9),$B$9+SQRT(B602*($D$9-$B$9)*($C$9-$B$9)),$D$9-SQRT((1-B602)*($D$9-$B$9)*($D$9-$C$9))),"PERT",_xlfn.BETA.INV(B602,1+$B$6*($C$9-$B$9)/($D$9-$B$9),1+$B$6*($D$9-$C$9)/($D$9-$B$9),$B$9,$D$9))</f>
        <v>1.9686558450204328</v>
      </c>
      <c r="E602" s="94" cm="1">
        <f t="array" aca="1" ref="E602" ca="1">_xlfn.SWITCH($B$4,"Normal MLE",EXP(_xlfn.NORM.INV(C602,LN($C$10),$E$10/$C$10)),"Uniforme",$B$10+($D$10-$B$10)*C602,"Triangular",IF(C602&lt;=($C$10-$B$10)/($D$10-$B$10),$B$10+SQRT(C602*($D$10-$B$10)*($C$10-$B$10)),$D$10-SQRT((1-C602)*($D$10-$B$10)*($D$10-$C$10))),"PERT",_xlfn.BETA.INV(C602,1+$B$6*($C$10-$B$10)/($D$10-$B$10),1+$B$6*($D$10-$C$10)/($D$10-$B$10),$B$10,$D$10))</f>
        <v>5296.7569908436481</v>
      </c>
      <c r="F602" s="88">
        <f t="shared" ca="1" si="28"/>
        <v>0.5625152671515572</v>
      </c>
      <c r="G602" s="89">
        <f t="shared" ca="1" si="29"/>
        <v>1.5928190111387562E-4</v>
      </c>
    </row>
    <row r="603" spans="1:7" x14ac:dyDescent="0.35">
      <c r="A603" s="84">
        <v>588</v>
      </c>
      <c r="B603" s="84">
        <f t="shared" ca="1" si="27"/>
        <v>0.51055036670638687</v>
      </c>
      <c r="C603" s="84">
        <f t="shared" ca="1" si="27"/>
        <v>1.3663407885225909E-2</v>
      </c>
      <c r="D603" s="93" cm="1">
        <f t="array" aca="1" ref="D603" ca="1">_xlfn.SWITCH($B$4,"Normal MLE",EXP(_xlfn.NORM.INV(B603,LN($C$9),$E$9/$C$9)),"Uniforme",$B$9+($D$9-$B$9)*B603,"Triangular",IF(B603&lt;=($C$9-$B$9)/($D$9-$B$9),$B$9+SQRT(B603*($D$9-$B$9)*($C$9-$B$9)),$D$9-SQRT((1-B603)*($D$9-$B$9)*($D$9-$C$9))),"PERT",_xlfn.BETA.INV(B603,1+$B$6*($C$9-$B$9)/($D$9-$B$9),1+$B$6*($D$9-$C$9)/($D$9-$B$9),$B$9,$D$9))</f>
        <v>1.9513067744511992</v>
      </c>
      <c r="E603" s="94" cm="1">
        <f t="array" aca="1" ref="E603" ca="1">_xlfn.SWITCH($B$4,"Normal MLE",EXP(_xlfn.NORM.INV(C603,LN($C$10),$E$10/$C$10)),"Uniforme",$B$10+($D$10-$B$10)*C603,"Triangular",IF(C603&lt;=($C$10-$B$10)/($D$10-$B$10),$B$10+SQRT(C603*($D$10-$B$10)*($C$10-$B$10)),$D$10-SQRT((1-C603)*($D$10-$B$10)*($D$10-$C$10))),"PERT",_xlfn.BETA.INV(C603,1+$B$6*($C$10-$B$10)/($D$10-$B$10),1+$B$6*($D$10-$C$10)/($D$10-$B$10),$B$10,$D$10))</f>
        <v>4602.059462191688</v>
      </c>
      <c r="F603" s="88">
        <f t="shared" ca="1" si="28"/>
        <v>0.46736606180623208</v>
      </c>
      <c r="G603" s="89">
        <f t="shared" ca="1" si="29"/>
        <v>1.734216459845906E-4</v>
      </c>
    </row>
    <row r="604" spans="1:7" x14ac:dyDescent="0.35">
      <c r="A604" s="84">
        <v>589</v>
      </c>
      <c r="B604" s="84">
        <f t="shared" ca="1" si="27"/>
        <v>0.62072480464064028</v>
      </c>
      <c r="C604" s="84">
        <f t="shared" ca="1" si="27"/>
        <v>0.83334564812323564</v>
      </c>
      <c r="D604" s="93" cm="1">
        <f t="array" aca="1" ref="D604" ca="1">_xlfn.SWITCH($B$4,"Normal MLE",EXP(_xlfn.NORM.INV(B604,LN($C$9),$E$9/$C$9)),"Uniforme",$B$9+($D$9-$B$9)*B604,"Triangular",IF(B604&lt;=($C$9-$B$9)/($D$9-$B$9),$B$9+SQRT(B604*($D$9-$B$9)*($C$9-$B$9)),$D$9-SQRT((1-B604)*($D$9-$B$9)*($D$9-$C$9))),"PERT",_xlfn.BETA.INV(B604,1+$B$6*($C$9-$B$9)/($D$9-$B$9),1+$B$6*($D$9-$C$9)/($D$9-$B$9),$B$9,$D$9))</f>
        <v>1.9902945744182694</v>
      </c>
      <c r="E604" s="94" cm="1">
        <f t="array" aca="1" ref="E604" ca="1">_xlfn.SWITCH($B$4,"Normal MLE",EXP(_xlfn.NORM.INV(C604,LN($C$10),$E$10/$C$10)),"Uniforme",$B$10+($D$10-$B$10)*C604,"Triangular",IF(C604&lt;=($C$10-$B$10)/($D$10-$B$10),$B$10+SQRT(C604*($D$10-$B$10)*($C$10-$B$10)),$D$10-SQRT((1-C604)*($D$10-$B$10)*($D$10-$C$10))),"PERT",_xlfn.BETA.INV(C604,1+$B$6*($C$10-$B$10)/($D$10-$B$10),1+$B$6*($D$10-$C$10)/($D$10-$B$10),$B$10,$D$10))</f>
        <v>5334.6175280836642</v>
      </c>
      <c r="F604" s="88">
        <f t="shared" ca="1" si="28"/>
        <v>0.56904115937598432</v>
      </c>
      <c r="G604" s="89">
        <f t="shared" ca="1" si="29"/>
        <v>1.5963497705560057E-4</v>
      </c>
    </row>
    <row r="605" spans="1:7" x14ac:dyDescent="0.35">
      <c r="A605" s="84">
        <v>590</v>
      </c>
      <c r="B605" s="84">
        <f t="shared" ca="1" si="27"/>
        <v>0.10577389594323305</v>
      </c>
      <c r="C605" s="84">
        <f t="shared" ca="1" si="27"/>
        <v>0.17790557519427019</v>
      </c>
      <c r="D605" s="93" cm="1">
        <f t="array" aca="1" ref="D605" ca="1">_xlfn.SWITCH($B$4,"Normal MLE",EXP(_xlfn.NORM.INV(B605,LN($C$9),$E$9/$C$9)),"Uniforme",$B$9+($D$9-$B$9)*B605,"Triangular",IF(B605&lt;=($C$9-$B$9)/($D$9-$B$9),$B$9+SQRT(B605*($D$9-$B$9)*($C$9-$B$9)),$D$9-SQRT((1-B605)*($D$9-$B$9)*($D$9-$C$9))),"PERT",_xlfn.BETA.INV(B605,1+$B$6*($C$9-$B$9)/($D$9-$B$9),1+$B$6*($D$9-$C$9)/($D$9-$B$9),$B$9,$D$9))</f>
        <v>1.7836472048079044</v>
      </c>
      <c r="E605" s="94" cm="1">
        <f t="array" aca="1" ref="E605" ca="1">_xlfn.SWITCH($B$4,"Normal MLE",EXP(_xlfn.NORM.INV(C605,LN($C$10),$E$10/$C$10)),"Uniforme",$B$10+($D$10-$B$10)*C605,"Triangular",IF(C605&lt;=($C$10-$B$10)/($D$10-$B$10),$B$10+SQRT(C605*($D$10-$B$10)*($C$10-$B$10)),$D$10-SQRT((1-C605)*($D$10-$B$10)*($D$10-$C$10))),"PERT",_xlfn.BETA.INV(C605,1+$B$6*($C$10-$B$10)/($D$10-$B$10),1+$B$6*($D$10-$C$10)/($D$10-$B$10),$B$10,$D$10))</f>
        <v>4885.2865681660633</v>
      </c>
      <c r="F605" s="88">
        <f t="shared" ca="1" si="28"/>
        <v>0.49656306943391804</v>
      </c>
      <c r="G605" s="89">
        <f t="shared" ca="1" si="29"/>
        <v>1.5500624723159673E-4</v>
      </c>
    </row>
    <row r="606" spans="1:7" x14ac:dyDescent="0.35">
      <c r="A606" s="84">
        <v>591</v>
      </c>
      <c r="B606" s="84">
        <f t="shared" ca="1" si="27"/>
        <v>0.88820491797080681</v>
      </c>
      <c r="C606" s="84">
        <f t="shared" ca="1" si="27"/>
        <v>0.1891290232301398</v>
      </c>
      <c r="D606" s="93" cm="1">
        <f t="array" aca="1" ref="D606" ca="1">_xlfn.SWITCH($B$4,"Normal MLE",EXP(_xlfn.NORM.INV(B606,LN($C$9),$E$9/$C$9)),"Uniforme",$B$9+($D$9-$B$9)*B606,"Triangular",IF(B606&lt;=($C$9-$B$9)/($D$9-$B$9),$B$9+SQRT(B606*($D$9-$B$9)*($C$9-$B$9)),$D$9-SQRT((1-B606)*($D$9-$B$9)*($D$9-$C$9))),"PERT",_xlfn.BETA.INV(B606,1+$B$6*($C$9-$B$9)/($D$9-$B$9),1+$B$6*($D$9-$C$9)/($D$9-$B$9),$B$9,$D$9))</f>
        <v>2.1219593237933423</v>
      </c>
      <c r="E606" s="94" cm="1">
        <f t="array" aca="1" ref="E606" ca="1">_xlfn.SWITCH($B$4,"Normal MLE",EXP(_xlfn.NORM.INV(C606,LN($C$10),$E$10/$C$10)),"Uniforme",$B$10+($D$10-$B$10)*C606,"Triangular",IF(C606&lt;=($C$10-$B$10)/($D$10-$B$10),$B$10+SQRT(C606*($D$10-$B$10)*($C$10-$B$10)),$D$10-SQRT((1-C606)*($D$10-$B$10)*($D$10-$C$10))),"PERT",_xlfn.BETA.INV(C606,1+$B$6*($C$10-$B$10)/($D$10-$B$10),1+$B$6*($D$10-$C$10)/($D$10-$B$10),$B$10,$D$10))</f>
        <v>4894.9044586178434</v>
      </c>
      <c r="F606" s="88">
        <f t="shared" ca="1" si="28"/>
        <v>0.52124514194480398</v>
      </c>
      <c r="G606" s="89">
        <f t="shared" ca="1" si="29"/>
        <v>1.8015931347083788E-4</v>
      </c>
    </row>
    <row r="607" spans="1:7" x14ac:dyDescent="0.35">
      <c r="A607" s="84">
        <v>592</v>
      </c>
      <c r="B607" s="84">
        <f t="shared" ca="1" si="27"/>
        <v>0.67562688014856997</v>
      </c>
      <c r="C607" s="84">
        <f t="shared" ca="1" si="27"/>
        <v>0.32363416353547358</v>
      </c>
      <c r="D607" s="93" cm="1">
        <f t="array" aca="1" ref="D607" ca="1">_xlfn.SWITCH($B$4,"Normal MLE",EXP(_xlfn.NORM.INV(B607,LN($C$9),$E$9/$C$9)),"Uniforme",$B$9+($D$9-$B$9)*B607,"Triangular",IF(B607&lt;=($C$9-$B$9)/($D$9-$B$9),$B$9+SQRT(B607*($D$9-$B$9)*($C$9-$B$9)),$D$9-SQRT((1-B607)*($D$9-$B$9)*($D$9-$C$9))),"PERT",_xlfn.BETA.INV(B607,1+$B$6*($C$9-$B$9)/($D$9-$B$9),1+$B$6*($D$9-$C$9)/($D$9-$B$9),$B$9,$D$9))</f>
        <v>2.0111630082791825</v>
      </c>
      <c r="E607" s="94" cm="1">
        <f t="array" aca="1" ref="E607" ca="1">_xlfn.SWITCH($B$4,"Normal MLE",EXP(_xlfn.NORM.INV(C607,LN($C$10),$E$10/$C$10)),"Uniforme",$B$10+($D$10-$B$10)*C607,"Triangular",IF(C607&lt;=($C$10-$B$10)/($D$10-$B$10),$B$10+SQRT(C607*($D$10-$B$10)*($C$10-$B$10)),$D$10-SQRT((1-C607)*($D$10-$B$10)*($D$10-$C$10))),"PERT",_xlfn.BETA.INV(C607,1+$B$6*($C$10-$B$10)/($D$10-$B$10),1+$B$6*($D$10-$C$10)/($D$10-$B$10),$B$10,$D$10))</f>
        <v>4992.3381312246684</v>
      </c>
      <c r="F607" s="88">
        <f t="shared" ca="1" si="28"/>
        <v>0.52709219562789045</v>
      </c>
      <c r="G607" s="89">
        <f t="shared" ca="1" si="29"/>
        <v>1.6971158600669189E-4</v>
      </c>
    </row>
    <row r="608" spans="1:7" x14ac:dyDescent="0.35">
      <c r="A608" s="84">
        <v>593</v>
      </c>
      <c r="B608" s="84">
        <f t="shared" ca="1" si="27"/>
        <v>0.95551947547135507</v>
      </c>
      <c r="C608" s="84">
        <f t="shared" ca="1" si="27"/>
        <v>0.88546977020473217</v>
      </c>
      <c r="D608" s="93" cm="1">
        <f t="array" aca="1" ref="D608" ca="1">_xlfn.SWITCH($B$4,"Normal MLE",EXP(_xlfn.NORM.INV(B608,LN($C$9),$E$9/$C$9)),"Uniforme",$B$9+($D$9-$B$9)*B608,"Triangular",IF(B608&lt;=($C$9-$B$9)/($D$9-$B$9),$B$9+SQRT(B608*($D$9-$B$9)*($C$9-$B$9)),$D$9-SQRT((1-B608)*($D$9-$B$9)*($D$9-$C$9))),"PERT",_xlfn.BETA.INV(B608,1+$B$6*($C$9-$B$9)/($D$9-$B$9),1+$B$6*($D$9-$C$9)/($D$9-$B$9),$B$9,$D$9))</f>
        <v>2.1955081507870378</v>
      </c>
      <c r="E608" s="94" cm="1">
        <f t="array" aca="1" ref="E608" ca="1">_xlfn.SWITCH($B$4,"Normal MLE",EXP(_xlfn.NORM.INV(C608,LN($C$10),$E$10/$C$10)),"Uniforme",$B$10+($D$10-$B$10)*C608,"Triangular",IF(C608&lt;=($C$10-$B$10)/($D$10-$B$10),$B$10+SQRT(C608*($D$10-$B$10)*($C$10-$B$10)),$D$10-SQRT((1-C608)*($D$10-$B$10)*($D$10-$C$10))),"PERT",_xlfn.BETA.INV(C608,1+$B$6*($C$10-$B$10)/($D$10-$B$10),1+$B$6*($D$10-$C$10)/($D$10-$B$10),$B$10,$D$10))</f>
        <v>5393.3529384875246</v>
      </c>
      <c r="F608" s="88">
        <f t="shared" ca="1" si="28"/>
        <v>0.59521619782939406</v>
      </c>
      <c r="G608" s="89">
        <f t="shared" ca="1" si="29"/>
        <v>1.69502212261147E-4</v>
      </c>
    </row>
    <row r="609" spans="1:7" x14ac:dyDescent="0.35">
      <c r="A609" s="84">
        <v>594</v>
      </c>
      <c r="B609" s="84">
        <f t="shared" ca="1" si="27"/>
        <v>0.89153687179598062</v>
      </c>
      <c r="C609" s="84">
        <f t="shared" ca="1" si="27"/>
        <v>0.47909100840467533</v>
      </c>
      <c r="D609" s="93" cm="1">
        <f t="array" aca="1" ref="D609" ca="1">_xlfn.SWITCH($B$4,"Normal MLE",EXP(_xlfn.NORM.INV(B609,LN($C$9),$E$9/$C$9)),"Uniforme",$B$9+($D$9-$B$9)*B609,"Triangular",IF(B609&lt;=($C$9-$B$9)/($D$9-$B$9),$B$9+SQRT(B609*($D$9-$B$9)*($C$9-$B$9)),$D$9-SQRT((1-B609)*($D$9-$B$9)*($D$9-$C$9))),"PERT",_xlfn.BETA.INV(B609,1+$B$6*($C$9-$B$9)/($D$9-$B$9),1+$B$6*($D$9-$C$9)/($D$9-$B$9),$B$9,$D$9))</f>
        <v>2.1246067071137609</v>
      </c>
      <c r="E609" s="94" cm="1">
        <f t="array" aca="1" ref="E609" ca="1">_xlfn.SWITCH($B$4,"Normal MLE",EXP(_xlfn.NORM.INV(C609,LN($C$10),$E$10/$C$10)),"Uniforme",$B$10+($D$10-$B$10)*C609,"Triangular",IF(C609&lt;=($C$10-$B$10)/($D$10-$B$10),$B$10+SQRT(C609*($D$10-$B$10)*($C$10-$B$10)),$D$10-SQRT((1-C609)*($D$10-$B$10)*($D$10-$C$10))),"PERT",_xlfn.BETA.INV(C609,1+$B$6*($C$10-$B$10)/($D$10-$B$10),1+$B$6*($D$10-$C$10)/($D$10-$B$10),$B$10,$D$10))</f>
        <v>5087.3475449345715</v>
      </c>
      <c r="F609" s="88">
        <f t="shared" ca="1" si="28"/>
        <v>0.5488320605842173</v>
      </c>
      <c r="G609" s="89">
        <f t="shared" ca="1" si="29"/>
        <v>1.7489699284536629E-4</v>
      </c>
    </row>
    <row r="610" spans="1:7" x14ac:dyDescent="0.35">
      <c r="A610" s="84">
        <v>595</v>
      </c>
      <c r="B610" s="84">
        <f t="shared" ca="1" si="27"/>
        <v>6.0956754979983874E-3</v>
      </c>
      <c r="C610" s="84">
        <f t="shared" ca="1" si="27"/>
        <v>0.34243772836526865</v>
      </c>
      <c r="D610" s="93" cm="1">
        <f t="array" aca="1" ref="D610" ca="1">_xlfn.SWITCH($B$4,"Normal MLE",EXP(_xlfn.NORM.INV(B610,LN($C$9),$E$9/$C$9)),"Uniforme",$B$9+($D$9-$B$9)*B610,"Triangular",IF(B610&lt;=($C$9-$B$9)/($D$9-$B$9),$B$9+SQRT(B610*($D$9-$B$9)*($C$9-$B$9)),$D$9-SQRT((1-B610)*($D$9-$B$9)*($D$9-$C$9))),"PERT",_xlfn.BETA.INV(B610,1+$B$6*($C$9-$B$9)/($D$9-$B$9),1+$B$6*($D$9-$C$9)/($D$9-$B$9),$B$9,$D$9))</f>
        <v>1.6325224974832082</v>
      </c>
      <c r="E610" s="94" cm="1">
        <f t="array" aca="1" ref="E610" ca="1">_xlfn.SWITCH($B$4,"Normal MLE",EXP(_xlfn.NORM.INV(C610,LN($C$10),$E$10/$C$10)),"Uniforme",$B$10+($D$10-$B$10)*C610,"Triangular",IF(C610&lt;=($C$10-$B$10)/($D$10-$B$10),$B$10+SQRT(C610*($D$10-$B$10)*($C$10-$B$10)),$D$10-SQRT((1-C610)*($D$10-$B$10)*($D$10-$C$10))),"PERT",_xlfn.BETA.INV(C610,1+$B$6*($C$10-$B$10)/($D$10-$B$10),1+$B$6*($D$10-$C$10)/($D$10-$B$10),$B$10,$D$10))</f>
        <v>5004.3728610976068</v>
      </c>
      <c r="F610" s="88">
        <f t="shared" ca="1" si="28"/>
        <v>0.49972308218365524</v>
      </c>
      <c r="G610" s="89">
        <f t="shared" ca="1" si="29"/>
        <v>1.4148194457746838E-4</v>
      </c>
    </row>
    <row r="611" spans="1:7" x14ac:dyDescent="0.35">
      <c r="A611" s="84">
        <v>596</v>
      </c>
      <c r="B611" s="84">
        <f t="shared" ca="1" si="27"/>
        <v>0.44175173163047055</v>
      </c>
      <c r="C611" s="84">
        <f t="shared" ca="1" si="27"/>
        <v>0.82591869179800337</v>
      </c>
      <c r="D611" s="93" cm="1">
        <f t="array" aca="1" ref="D611" ca="1">_xlfn.SWITCH($B$4,"Normal MLE",EXP(_xlfn.NORM.INV(B611,LN($C$9),$E$9/$C$9)),"Uniforme",$B$9+($D$9-$B$9)*B611,"Triangular",IF(B611&lt;=($C$9-$B$9)/($D$9-$B$9),$B$9+SQRT(B611*($D$9-$B$9)*($C$9-$B$9)),$D$9-SQRT((1-B611)*($D$9-$B$9)*($D$9-$C$9))),"PERT",_xlfn.BETA.INV(B611,1+$B$6*($C$9-$B$9)/($D$9-$B$9),1+$B$6*($D$9-$C$9)/($D$9-$B$9),$B$9,$D$9))</f>
        <v>1.927681998158465</v>
      </c>
      <c r="E611" s="94" cm="1">
        <f t="array" aca="1" ref="E611" ca="1">_xlfn.SWITCH($B$4,"Normal MLE",EXP(_xlfn.NORM.INV(C611,LN($C$10),$E$10/$C$10)),"Uniforme",$B$10+($D$10-$B$10)*C611,"Triangular",IF(C611&lt;=($C$10-$B$10)/($D$10-$B$10),$B$10+SQRT(C611*($D$10-$B$10)*($C$10-$B$10)),$D$10-SQRT((1-C611)*($D$10-$B$10)*($D$10-$C$10))),"PERT",_xlfn.BETA.INV(C611,1+$B$6*($C$10-$B$10)/($D$10-$B$10),1+$B$6*($D$10-$C$10)/($D$10-$B$10),$B$10,$D$10))</f>
        <v>5327.3460774062232</v>
      </c>
      <c r="F611" s="88">
        <f t="shared" ca="1" si="28"/>
        <v>0.56238417821795583</v>
      </c>
      <c r="G611" s="89">
        <f t="shared" ca="1" si="29"/>
        <v>1.5599357017899402E-4</v>
      </c>
    </row>
    <row r="612" spans="1:7" x14ac:dyDescent="0.35">
      <c r="A612" s="84">
        <v>597</v>
      </c>
      <c r="B612" s="84">
        <f t="shared" ca="1" si="27"/>
        <v>0.5794839949744649</v>
      </c>
      <c r="C612" s="84">
        <f t="shared" ca="1" si="27"/>
        <v>0.57589450113998897</v>
      </c>
      <c r="D612" s="93" cm="1">
        <f t="array" aca="1" ref="D612" ca="1">_xlfn.SWITCH($B$4,"Normal MLE",EXP(_xlfn.NORM.INV(B612,LN($C$9),$E$9/$C$9)),"Uniforme",$B$9+($D$9-$B$9)*B612,"Triangular",IF(B612&lt;=($C$9-$B$9)/($D$9-$B$9),$B$9+SQRT(B612*($D$9-$B$9)*($C$9-$B$9)),$D$9-SQRT((1-B612)*($D$9-$B$9)*($D$9-$C$9))),"PERT",_xlfn.BETA.INV(B612,1+$B$6*($C$9-$B$9)/($D$9-$B$9),1+$B$6*($D$9-$C$9)/($D$9-$B$9),$B$9,$D$9))</f>
        <v>1.9753805355808522</v>
      </c>
      <c r="E612" s="94" cm="1">
        <f t="array" aca="1" ref="E612" ca="1">_xlfn.SWITCH($B$4,"Normal MLE",EXP(_xlfn.NORM.INV(C612,LN($C$10),$E$10/$C$10)),"Uniforme",$B$10+($D$10-$B$10)*C612,"Triangular",IF(C612&lt;=($C$10-$B$10)/($D$10-$B$10),$B$10+SQRT(C612*($D$10-$B$10)*($C$10-$B$10)),$D$10-SQRT((1-C612)*($D$10-$B$10)*($D$10-$C$10))),"PERT",_xlfn.BETA.INV(C612,1+$B$6*($C$10-$B$10)/($D$10-$B$10),1+$B$6*($D$10-$C$10)/($D$10-$B$10),$B$10,$D$10))</f>
        <v>5145.4012316672561</v>
      </c>
      <c r="F612" s="88">
        <f t="shared" ca="1" si="28"/>
        <v>0.5443850911988406</v>
      </c>
      <c r="G612" s="89">
        <f t="shared" ca="1" si="29"/>
        <v>1.6348234489901417E-4</v>
      </c>
    </row>
    <row r="613" spans="1:7" x14ac:dyDescent="0.35">
      <c r="A613" s="84">
        <v>598</v>
      </c>
      <c r="B613" s="84">
        <f t="shared" ca="1" si="27"/>
        <v>4.5908685769751156E-2</v>
      </c>
      <c r="C613" s="84">
        <f t="shared" ca="1" si="27"/>
        <v>0.46988994070523138</v>
      </c>
      <c r="D613" s="93" cm="1">
        <f t="array" aca="1" ref="D613" ca="1">_xlfn.SWITCH($B$4,"Normal MLE",EXP(_xlfn.NORM.INV(B613,LN($C$9),$E$9/$C$9)),"Uniforme",$B$9+($D$9-$B$9)*B613,"Triangular",IF(B613&lt;=($C$9-$B$9)/($D$9-$B$9),$B$9+SQRT(B613*($D$9-$B$9)*($C$9-$B$9)),$D$9-SQRT((1-B613)*($D$9-$B$9)*($D$9-$C$9))),"PERT",_xlfn.BETA.INV(B613,1+$B$6*($C$9-$B$9)/($D$9-$B$9),1+$B$6*($D$9-$C$9)/($D$9-$B$9),$B$9,$D$9))</f>
        <v>1.7296471358923418</v>
      </c>
      <c r="E613" s="94" cm="1">
        <f t="array" aca="1" ref="E613" ca="1">_xlfn.SWITCH($B$4,"Normal MLE",EXP(_xlfn.NORM.INV(C613,LN($C$10),$E$10/$C$10)),"Uniforme",$B$10+($D$10-$B$10)*C613,"Triangular",IF(C613&lt;=($C$10-$B$10)/($D$10-$B$10),$B$10+SQRT(C613*($D$10-$B$10)*($C$10-$B$10)),$D$10-SQRT((1-C613)*($D$10-$B$10)*($D$10-$C$10))),"PERT",_xlfn.BETA.INV(C613,1+$B$6*($C$10-$B$10)/($D$10-$B$10),1+$B$6*($D$10-$C$10)/($D$10-$B$10),$B$10,$D$10))</f>
        <v>5081.8791732302761</v>
      </c>
      <c r="F613" s="88">
        <f t="shared" ca="1" si="28"/>
        <v>0.51635288606774732</v>
      </c>
      <c r="G613" s="89">
        <f t="shared" ca="1" si="29"/>
        <v>1.4757829894043208E-4</v>
      </c>
    </row>
    <row r="614" spans="1:7" x14ac:dyDescent="0.35">
      <c r="A614" s="84">
        <v>599</v>
      </c>
      <c r="B614" s="84">
        <f t="shared" ca="1" si="27"/>
        <v>0.3175347343395617</v>
      </c>
      <c r="C614" s="84">
        <f t="shared" ca="1" si="27"/>
        <v>0.96113592298221029</v>
      </c>
      <c r="D614" s="93" cm="1">
        <f t="array" aca="1" ref="D614" ca="1">_xlfn.SWITCH($B$4,"Normal MLE",EXP(_xlfn.NORM.INV(B614,LN($C$9),$E$9/$C$9)),"Uniforme",$B$9+($D$9-$B$9)*B614,"Triangular",IF(B614&lt;=($C$9-$B$9)/($D$9-$B$9),$B$9+SQRT(B614*($D$9-$B$9)*($C$9-$B$9)),$D$9-SQRT((1-B614)*($D$9-$B$9)*($D$9-$C$9))),"PERT",_xlfn.BETA.INV(B614,1+$B$6*($C$9-$B$9)/($D$9-$B$9),1+$B$6*($D$9-$C$9)/($D$9-$B$9),$B$9,$D$9))</f>
        <v>1.8836576130039147</v>
      </c>
      <c r="E614" s="94" cm="1">
        <f t="array" aca="1" ref="E614" ca="1">_xlfn.SWITCH($B$4,"Normal MLE",EXP(_xlfn.NORM.INV(C614,LN($C$10),$E$10/$C$10)),"Uniforme",$B$10+($D$10-$B$10)*C614,"Triangular",IF(C614&lt;=($C$10-$B$10)/($D$10-$B$10),$B$10+SQRT(C614*($D$10-$B$10)*($C$10-$B$10)),$D$10-SQRT((1-C614)*($D$10-$B$10)*($D$10-$C$10))),"PERT",_xlfn.BETA.INV(C614,1+$B$6*($C$10-$B$10)/($D$10-$B$10),1+$B$6*($D$10-$C$10)/($D$10-$B$10),$B$10,$D$10))</f>
        <v>5536.0661824106455</v>
      </c>
      <c r="F614" s="88">
        <f t="shared" ca="1" si="28"/>
        <v>0.58148312400752911</v>
      </c>
      <c r="G614" s="89">
        <f t="shared" ca="1" si="29"/>
        <v>1.4846266031017836E-4</v>
      </c>
    </row>
    <row r="615" spans="1:7" x14ac:dyDescent="0.35">
      <c r="A615" s="84">
        <v>600</v>
      </c>
      <c r="B615" s="84">
        <f t="shared" ca="1" si="27"/>
        <v>0.86602561238289955</v>
      </c>
      <c r="C615" s="84">
        <f t="shared" ca="1" si="27"/>
        <v>0.94762365681587812</v>
      </c>
      <c r="D615" s="93" cm="1">
        <f t="array" aca="1" ref="D615" ca="1">_xlfn.SWITCH($B$4,"Normal MLE",EXP(_xlfn.NORM.INV(B615,LN($C$9),$E$9/$C$9)),"Uniforme",$B$9+($D$9-$B$9)*B615,"Triangular",IF(B615&lt;=($C$9-$B$9)/($D$9-$B$9),$B$9+SQRT(B615*($D$9-$B$9)*($C$9-$B$9)),$D$9-SQRT((1-B615)*($D$9-$B$9)*($D$9-$C$9))),"PERT",_xlfn.BETA.INV(B615,1+$B$6*($C$9-$B$9)/($D$9-$B$9),1+$B$6*($D$9-$C$9)/($D$9-$B$9),$B$9,$D$9))</f>
        <v>2.1056987713577398</v>
      </c>
      <c r="E615" s="94" cm="1">
        <f t="array" aca="1" ref="E615" ca="1">_xlfn.SWITCH($B$4,"Normal MLE",EXP(_xlfn.NORM.INV(C615,LN($C$10),$E$10/$C$10)),"Uniforme",$B$10+($D$10-$B$10)*C615,"Triangular",IF(C615&lt;=($C$10-$B$10)/($D$10-$B$10),$B$10+SQRT(C615*($D$10-$B$10)*($C$10-$B$10)),$D$10-SQRT((1-C615)*($D$10-$B$10)*($D$10-$C$10))),"PERT",_xlfn.BETA.INV(C615,1+$B$6*($C$10-$B$10)/($D$10-$B$10),1+$B$6*($D$10-$C$10)/($D$10-$B$10),$B$10,$D$10))</f>
        <v>5499.659922377029</v>
      </c>
      <c r="F615" s="88">
        <f t="shared" ca="1" si="28"/>
        <v>0.59960462936478409</v>
      </c>
      <c r="G615" s="89">
        <f t="shared" ca="1" si="29"/>
        <v>1.6144847792606988E-4</v>
      </c>
    </row>
    <row r="616" spans="1:7" x14ac:dyDescent="0.35">
      <c r="A616" s="84">
        <v>601</v>
      </c>
      <c r="B616" s="84">
        <f t="shared" ca="1" si="27"/>
        <v>0.64757520316243233</v>
      </c>
      <c r="C616" s="84">
        <f t="shared" ca="1" si="27"/>
        <v>0.59820620416348802</v>
      </c>
      <c r="D616" s="93" cm="1">
        <f t="array" aca="1" ref="D616" ca="1">_xlfn.SWITCH($B$4,"Normal MLE",EXP(_xlfn.NORM.INV(B616,LN($C$9),$E$9/$C$9)),"Uniforme",$B$9+($D$9-$B$9)*B616,"Triangular",IF(B616&lt;=($C$9-$B$9)/($D$9-$B$9),$B$9+SQRT(B616*($D$9-$B$9)*($C$9-$B$9)),$D$9-SQRT((1-B616)*($D$9-$B$9)*($D$9-$C$9))),"PERT",_xlfn.BETA.INV(B616,1+$B$6*($C$9-$B$9)/($D$9-$B$9),1+$B$6*($D$9-$C$9)/($D$9-$B$9),$B$9,$D$9))</f>
        <v>2.0003264935442138</v>
      </c>
      <c r="E616" s="94" cm="1">
        <f t="array" aca="1" ref="E616" ca="1">_xlfn.SWITCH($B$4,"Normal MLE",EXP(_xlfn.NORM.INV(C616,LN($C$10),$E$10/$C$10)),"Uniforme",$B$10+($D$10-$B$10)*C616,"Triangular",IF(C616&lt;=($C$10-$B$10)/($D$10-$B$10),$B$10+SQRT(C616*($D$10-$B$10)*($C$10-$B$10)),$D$10-SQRT((1-C616)*($D$10-$B$10)*($D$10-$C$10))),"PERT",_xlfn.BETA.INV(C616,1+$B$6*($C$10-$B$10)/($D$10-$B$10),1+$B$6*($D$10-$C$10)/($D$10-$B$10),$B$10,$D$10))</f>
        <v>5159.140572702031</v>
      </c>
      <c r="F616" s="88">
        <f t="shared" ca="1" si="28"/>
        <v>0.54822159243206225</v>
      </c>
      <c r="G616" s="89">
        <f t="shared" ca="1" si="29"/>
        <v>1.6478823766744686E-4</v>
      </c>
    </row>
    <row r="617" spans="1:7" x14ac:dyDescent="0.35">
      <c r="A617" s="84">
        <v>602</v>
      </c>
      <c r="B617" s="84">
        <f t="shared" ca="1" si="27"/>
        <v>0.80274063732946233</v>
      </c>
      <c r="C617" s="84">
        <f t="shared" ca="1" si="27"/>
        <v>0.80880374468808891</v>
      </c>
      <c r="D617" s="93" cm="1">
        <f t="array" aca="1" ref="D617" ca="1">_xlfn.SWITCH($B$4,"Normal MLE",EXP(_xlfn.NORM.INV(B617,LN($C$9),$E$9/$C$9)),"Uniforme",$B$9+($D$9-$B$9)*B617,"Triangular",IF(B617&lt;=($C$9-$B$9)/($D$9-$B$9),$B$9+SQRT(B617*($D$9-$B$9)*($C$9-$B$9)),$D$9-SQRT((1-B617)*($D$9-$B$9)*($D$9-$C$9))),"PERT",_xlfn.BETA.INV(B617,1+$B$6*($C$9-$B$9)/($D$9-$B$9),1+$B$6*($D$9-$C$9)/($D$9-$B$9),$B$9,$D$9))</f>
        <v>2.0680280496157186</v>
      </c>
      <c r="E617" s="94" cm="1">
        <f t="array" aca="1" ref="E617" ca="1">_xlfn.SWITCH($B$4,"Normal MLE",EXP(_xlfn.NORM.INV(C617,LN($C$10),$E$10/$C$10)),"Uniforme",$B$10+($D$10-$B$10)*C617,"Triangular",IF(C617&lt;=($C$10-$B$10)/($D$10-$B$10),$B$10+SQRT(C617*($D$10-$B$10)*($C$10-$B$10)),$D$10-SQRT((1-C617)*($D$10-$B$10)*($D$10-$C$10))),"PERT",_xlfn.BETA.INV(C617,1+$B$6*($C$10-$B$10)/($D$10-$B$10),1+$B$6*($D$10-$C$10)/($D$10-$B$10),$B$10,$D$10))</f>
        <v>5311.340016704652</v>
      </c>
      <c r="F617" s="88">
        <f t="shared" ca="1" si="28"/>
        <v>0.57330775455859562</v>
      </c>
      <c r="G617" s="89">
        <f t="shared" ca="1" si="29"/>
        <v>1.6489928379177058E-4</v>
      </c>
    </row>
    <row r="618" spans="1:7" x14ac:dyDescent="0.35">
      <c r="A618" s="84">
        <v>603</v>
      </c>
      <c r="B618" s="84">
        <f t="shared" ca="1" si="27"/>
        <v>6.3561581273570256E-2</v>
      </c>
      <c r="C618" s="84">
        <f t="shared" ca="1" si="27"/>
        <v>0.32246741697709014</v>
      </c>
      <c r="D618" s="93" cm="1">
        <f t="array" aca="1" ref="D618" ca="1">_xlfn.SWITCH($B$4,"Normal MLE",EXP(_xlfn.NORM.INV(B618,LN($C$9),$E$9/$C$9)),"Uniforme",$B$9+($D$9-$B$9)*B618,"Triangular",IF(B618&lt;=($C$9-$B$9)/($D$9-$B$9),$B$9+SQRT(B618*($D$9-$B$9)*($C$9-$B$9)),$D$9-SQRT((1-B618)*($D$9-$B$9)*($D$9-$C$9))),"PERT",_xlfn.BETA.INV(B618,1+$B$6*($C$9-$B$9)/($D$9-$B$9),1+$B$6*($D$9-$C$9)/($D$9-$B$9),$B$9,$D$9))</f>
        <v>1.7492876972239484</v>
      </c>
      <c r="E618" s="94" cm="1">
        <f t="array" aca="1" ref="E618" ca="1">_xlfn.SWITCH($B$4,"Normal MLE",EXP(_xlfn.NORM.INV(C618,LN($C$10),$E$10/$C$10)),"Uniforme",$B$10+($D$10-$B$10)*C618,"Triangular",IF(C618&lt;=($C$10-$B$10)/($D$10-$B$10),$B$10+SQRT(C618*($D$10-$B$10)*($C$10-$B$10)),$D$10-SQRT((1-C618)*($D$10-$B$10)*($D$10-$C$10))),"PERT",_xlfn.BETA.INV(C618,1+$B$6*($C$10-$B$10)/($D$10-$B$10),1+$B$6*($D$10-$C$10)/($D$10-$B$10),$B$10,$D$10))</f>
        <v>4991.5832186322996</v>
      </c>
      <c r="F618" s="88">
        <f t="shared" ca="1" si="28"/>
        <v>0.5072137178625874</v>
      </c>
      <c r="G618" s="89">
        <f t="shared" ca="1" si="29"/>
        <v>1.5057354703785811E-4</v>
      </c>
    </row>
    <row r="619" spans="1:7" x14ac:dyDescent="0.35">
      <c r="A619" s="84">
        <v>604</v>
      </c>
      <c r="B619" s="84">
        <f t="shared" ca="1" si="27"/>
        <v>0.81539271001225544</v>
      </c>
      <c r="C619" s="84">
        <f t="shared" ca="1" si="27"/>
        <v>0.66354136641286421</v>
      </c>
      <c r="D619" s="93" cm="1">
        <f t="array" aca="1" ref="D619" ca="1">_xlfn.SWITCH($B$4,"Normal MLE",EXP(_xlfn.NORM.INV(B619,LN($C$9),$E$9/$C$9)),"Uniforme",$B$9+($D$9-$B$9)*B619,"Triangular",IF(B619&lt;=($C$9-$B$9)/($D$9-$B$9),$B$9+SQRT(B619*($D$9-$B$9)*($C$9-$B$9)),$D$9-SQRT((1-B619)*($D$9-$B$9)*($D$9-$C$9))),"PERT",_xlfn.BETA.INV(B619,1+$B$6*($C$9-$B$9)/($D$9-$B$9),1+$B$6*($D$9-$C$9)/($D$9-$B$9),$B$9,$D$9))</f>
        <v>2.0748100832007168</v>
      </c>
      <c r="E619" s="94" cm="1">
        <f t="array" aca="1" ref="E619" ca="1">_xlfn.SWITCH($B$4,"Normal MLE",EXP(_xlfn.NORM.INV(C619,LN($C$10),$E$10/$C$10)),"Uniforme",$B$10+($D$10-$B$10)*C619,"Triangular",IF(C619&lt;=($C$10-$B$10)/($D$10-$B$10),$B$10+SQRT(C619*($D$10-$B$10)*($C$10-$B$10)),$D$10-SQRT((1-C619)*($D$10-$B$10)*($D$10-$C$10))),"PERT",_xlfn.BETA.INV(C619,1+$B$6*($C$10-$B$10)/($D$10-$B$10),1+$B$6*($D$10-$C$10)/($D$10-$B$10),$B$10,$D$10))</f>
        <v>5200.9482111363768</v>
      </c>
      <c r="F619" s="88">
        <f t="shared" ca="1" si="28"/>
        <v>0.55990068831061568</v>
      </c>
      <c r="G619" s="89">
        <f t="shared" ca="1" si="29"/>
        <v>1.6844349678860174E-4</v>
      </c>
    </row>
    <row r="620" spans="1:7" x14ac:dyDescent="0.35">
      <c r="A620" s="84">
        <v>605</v>
      </c>
      <c r="B620" s="84">
        <f t="shared" ca="1" si="27"/>
        <v>0.72622131596637884</v>
      </c>
      <c r="C620" s="84">
        <f t="shared" ca="1" si="27"/>
        <v>0.56256807578297086</v>
      </c>
      <c r="D620" s="93" cm="1">
        <f t="array" aca="1" ref="D620" ca="1">_xlfn.SWITCH($B$4,"Normal MLE",EXP(_xlfn.NORM.INV(B620,LN($C$9),$E$9/$C$9)),"Uniforme",$B$9+($D$9-$B$9)*B620,"Triangular",IF(B620&lt;=($C$9-$B$9)/($D$9-$B$9),$B$9+SQRT(B620*($D$9-$B$9)*($C$9-$B$9)),$D$9-SQRT((1-B620)*($D$9-$B$9)*($D$9-$C$9))),"PERT",_xlfn.BETA.INV(B620,1+$B$6*($C$9-$B$9)/($D$9-$B$9),1+$B$6*($D$9-$C$9)/($D$9-$B$9),$B$9,$D$9))</f>
        <v>2.0319354406633479</v>
      </c>
      <c r="E620" s="94" cm="1">
        <f t="array" aca="1" ref="E620" ca="1">_xlfn.SWITCH($B$4,"Normal MLE",EXP(_xlfn.NORM.INV(C620,LN($C$10),$E$10/$C$10)),"Uniforme",$B$10+($D$10-$B$10)*C620,"Triangular",IF(C620&lt;=($C$10-$B$10)/($D$10-$B$10),$B$10+SQRT(C620*($D$10-$B$10)*($C$10-$B$10)),$D$10-SQRT((1-C620)*($D$10-$B$10)*($D$10-$C$10))),"PERT",_xlfn.BETA.INV(C620,1+$B$6*($C$10-$B$10)/($D$10-$B$10),1+$B$6*($D$10-$C$10)/($D$10-$B$10),$B$10,$D$10))</f>
        <v>5137.2863658003953</v>
      </c>
      <c r="F620" s="88">
        <f t="shared" ca="1" si="28"/>
        <v>0.54802982500466058</v>
      </c>
      <c r="G620" s="89">
        <f t="shared" ca="1" si="29"/>
        <v>1.6743104799709279E-4</v>
      </c>
    </row>
    <row r="621" spans="1:7" x14ac:dyDescent="0.35">
      <c r="A621" s="84">
        <v>606</v>
      </c>
      <c r="B621" s="84">
        <f t="shared" ca="1" si="27"/>
        <v>0.76051791694667203</v>
      </c>
      <c r="C621" s="84">
        <f t="shared" ca="1" si="27"/>
        <v>0.49262325480349844</v>
      </c>
      <c r="D621" s="93" cm="1">
        <f t="array" aca="1" ref="D621" ca="1">_xlfn.SWITCH($B$4,"Normal MLE",EXP(_xlfn.NORM.INV(B621,LN($C$9),$E$9/$C$9)),"Uniforme",$B$9+($D$9-$B$9)*B621,"Triangular",IF(B621&lt;=($C$9-$B$9)/($D$9-$B$9),$B$9+SQRT(B621*($D$9-$B$9)*($C$9-$B$9)),$D$9-SQRT((1-B621)*($D$9-$B$9)*($D$9-$C$9))),"PERT",_xlfn.BETA.INV(B621,1+$B$6*($C$9-$B$9)/($D$9-$B$9),1+$B$6*($D$9-$C$9)/($D$9-$B$9),$B$9,$D$9))</f>
        <v>2.0472380935945447</v>
      </c>
      <c r="E621" s="94" cm="1">
        <f t="array" aca="1" ref="E621" ca="1">_xlfn.SWITCH($B$4,"Normal MLE",EXP(_xlfn.NORM.INV(C621,LN($C$10),$E$10/$C$10)),"Uniforme",$B$10+($D$10-$B$10)*C621,"Triangular",IF(C621&lt;=($C$10-$B$10)/($D$10-$B$10),$B$10+SQRT(C621*($D$10-$B$10)*($C$10-$B$10)),$D$10-SQRT((1-C621)*($D$10-$B$10)*($D$10-$C$10))),"PERT",_xlfn.BETA.INV(C621,1+$B$6*($C$10-$B$10)/($D$10-$B$10),1+$B$6*($D$10-$C$10)/($D$10-$B$10),$B$10,$D$10))</f>
        <v>5095.389494809282</v>
      </c>
      <c r="F621" s="88">
        <f t="shared" ca="1" si="28"/>
        <v>0.54375538871275064</v>
      </c>
      <c r="G621" s="89">
        <f t="shared" ca="1" si="29"/>
        <v>1.6955538961623703E-4</v>
      </c>
    </row>
    <row r="622" spans="1:7" x14ac:dyDescent="0.35">
      <c r="A622" s="84">
        <v>607</v>
      </c>
      <c r="B622" s="84">
        <f t="shared" ca="1" si="27"/>
        <v>0.44336204610136976</v>
      </c>
      <c r="C622" s="84">
        <f t="shared" ca="1" si="27"/>
        <v>0.50684215009907252</v>
      </c>
      <c r="D622" s="93" cm="1">
        <f t="array" aca="1" ref="D622" ca="1">_xlfn.SWITCH($B$4,"Normal MLE",EXP(_xlfn.NORM.INV(B622,LN($C$9),$E$9/$C$9)),"Uniforme",$B$9+($D$9-$B$9)*B622,"Triangular",IF(B622&lt;=($C$9-$B$9)/($D$9-$B$9),$B$9+SQRT(B622*($D$9-$B$9)*($C$9-$B$9)),$D$9-SQRT((1-B622)*($D$9-$B$9)*($D$9-$C$9))),"PERT",_xlfn.BETA.INV(B622,1+$B$6*($C$9-$B$9)/($D$9-$B$9),1+$B$6*($D$9-$C$9)/($D$9-$B$9),$B$9,$D$9))</f>
        <v>1.9282357624339481</v>
      </c>
      <c r="E622" s="94" cm="1">
        <f t="array" aca="1" ref="E622" ca="1">_xlfn.SWITCH($B$4,"Normal MLE",EXP(_xlfn.NORM.INV(C622,LN($C$10),$E$10/$C$10)),"Uniforme",$B$10+($D$10-$B$10)*C622,"Triangular",IF(C622&lt;=($C$10-$B$10)/($D$10-$B$10),$B$10+SQRT(C622*($D$10-$B$10)*($C$10-$B$10)),$D$10-SQRT((1-C622)*($D$10-$B$10)*($D$10-$C$10))),"PERT",_xlfn.BETA.INV(C622,1+$B$6*($C$10-$B$10)/($D$10-$B$10),1+$B$6*($D$10-$C$10)/($D$10-$B$10),$B$10,$D$10))</f>
        <v>5103.8479227227353</v>
      </c>
      <c r="F622" s="88">
        <f t="shared" ca="1" si="28"/>
        <v>0.53523070923877669</v>
      </c>
      <c r="G622" s="89">
        <f t="shared" ca="1" si="29"/>
        <v>1.6127277600171282E-4</v>
      </c>
    </row>
    <row r="623" spans="1:7" x14ac:dyDescent="0.35">
      <c r="A623" s="84">
        <v>608</v>
      </c>
      <c r="B623" s="84">
        <f t="shared" ca="1" si="27"/>
        <v>0.55710418653272842</v>
      </c>
      <c r="C623" s="84">
        <f t="shared" ca="1" si="27"/>
        <v>0.37864661798745514</v>
      </c>
      <c r="D623" s="93" cm="1">
        <f t="array" aca="1" ref="D623" ca="1">_xlfn.SWITCH($B$4,"Normal MLE",EXP(_xlfn.NORM.INV(B623,LN($C$9),$E$9/$C$9)),"Uniforme",$B$9+($D$9-$B$9)*B623,"Triangular",IF(B623&lt;=($C$9-$B$9)/($D$9-$B$9),$B$9+SQRT(B623*($D$9-$B$9)*($C$9-$B$9)),$D$9-SQRT((1-B623)*($D$9-$B$9)*($D$9-$C$9))),"PERT",_xlfn.BETA.INV(B623,1+$B$6*($C$9-$B$9)/($D$9-$B$9),1+$B$6*($D$9-$C$9)/($D$9-$B$9),$B$9,$D$9))</f>
        <v>1.9674754224643911</v>
      </c>
      <c r="E623" s="94" cm="1">
        <f t="array" aca="1" ref="E623" ca="1">_xlfn.SWITCH($B$4,"Normal MLE",EXP(_xlfn.NORM.INV(C623,LN($C$10),$E$10/$C$10)),"Uniforme",$B$10+($D$10-$B$10)*C623,"Triangular",IF(C623&lt;=($C$10-$B$10)/($D$10-$B$10),$B$10+SQRT(C623*($D$10-$B$10)*($C$10-$B$10)),$D$10-SQRT((1-C623)*($D$10-$B$10)*($D$10-$C$10))),"PERT",_xlfn.BETA.INV(C623,1+$B$6*($C$10-$B$10)/($D$10-$B$10),1+$B$6*($D$10-$C$10)/($D$10-$B$10),$B$10,$D$10))</f>
        <v>5026.9617958044228</v>
      </c>
      <c r="F623" s="88">
        <f t="shared" ca="1" si="28"/>
        <v>0.52841321696854593</v>
      </c>
      <c r="G623" s="89">
        <f t="shared" ca="1" si="29"/>
        <v>1.6579053415424592E-4</v>
      </c>
    </row>
    <row r="624" spans="1:7" x14ac:dyDescent="0.35">
      <c r="A624" s="84">
        <v>609</v>
      </c>
      <c r="B624" s="84">
        <f t="shared" ca="1" si="27"/>
        <v>0.65964653436267118</v>
      </c>
      <c r="C624" s="84">
        <f t="shared" ca="1" si="27"/>
        <v>0.90795248188763134</v>
      </c>
      <c r="D624" s="93" cm="1">
        <f t="array" aca="1" ref="D624" ca="1">_xlfn.SWITCH($B$4,"Normal MLE",EXP(_xlfn.NORM.INV(B624,LN($C$9),$E$9/$C$9)),"Uniforme",$B$9+($D$9-$B$9)*B624,"Triangular",IF(B624&lt;=($C$9-$B$9)/($D$9-$B$9),$B$9+SQRT(B624*($D$9-$B$9)*($C$9-$B$9)),$D$9-SQRT((1-B624)*($D$9-$B$9)*($D$9-$C$9))),"PERT",_xlfn.BETA.INV(B624,1+$B$6*($C$9-$B$9)/($D$9-$B$9),1+$B$6*($D$9-$C$9)/($D$9-$B$9),$B$9,$D$9))</f>
        <v>2.0049403065098175</v>
      </c>
      <c r="E624" s="94" cm="1">
        <f t="array" aca="1" ref="E624" ca="1">_xlfn.SWITCH($B$4,"Normal MLE",EXP(_xlfn.NORM.INV(C624,LN($C$10),$E$10/$C$10)),"Uniforme",$B$10+($D$10-$B$10)*C624,"Triangular",IF(C624&lt;=($C$10-$B$10)/($D$10-$B$10),$B$10+SQRT(C624*($D$10-$B$10)*($C$10-$B$10)),$D$10-SQRT((1-C624)*($D$10-$B$10)*($D$10-$C$10))),"PERT",_xlfn.BETA.INV(C624,1+$B$6*($C$10-$B$10)/($D$10-$B$10),1+$B$6*($D$10-$C$10)/($D$10-$B$10),$B$10,$D$10))</f>
        <v>5424.9347147351173</v>
      </c>
      <c r="F624" s="88">
        <f t="shared" ca="1" si="28"/>
        <v>0.58109171988830155</v>
      </c>
      <c r="G624" s="89">
        <f t="shared" ca="1" si="29"/>
        <v>1.5811144941883611E-4</v>
      </c>
    </row>
    <row r="625" spans="1:7" x14ac:dyDescent="0.35">
      <c r="A625" s="84">
        <v>610</v>
      </c>
      <c r="B625" s="84">
        <f t="shared" ca="1" si="27"/>
        <v>0.20973145951239247</v>
      </c>
      <c r="C625" s="84">
        <f t="shared" ca="1" si="27"/>
        <v>0.67733818100051679</v>
      </c>
      <c r="D625" s="93" cm="1">
        <f t="array" aca="1" ref="D625" ca="1">_xlfn.SWITCH($B$4,"Normal MLE",EXP(_xlfn.NORM.INV(B625,LN($C$9),$E$9/$C$9)),"Uniforme",$B$9+($D$9-$B$9)*B625,"Triangular",IF(B625&lt;=($C$9-$B$9)/($D$9-$B$9),$B$9+SQRT(B625*($D$9-$B$9)*($C$9-$B$9)),$D$9-SQRT((1-B625)*($D$9-$B$9)*($D$9-$C$9))),"PERT",_xlfn.BETA.INV(B625,1+$B$6*($C$9-$B$9)/($D$9-$B$9),1+$B$6*($D$9-$C$9)/($D$9-$B$9),$B$9,$D$9))</f>
        <v>1.8400327452862266</v>
      </c>
      <c r="E625" s="94" cm="1">
        <f t="array" aca="1" ref="E625" ca="1">_xlfn.SWITCH($B$4,"Normal MLE",EXP(_xlfn.NORM.INV(C625,LN($C$10),$E$10/$C$10)),"Uniforme",$B$10+($D$10-$B$10)*C625,"Triangular",IF(C625&lt;=($C$10-$B$10)/($D$10-$B$10),$B$10+SQRT(C625*($D$10-$B$10)*($C$10-$B$10)),$D$10-SQRT((1-C625)*($D$10-$B$10)*($D$10-$C$10))),"PERT",_xlfn.BETA.INV(C625,1+$B$6*($C$10-$B$10)/($D$10-$B$10),1+$B$6*($D$10-$C$10)/($D$10-$B$10),$B$10,$D$10))</f>
        <v>5210.182463729413</v>
      </c>
      <c r="F625" s="88">
        <f t="shared" ca="1" si="28"/>
        <v>0.54071583399793943</v>
      </c>
      <c r="G625" s="89">
        <f t="shared" ca="1" si="29"/>
        <v>1.529367569200819E-4</v>
      </c>
    </row>
    <row r="626" spans="1:7" x14ac:dyDescent="0.35">
      <c r="A626" s="84">
        <v>611</v>
      </c>
      <c r="B626" s="84">
        <f t="shared" ca="1" si="27"/>
        <v>0.32364540998981051</v>
      </c>
      <c r="C626" s="84">
        <f t="shared" ca="1" si="27"/>
        <v>0.8566092699728709</v>
      </c>
      <c r="D626" s="93" cm="1">
        <f t="array" aca="1" ref="D626" ca="1">_xlfn.SWITCH($B$4,"Normal MLE",EXP(_xlfn.NORM.INV(B626,LN($C$9),$E$9/$C$9)),"Uniforme",$B$9+($D$9-$B$9)*B626,"Triangular",IF(B626&lt;=($C$9-$B$9)/($D$9-$B$9),$B$9+SQRT(B626*($D$9-$B$9)*($C$9-$B$9)),$D$9-SQRT((1-B626)*($D$9-$B$9)*($D$9-$C$9))),"PERT",_xlfn.BETA.INV(B626,1+$B$6*($C$9-$B$9)/($D$9-$B$9),1+$B$6*($D$9-$C$9)/($D$9-$B$9),$B$9,$D$9))</f>
        <v>1.885923860974186</v>
      </c>
      <c r="E626" s="94" cm="1">
        <f t="array" aca="1" ref="E626" ca="1">_xlfn.SWITCH($B$4,"Normal MLE",EXP(_xlfn.NORM.INV(C626,LN($C$10),$E$10/$C$10)),"Uniforme",$B$10+($D$10-$B$10)*C626,"Triangular",IF(C626&lt;=($C$10-$B$10)/($D$10-$B$10),$B$10+SQRT(C626*($D$10-$B$10)*($C$10-$B$10)),$D$10-SQRT((1-C626)*($D$10-$B$10)*($D$10-$C$10))),"PERT",_xlfn.BETA.INV(C626,1+$B$6*($C$10-$B$10)/($D$10-$B$10),1+$B$6*($D$10-$C$10)/($D$10-$B$10),$B$10,$D$10))</f>
        <v>5358.9355125094462</v>
      </c>
      <c r="F626" s="88">
        <f t="shared" ca="1" si="28"/>
        <v>0.56211991248569093</v>
      </c>
      <c r="G626" s="89">
        <f t="shared" ca="1" si="29"/>
        <v>1.526672347501818E-4</v>
      </c>
    </row>
    <row r="627" spans="1:7" x14ac:dyDescent="0.35">
      <c r="A627" s="84">
        <v>612</v>
      </c>
      <c r="B627" s="84">
        <f t="shared" ca="1" si="27"/>
        <v>0.92332797349758655</v>
      </c>
      <c r="C627" s="84">
        <f t="shared" ca="1" si="27"/>
        <v>6.3493012198791332E-2</v>
      </c>
      <c r="D627" s="93" cm="1">
        <f t="array" aca="1" ref="D627" ca="1">_xlfn.SWITCH($B$4,"Normal MLE",EXP(_xlfn.NORM.INV(B627,LN($C$9),$E$9/$C$9)),"Uniforme",$B$9+($D$9-$B$9)*B627,"Triangular",IF(B627&lt;=($C$9-$B$9)/($D$9-$B$9),$B$9+SQRT(B627*($D$9-$B$9)*($C$9-$B$9)),$D$9-SQRT((1-B627)*($D$9-$B$9)*($D$9-$C$9))),"PERT",_xlfn.BETA.INV(B627,1+$B$6*($C$9-$B$9)/($D$9-$B$9),1+$B$6*($D$9-$C$9)/($D$9-$B$9),$B$9,$D$9))</f>
        <v>2.1536907786364066</v>
      </c>
      <c r="E627" s="94" cm="1">
        <f t="array" aca="1" ref="E627" ca="1">_xlfn.SWITCH($B$4,"Normal MLE",EXP(_xlfn.NORM.INV(C627,LN($C$10),$E$10/$C$10)),"Uniforme",$B$10+($D$10-$B$10)*C627,"Triangular",IF(C627&lt;=($C$10-$B$10)/($D$10-$B$10),$B$10+SQRT(C627*($D$10-$B$10)*($C$10-$B$10)),$D$10-SQRT((1-C627)*($D$10-$B$10)*($D$10-$C$10))),"PERT",_xlfn.BETA.INV(C627,1+$B$6*($C$10-$B$10)/($D$10-$B$10),1+$B$6*($D$10-$C$10)/($D$10-$B$10),$B$10,$D$10))</f>
        <v>4750.171960702869</v>
      </c>
      <c r="F627" s="88">
        <f t="shared" ca="1" si="28"/>
        <v>0.50127375511616612</v>
      </c>
      <c r="G627" s="89">
        <f t="shared" ca="1" si="29"/>
        <v>1.8639176816200094E-4</v>
      </c>
    </row>
    <row r="628" spans="1:7" x14ac:dyDescent="0.35">
      <c r="A628" s="84">
        <v>613</v>
      </c>
      <c r="B628" s="84">
        <f t="shared" ca="1" si="27"/>
        <v>0.13433917941303364</v>
      </c>
      <c r="C628" s="84">
        <f t="shared" ca="1" si="27"/>
        <v>0.81901364042705727</v>
      </c>
      <c r="D628" s="93" cm="1">
        <f t="array" aca="1" ref="D628" ca="1">_xlfn.SWITCH($B$4,"Normal MLE",EXP(_xlfn.NORM.INV(B628,LN($C$9),$E$9/$C$9)),"Uniforme",$B$9+($D$9-$B$9)*B628,"Triangular",IF(B628&lt;=($C$9-$B$9)/($D$9-$B$9),$B$9+SQRT(B628*($D$9-$B$9)*($C$9-$B$9)),$D$9-SQRT((1-B628)*($D$9-$B$9)*($D$9-$C$9))),"PERT",_xlfn.BETA.INV(B628,1+$B$6*($C$9-$B$9)/($D$9-$B$9),1+$B$6*($D$9-$C$9)/($D$9-$B$9),$B$9,$D$9))</f>
        <v>1.8017258182368121</v>
      </c>
      <c r="E628" s="94" cm="1">
        <f t="array" aca="1" ref="E628" ca="1">_xlfn.SWITCH($B$4,"Normal MLE",EXP(_xlfn.NORM.INV(C628,LN($C$10),$E$10/$C$10)),"Uniforme",$B$10+($D$10-$B$10)*C628,"Triangular",IF(C628&lt;=($C$10-$B$10)/($D$10-$B$10),$B$10+SQRT(C628*($D$10-$B$10)*($C$10-$B$10)),$D$10-SQRT((1-C628)*($D$10-$B$10)*($D$10-$C$10))),"PERT",_xlfn.BETA.INV(C628,1+$B$6*($C$10-$B$10)/($D$10-$B$10),1+$B$6*($D$10-$C$10)/($D$10-$B$10),$B$10,$D$10))</f>
        <v>5320.769115781457</v>
      </c>
      <c r="F628" s="88">
        <f t="shared" ca="1" si="28"/>
        <v>0.54988082541051841</v>
      </c>
      <c r="G628" s="89">
        <f t="shared" ca="1" si="29"/>
        <v>1.4812810669891655E-4</v>
      </c>
    </row>
    <row r="629" spans="1:7" x14ac:dyDescent="0.35">
      <c r="A629" s="84">
        <v>614</v>
      </c>
      <c r="B629" s="84">
        <f t="shared" ca="1" si="27"/>
        <v>0.40852076689457639</v>
      </c>
      <c r="C629" s="84">
        <f t="shared" ca="1" si="27"/>
        <v>0.12029179964442249</v>
      </c>
      <c r="D629" s="93" cm="1">
        <f t="array" aca="1" ref="D629" ca="1">_xlfn.SWITCH($B$4,"Normal MLE",EXP(_xlfn.NORM.INV(B629,LN($C$9),$E$9/$C$9)),"Uniforme",$B$9+($D$9-$B$9)*B629,"Triangular",IF(B629&lt;=($C$9-$B$9)/($D$9-$B$9),$B$9+SQRT(B629*($D$9-$B$9)*($C$9-$B$9)),$D$9-SQRT((1-B629)*($D$9-$B$9)*($D$9-$C$9))),"PERT",_xlfn.BETA.INV(B629,1+$B$6*($C$9-$B$9)/($D$9-$B$9),1+$B$6*($D$9-$C$9)/($D$9-$B$9),$B$9,$D$9))</f>
        <v>1.9162019944774609</v>
      </c>
      <c r="E629" s="94" cm="1">
        <f t="array" aca="1" ref="E629" ca="1">_xlfn.SWITCH($B$4,"Normal MLE",EXP(_xlfn.NORM.INV(C629,LN($C$10),$E$10/$C$10)),"Uniforme",$B$10+($D$10-$B$10)*C629,"Triangular",IF(C629&lt;=($C$10-$B$10)/($D$10-$B$10),$B$10+SQRT(C629*($D$10-$B$10)*($C$10-$B$10)),$D$10-SQRT((1-C629)*($D$10-$B$10)*($D$10-$C$10))),"PERT",_xlfn.BETA.INV(C629,1+$B$6*($C$10-$B$10)/($D$10-$B$10),1+$B$6*($D$10-$C$10)/($D$10-$B$10),$B$10,$D$10))</f>
        <v>4828.7481385454339</v>
      </c>
      <c r="F629" s="88">
        <f t="shared" ca="1" si="28"/>
        <v>0.49802082617224164</v>
      </c>
      <c r="G629" s="89">
        <f t="shared" ca="1" si="29"/>
        <v>1.6631530683516648E-4</v>
      </c>
    </row>
    <row r="630" spans="1:7" x14ac:dyDescent="0.35">
      <c r="A630" s="84">
        <v>615</v>
      </c>
      <c r="B630" s="84">
        <f t="shared" ca="1" si="27"/>
        <v>0.84458001552242612</v>
      </c>
      <c r="C630" s="84">
        <f t="shared" ca="1" si="27"/>
        <v>0.57766136316804639</v>
      </c>
      <c r="D630" s="93" cm="1">
        <f t="array" aca="1" ref="D630" ca="1">_xlfn.SWITCH($B$4,"Normal MLE",EXP(_xlfn.NORM.INV(B630,LN($C$9),$E$9/$C$9)),"Uniforme",$B$9+($D$9-$B$9)*B630,"Triangular",IF(B630&lt;=($C$9-$B$9)/($D$9-$B$9),$B$9+SQRT(B630*($D$9-$B$9)*($C$9-$B$9)),$D$9-SQRT((1-B630)*($D$9-$B$9)*($D$9-$C$9))),"PERT",_xlfn.BETA.INV(B630,1+$B$6*($C$9-$B$9)/($D$9-$B$9),1+$B$6*($D$9-$C$9)/($D$9-$B$9),$B$9,$D$9))</f>
        <v>2.091756550294011</v>
      </c>
      <c r="E630" s="94" cm="1">
        <f t="array" aca="1" ref="E630" ca="1">_xlfn.SWITCH($B$4,"Normal MLE",EXP(_xlfn.NORM.INV(C630,LN($C$10),$E$10/$C$10)),"Uniforme",$B$10+($D$10-$B$10)*C630,"Triangular",IF(C630&lt;=($C$10-$B$10)/($D$10-$B$10),$B$10+SQRT(C630*($D$10-$B$10)*($C$10-$B$10)),$D$10-SQRT((1-C630)*($D$10-$B$10)*($D$10-$C$10))),"PERT",_xlfn.BETA.INV(C630,1+$B$6*($C$10-$B$10)/($D$10-$B$10),1+$B$6*($D$10-$C$10)/($D$10-$B$10),$B$10,$D$10))</f>
        <v>5146.4818558926181</v>
      </c>
      <c r="F630" s="88">
        <f t="shared" ca="1" si="28"/>
        <v>0.5541734310882579</v>
      </c>
      <c r="G630" s="89">
        <f t="shared" ca="1" si="29"/>
        <v>1.7106184083721785E-4</v>
      </c>
    </row>
    <row r="631" spans="1:7" x14ac:dyDescent="0.35">
      <c r="A631" s="84">
        <v>616</v>
      </c>
      <c r="B631" s="84">
        <f t="shared" ca="1" si="27"/>
        <v>0.9822021114009909</v>
      </c>
      <c r="C631" s="84">
        <f t="shared" ca="1" si="27"/>
        <v>0.53648261539551034</v>
      </c>
      <c r="D631" s="93" cm="1">
        <f t="array" aca="1" ref="D631" ca="1">_xlfn.SWITCH($B$4,"Normal MLE",EXP(_xlfn.NORM.INV(B631,LN($C$9),$E$9/$C$9)),"Uniforme",$B$9+($D$9-$B$9)*B631,"Triangular",IF(B631&lt;=($C$9-$B$9)/($D$9-$B$9),$B$9+SQRT(B631*($D$9-$B$9)*($C$9-$B$9)),$D$9-SQRT((1-B631)*($D$9-$B$9)*($D$9-$C$9))),"PERT",_xlfn.BETA.INV(B631,1+$B$6*($C$9-$B$9)/($D$9-$B$9),1+$B$6*($D$9-$C$9)/($D$9-$B$9),$B$9,$D$9))</f>
        <v>2.2583271879728701</v>
      </c>
      <c r="E631" s="94" cm="1">
        <f t="array" aca="1" ref="E631" ca="1">_xlfn.SWITCH($B$4,"Normal MLE",EXP(_xlfn.NORM.INV(C631,LN($C$10),$E$10/$C$10)),"Uniforme",$B$10+($D$10-$B$10)*C631,"Triangular",IF(C631&lt;=($C$10-$B$10)/($D$10-$B$10),$B$10+SQRT(C631*($D$10-$B$10)*($C$10-$B$10)),$D$10-SQRT((1-C631)*($D$10-$B$10)*($D$10-$C$10))),"PERT",_xlfn.BETA.INV(C631,1+$B$6*($C$10-$B$10)/($D$10-$B$10),1+$B$6*($D$10-$C$10)/($D$10-$B$10),$B$10,$D$10))</f>
        <v>5121.5547111749411</v>
      </c>
      <c r="F631" s="88">
        <f t="shared" ca="1" si="28"/>
        <v>0.56425351748003949</v>
      </c>
      <c r="G631" s="89">
        <f t="shared" ca="1" si="29"/>
        <v>1.823006363889898E-4</v>
      </c>
    </row>
    <row r="632" spans="1:7" x14ac:dyDescent="0.35">
      <c r="A632" s="84">
        <v>617</v>
      </c>
      <c r="B632" s="84">
        <f t="shared" ca="1" si="27"/>
        <v>9.6623741953758002E-2</v>
      </c>
      <c r="C632" s="84">
        <f t="shared" ca="1" si="27"/>
        <v>0.67937077262287682</v>
      </c>
      <c r="D632" s="93" cm="1">
        <f t="array" aca="1" ref="D632" ca="1">_xlfn.SWITCH($B$4,"Normal MLE",EXP(_xlfn.NORM.INV(B632,LN($C$9),$E$9/$C$9)),"Uniforme",$B$9+($D$9-$B$9)*B632,"Triangular",IF(B632&lt;=($C$9-$B$9)/($D$9-$B$9),$B$9+SQRT(B632*($D$9-$B$9)*($C$9-$B$9)),$D$9-SQRT((1-B632)*($D$9-$B$9)*($D$9-$C$9))),"PERT",_xlfn.BETA.INV(B632,1+$B$6*($C$9-$B$9)/($D$9-$B$9),1+$B$6*($D$9-$C$9)/($D$9-$B$9),$B$9,$D$9))</f>
        <v>1.7771638923372908</v>
      </c>
      <c r="E632" s="94" cm="1">
        <f t="array" aca="1" ref="E632" ca="1">_xlfn.SWITCH($B$4,"Normal MLE",EXP(_xlfn.NORM.INV(C632,LN($C$10),$E$10/$C$10)),"Uniforme",$B$10+($D$10-$B$10)*C632,"Triangular",IF(C632&lt;=($C$10-$B$10)/($D$10-$B$10),$B$10+SQRT(C632*($D$10-$B$10)*($C$10-$B$10)),$D$10-SQRT((1-C632)*($D$10-$B$10)*($D$10-$C$10))),"PERT",_xlfn.BETA.INV(C632,1+$B$6*($C$10-$B$10)/($D$10-$B$10),1+$B$6*($D$10-$C$10)/($D$10-$B$10),$B$10,$D$10))</f>
        <v>5211.5577544722591</v>
      </c>
      <c r="F632" s="88">
        <f t="shared" ca="1" si="28"/>
        <v>0.53533043763094956</v>
      </c>
      <c r="G632" s="89">
        <f t="shared" ca="1" si="29"/>
        <v>1.486208885585815E-4</v>
      </c>
    </row>
    <row r="633" spans="1:7" x14ac:dyDescent="0.35">
      <c r="A633" s="84">
        <v>618</v>
      </c>
      <c r="B633" s="84">
        <f t="shared" ca="1" si="27"/>
        <v>0.8994740975400799</v>
      </c>
      <c r="C633" s="84">
        <f t="shared" ca="1" si="27"/>
        <v>0.56335995973493502</v>
      </c>
      <c r="D633" s="93" cm="1">
        <f t="array" aca="1" ref="D633" ca="1">_xlfn.SWITCH($B$4,"Normal MLE",EXP(_xlfn.NORM.INV(B633,LN($C$9),$E$9/$C$9)),"Uniforme",$B$9+($D$9-$B$9)*B633,"Triangular",IF(B633&lt;=($C$9-$B$9)/($D$9-$B$9),$B$9+SQRT(B633*($D$9-$B$9)*($C$9-$B$9)),$D$9-SQRT((1-B633)*($D$9-$B$9)*($D$9-$C$9))),"PERT",_xlfn.BETA.INV(B633,1+$B$6*($C$9-$B$9)/($D$9-$B$9),1+$B$6*($D$9-$C$9)/($D$9-$B$9),$B$9,$D$9))</f>
        <v>2.1311725920390709</v>
      </c>
      <c r="E633" s="94" cm="1">
        <f t="array" aca="1" ref="E633" ca="1">_xlfn.SWITCH($B$4,"Normal MLE",EXP(_xlfn.NORM.INV(C633,LN($C$10),$E$10/$C$10)),"Uniforme",$B$10+($D$10-$B$10)*C633,"Triangular",IF(C633&lt;=($C$10-$B$10)/($D$10-$B$10),$B$10+SQRT(C633*($D$10-$B$10)*($C$10-$B$10)),$D$10-SQRT((1-C633)*($D$10-$B$10)*($D$10-$C$10))),"PERT",_xlfn.BETA.INV(C633,1+$B$6*($C$10-$B$10)/($D$10-$B$10),1+$B$6*($D$10-$C$10)/($D$10-$B$10),$B$10,$D$10))</f>
        <v>5137.7669098864899</v>
      </c>
      <c r="F633" s="88">
        <f t="shared" ca="1" si="28"/>
        <v>0.55623866047713044</v>
      </c>
      <c r="G633" s="89">
        <f t="shared" ca="1" si="29"/>
        <v>1.7383236510513133E-4</v>
      </c>
    </row>
    <row r="634" spans="1:7" x14ac:dyDescent="0.35">
      <c r="A634" s="84">
        <v>619</v>
      </c>
      <c r="B634" s="84">
        <f t="shared" ca="1" si="27"/>
        <v>0.7369155106627624</v>
      </c>
      <c r="C634" s="84">
        <f t="shared" ca="1" si="27"/>
        <v>0.20672454162439668</v>
      </c>
      <c r="D634" s="93" cm="1">
        <f t="array" aca="1" ref="D634" ca="1">_xlfn.SWITCH($B$4,"Normal MLE",EXP(_xlfn.NORM.INV(B634,LN($C$9),$E$9/$C$9)),"Uniforme",$B$9+($D$9-$B$9)*B634,"Triangular",IF(B634&lt;=($C$9-$B$9)/($D$9-$B$9),$B$9+SQRT(B634*($D$9-$B$9)*($C$9-$B$9)),$D$9-SQRT((1-B634)*($D$9-$B$9)*($D$9-$C$9))),"PERT",_xlfn.BETA.INV(B634,1+$B$6*($C$9-$B$9)/($D$9-$B$9),1+$B$6*($D$9-$C$9)/($D$9-$B$9),$B$9,$D$9))</f>
        <v>2.0365825944095604</v>
      </c>
      <c r="E634" s="94" cm="1">
        <f t="array" aca="1" ref="E634" ca="1">_xlfn.SWITCH($B$4,"Normal MLE",EXP(_xlfn.NORM.INV(C634,LN($C$10),$E$10/$C$10)),"Uniforme",$B$10+($D$10-$B$10)*C634,"Triangular",IF(C634&lt;=($C$10-$B$10)/($D$10-$B$10),$B$10+SQRT(C634*($D$10-$B$10)*($C$10-$B$10)),$D$10-SQRT((1-C634)*($D$10-$B$10)*($D$10-$C$10))),"PERT",_xlfn.BETA.INV(C634,1+$B$6*($C$10-$B$10)/($D$10-$B$10),1+$B$6*($D$10-$C$10)/($D$10-$B$10),$B$10,$D$10))</f>
        <v>4909.3377077828409</v>
      </c>
      <c r="F634" s="88">
        <f t="shared" ca="1" si="28"/>
        <v>0.51742005399602009</v>
      </c>
      <c r="G634" s="89">
        <f t="shared" ca="1" si="29"/>
        <v>1.7358211122215798E-4</v>
      </c>
    </row>
    <row r="635" spans="1:7" x14ac:dyDescent="0.35">
      <c r="A635" s="84">
        <v>620</v>
      </c>
      <c r="B635" s="84">
        <f t="shared" ca="1" si="27"/>
        <v>0.29594530658317719</v>
      </c>
      <c r="C635" s="84">
        <f t="shared" ca="1" si="27"/>
        <v>0.9402630532623214</v>
      </c>
      <c r="D635" s="93" cm="1">
        <f t="array" aca="1" ref="D635" ca="1">_xlfn.SWITCH($B$4,"Normal MLE",EXP(_xlfn.NORM.INV(B635,LN($C$9),$E$9/$C$9)),"Uniforme",$B$9+($D$9-$B$9)*B635,"Triangular",IF(B635&lt;=($C$9-$B$9)/($D$9-$B$9),$B$9+SQRT(B635*($D$9-$B$9)*($C$9-$B$9)),$D$9-SQRT((1-B635)*($D$9-$B$9)*($D$9-$C$9))),"PERT",_xlfn.BETA.INV(B635,1+$B$6*($C$9-$B$9)/($D$9-$B$9),1+$B$6*($D$9-$C$9)/($D$9-$B$9),$B$9,$D$9))</f>
        <v>1.8755182250059608</v>
      </c>
      <c r="E635" s="94" cm="1">
        <f t="array" aca="1" ref="E635" ca="1">_xlfn.SWITCH($B$4,"Normal MLE",EXP(_xlfn.NORM.INV(C635,LN($C$10),$E$10/$C$10)),"Uniforme",$B$10+($D$10-$B$10)*C635,"Triangular",IF(C635&lt;=($C$10-$B$10)/($D$10-$B$10),$B$10+SQRT(C635*($D$10-$B$10)*($C$10-$B$10)),$D$10-SQRT((1-C635)*($D$10-$B$10)*($D$10-$C$10))),"PERT",_xlfn.BETA.INV(C635,1+$B$6*($C$10-$B$10)/($D$10-$B$10),1+$B$6*($D$10-$C$10)/($D$10-$B$10),$B$10,$D$10))</f>
        <v>5482.9860279805025</v>
      </c>
      <c r="F635" s="88">
        <f t="shared" ca="1" si="28"/>
        <v>0.57492174372757887</v>
      </c>
      <c r="G635" s="89">
        <f t="shared" ca="1" si="29"/>
        <v>1.4921222436087818E-4</v>
      </c>
    </row>
    <row r="636" spans="1:7" x14ac:dyDescent="0.35">
      <c r="A636" s="84">
        <v>621</v>
      </c>
      <c r="B636" s="84">
        <f t="shared" ca="1" si="27"/>
        <v>0.38616689888277067</v>
      </c>
      <c r="C636" s="84">
        <f t="shared" ca="1" si="27"/>
        <v>0.35033708173463862</v>
      </c>
      <c r="D636" s="93" cm="1">
        <f t="array" aca="1" ref="D636" ca="1">_xlfn.SWITCH($B$4,"Normal MLE",EXP(_xlfn.NORM.INV(B636,LN($C$9),$E$9/$C$9)),"Uniforme",$B$9+($D$9-$B$9)*B636,"Triangular",IF(B636&lt;=($C$9-$B$9)/($D$9-$B$9),$B$9+SQRT(B636*($D$9-$B$9)*($C$9-$B$9)),$D$9-SQRT((1-B636)*($D$9-$B$9)*($D$9-$C$9))),"PERT",_xlfn.BETA.INV(B636,1+$B$6*($C$9-$B$9)/($D$9-$B$9),1+$B$6*($D$9-$C$9)/($D$9-$B$9),$B$9,$D$9))</f>
        <v>1.9083953479496882</v>
      </c>
      <c r="E636" s="94" cm="1">
        <f t="array" aca="1" ref="E636" ca="1">_xlfn.SWITCH($B$4,"Normal MLE",EXP(_xlfn.NORM.INV(C636,LN($C$10),$E$10/$C$10)),"Uniforme",$B$10+($D$10-$B$10)*C636,"Triangular",IF(C636&lt;=($C$10-$B$10)/($D$10-$B$10),$B$10+SQRT(C636*($D$10-$B$10)*($C$10-$B$10)),$D$10-SQRT((1-C636)*($D$10-$B$10)*($D$10-$C$10))),"PERT",_xlfn.BETA.INV(C636,1+$B$6*($C$10-$B$10)/($D$10-$B$10),1+$B$6*($D$10-$C$10)/($D$10-$B$10),$B$10,$D$10))</f>
        <v>5009.3608762160584</v>
      </c>
      <c r="F636" s="88">
        <f t="shared" ca="1" si="28"/>
        <v>0.52158170342207133</v>
      </c>
      <c r="G636" s="89">
        <f t="shared" ca="1" si="29"/>
        <v>1.6197122607303945E-4</v>
      </c>
    </row>
    <row r="637" spans="1:7" x14ac:dyDescent="0.35">
      <c r="A637" s="84">
        <v>622</v>
      </c>
      <c r="B637" s="84">
        <f t="shared" ca="1" si="27"/>
        <v>0.58858261675046619</v>
      </c>
      <c r="C637" s="84">
        <f t="shared" ca="1" si="27"/>
        <v>0.96280429061131356</v>
      </c>
      <c r="D637" s="93" cm="1">
        <f t="array" aca="1" ref="D637" ca="1">_xlfn.SWITCH($B$4,"Normal MLE",EXP(_xlfn.NORM.INV(B637,LN($C$9),$E$9/$C$9)),"Uniforme",$B$9+($D$9-$B$9)*B637,"Triangular",IF(B637&lt;=($C$9-$B$9)/($D$9-$B$9),$B$9+SQRT(B637*($D$9-$B$9)*($C$9-$B$9)),$D$9-SQRT((1-B637)*($D$9-$B$9)*($D$9-$C$9))),"PERT",_xlfn.BETA.INV(B637,1+$B$6*($C$9-$B$9)/($D$9-$B$9),1+$B$6*($D$9-$C$9)/($D$9-$B$9),$B$9,$D$9))</f>
        <v>1.9786280908653284</v>
      </c>
      <c r="E637" s="94" cm="1">
        <f t="array" aca="1" ref="E637" ca="1">_xlfn.SWITCH($B$4,"Normal MLE",EXP(_xlfn.NORM.INV(C637,LN($C$10),$E$10/$C$10)),"Uniforme",$B$10+($D$10-$B$10)*C637,"Triangular",IF(C637&lt;=($C$10-$B$10)/($D$10-$B$10),$B$10+SQRT(C637*($D$10-$B$10)*($C$10-$B$10)),$D$10-SQRT((1-C637)*($D$10-$B$10)*($D$10-$C$10))),"PERT",_xlfn.BETA.INV(C637,1+$B$6*($C$10-$B$10)/($D$10-$B$10),1+$B$6*($D$10-$C$10)/($D$10-$B$10),$B$10,$D$10))</f>
        <v>5541.2662415938375</v>
      </c>
      <c r="F637" s="88">
        <f t="shared" ca="1" si="28"/>
        <v>0.59172137822968962</v>
      </c>
      <c r="G637" s="89">
        <f t="shared" ca="1" si="29"/>
        <v>1.5358491455205636E-4</v>
      </c>
    </row>
    <row r="638" spans="1:7" x14ac:dyDescent="0.35">
      <c r="A638" s="84">
        <v>623</v>
      </c>
      <c r="B638" s="84">
        <f t="shared" ca="1" si="27"/>
        <v>0.16084733468689838</v>
      </c>
      <c r="C638" s="84">
        <f t="shared" ca="1" si="27"/>
        <v>0.81867543851037983</v>
      </c>
      <c r="D638" s="93" cm="1">
        <f t="array" aca="1" ref="D638" ca="1">_xlfn.SWITCH($B$4,"Normal MLE",EXP(_xlfn.NORM.INV(B638,LN($C$9),$E$9/$C$9)),"Uniforme",$B$9+($D$9-$B$9)*B638,"Triangular",IF(B638&lt;=($C$9-$B$9)/($D$9-$B$9),$B$9+SQRT(B638*($D$9-$B$9)*($C$9-$B$9)),$D$9-SQRT((1-B638)*($D$9-$B$9)*($D$9-$C$9))),"PERT",_xlfn.BETA.INV(B638,1+$B$6*($C$9-$B$9)/($D$9-$B$9),1+$B$6*($D$9-$C$9)/($D$9-$B$9),$B$9,$D$9))</f>
        <v>1.8163924794355706</v>
      </c>
      <c r="E638" s="94" cm="1">
        <f t="array" aca="1" ref="E638" ca="1">_xlfn.SWITCH($B$4,"Normal MLE",EXP(_xlfn.NORM.INV(C638,LN($C$10),$E$10/$C$10)),"Uniforme",$B$10+($D$10-$B$10)*C638,"Triangular",IF(C638&lt;=($C$10-$B$10)/($D$10-$B$10),$B$10+SQRT(C638*($D$10-$B$10)*($C$10-$B$10)),$D$10-SQRT((1-C638)*($D$10-$B$10)*($D$10-$C$10))),"PERT",_xlfn.BETA.INV(C638,1+$B$6*($C$10-$B$10)/($D$10-$B$10),1+$B$6*($D$10-$C$10)/($D$10-$B$10),$B$10,$D$10))</f>
        <v>5320.4512790609569</v>
      </c>
      <c r="F638" s="88">
        <f t="shared" ca="1" si="28"/>
        <v>0.55122023002678</v>
      </c>
      <c r="G638" s="89">
        <f t="shared" ca="1" si="29"/>
        <v>1.4908870750890421E-4</v>
      </c>
    </row>
    <row r="639" spans="1:7" x14ac:dyDescent="0.35">
      <c r="A639" s="84">
        <v>624</v>
      </c>
      <c r="B639" s="84">
        <f t="shared" ca="1" si="27"/>
        <v>0.34047883319695038</v>
      </c>
      <c r="C639" s="84">
        <f t="shared" ca="1" si="27"/>
        <v>7.4016173106741245E-3</v>
      </c>
      <c r="D639" s="93" cm="1">
        <f t="array" aca="1" ref="D639" ca="1">_xlfn.SWITCH($B$4,"Normal MLE",EXP(_xlfn.NORM.INV(B639,LN($C$9),$E$9/$C$9)),"Uniforme",$B$9+($D$9-$B$9)*B639,"Triangular",IF(B639&lt;=($C$9-$B$9)/($D$9-$B$9),$B$9+SQRT(B639*($D$9-$B$9)*($C$9-$B$9)),$D$9-SQRT((1-B639)*($D$9-$B$9)*($D$9-$C$9))),"PERT",_xlfn.BETA.INV(B639,1+$B$6*($C$9-$B$9)/($D$9-$B$9),1+$B$6*($D$9-$C$9)/($D$9-$B$9),$B$9,$D$9))</f>
        <v>1.8920924496621625</v>
      </c>
      <c r="E639" s="94" cm="1">
        <f t="array" aca="1" ref="E639" ca="1">_xlfn.SWITCH($B$4,"Normal MLE",EXP(_xlfn.NORM.INV(C639,LN($C$10),$E$10/$C$10)),"Uniforme",$B$10+($D$10-$B$10)*C639,"Triangular",IF(C639&lt;=($C$10-$B$10)/($D$10-$B$10),$B$10+SQRT(C639*($D$10-$B$10)*($C$10-$B$10)),$D$10-SQRT((1-C639)*($D$10-$B$10)*($D$10-$C$10))),"PERT",_xlfn.BETA.INV(C639,1+$B$6*($C$10-$B$10)/($D$10-$B$10),1+$B$6*($D$10-$C$10)/($D$10-$B$10),$B$10,$D$10))</f>
        <v>4552.9947567325644</v>
      </c>
      <c r="F639" s="88">
        <f t="shared" ca="1" si="28"/>
        <v>0.45717100403634819</v>
      </c>
      <c r="G639" s="89">
        <f t="shared" ca="1" si="29"/>
        <v>1.6926031129910386E-4</v>
      </c>
    </row>
    <row r="640" spans="1:7" x14ac:dyDescent="0.35">
      <c r="A640" s="84">
        <v>625</v>
      </c>
      <c r="B640" s="84">
        <f t="shared" ca="1" si="27"/>
        <v>0.1887855784920921</v>
      </c>
      <c r="C640" s="84">
        <f t="shared" ca="1" si="27"/>
        <v>2.6619735899032992E-2</v>
      </c>
      <c r="D640" s="93" cm="1">
        <f t="array" aca="1" ref="D640" ca="1">_xlfn.SWITCH($B$4,"Normal MLE",EXP(_xlfn.NORM.INV(B640,LN($C$9),$E$9/$C$9)),"Uniforme",$B$9+($D$9-$B$9)*B640,"Triangular",IF(B640&lt;=($C$9-$B$9)/($D$9-$B$9),$B$9+SQRT(B640*($D$9-$B$9)*($C$9-$B$9)),$D$9-SQRT((1-B640)*($D$9-$B$9)*($D$9-$C$9))),"PERT",_xlfn.BETA.INV(B640,1+$B$6*($C$9-$B$9)/($D$9-$B$9),1+$B$6*($D$9-$C$9)/($D$9-$B$9),$B$9,$D$9))</f>
        <v>1.830336825705619</v>
      </c>
      <c r="E640" s="94" cm="1">
        <f t="array" aca="1" ref="E640" ca="1">_xlfn.SWITCH($B$4,"Normal MLE",EXP(_xlfn.NORM.INV(C640,LN($C$10),$E$10/$C$10)),"Uniforme",$B$10+($D$10-$B$10)*C640,"Triangular",IF(C640&lt;=($C$10-$B$10)/($D$10-$B$10),$B$10+SQRT(C640*($D$10-$B$10)*($C$10-$B$10)),$D$10-SQRT((1-C640)*($D$10-$B$10)*($D$10-$C$10))),"PERT",_xlfn.BETA.INV(C640,1+$B$6*($C$10-$B$10)/($D$10-$B$10),1+$B$6*($D$10-$C$10)/($D$10-$B$10),$B$10,$D$10))</f>
        <v>4661.0793983457916</v>
      </c>
      <c r="F640" s="88">
        <f t="shared" ca="1" si="28"/>
        <v>0.46962639906447667</v>
      </c>
      <c r="G640" s="89">
        <f t="shared" ca="1" si="29"/>
        <v>1.6242042460694699E-4</v>
      </c>
    </row>
    <row r="641" spans="1:7" x14ac:dyDescent="0.35">
      <c r="A641" s="84">
        <v>626</v>
      </c>
      <c r="B641" s="84">
        <f t="shared" ca="1" si="27"/>
        <v>0.57866830650957513</v>
      </c>
      <c r="C641" s="84">
        <f t="shared" ca="1" si="27"/>
        <v>0.51351618544328548</v>
      </c>
      <c r="D641" s="93" cm="1">
        <f t="array" aca="1" ref="D641" ca="1">_xlfn.SWITCH($B$4,"Normal MLE",EXP(_xlfn.NORM.INV(B641,LN($C$9),$E$9/$C$9)),"Uniforme",$B$9+($D$9-$B$9)*B641,"Triangular",IF(B641&lt;=($C$9-$B$9)/($D$9-$B$9),$B$9+SQRT(B641*($D$9-$B$9)*($C$9-$B$9)),$D$9-SQRT((1-B641)*($D$9-$B$9)*($D$9-$C$9))),"PERT",_xlfn.BETA.INV(B641,1+$B$6*($C$9-$B$9)/($D$9-$B$9),1+$B$6*($D$9-$C$9)/($D$9-$B$9),$B$9,$D$9))</f>
        <v>1.9750904199234913</v>
      </c>
      <c r="E641" s="94" cm="1">
        <f t="array" aca="1" ref="E641" ca="1">_xlfn.SWITCH($B$4,"Normal MLE",EXP(_xlfn.NORM.INV(C641,LN($C$10),$E$10/$C$10)),"Uniforme",$B$10+($D$10-$B$10)*C641,"Triangular",IF(C641&lt;=($C$10-$B$10)/($D$10-$B$10),$B$10+SQRT(C641*($D$10-$B$10)*($C$10-$B$10)),$D$10-SQRT((1-C641)*($D$10-$B$10)*($D$10-$C$10))),"PERT",_xlfn.BETA.INV(C641,1+$B$6*($C$10-$B$10)/($D$10-$B$10),1+$B$6*($D$10-$C$10)/($D$10-$B$10),$B$10,$D$10))</f>
        <v>5107.8240925107611</v>
      </c>
      <c r="F641" s="88">
        <f t="shared" ca="1" si="28"/>
        <v>0.53955475158946065</v>
      </c>
      <c r="G641" s="89">
        <f t="shared" ca="1" si="29"/>
        <v>1.6438244239493034E-4</v>
      </c>
    </row>
    <row r="642" spans="1:7" x14ac:dyDescent="0.35">
      <c r="A642" s="84">
        <v>627</v>
      </c>
      <c r="B642" s="84">
        <f t="shared" ca="1" si="27"/>
        <v>0.17412029717679889</v>
      </c>
      <c r="C642" s="84">
        <f t="shared" ca="1" si="27"/>
        <v>0.72674979390607775</v>
      </c>
      <c r="D642" s="93" cm="1">
        <f t="array" aca="1" ref="D642" ca="1">_xlfn.SWITCH($B$4,"Normal MLE",EXP(_xlfn.NORM.INV(B642,LN($C$9),$E$9/$C$9)),"Uniforme",$B$9+($D$9-$B$9)*B642,"Triangular",IF(B642&lt;=($C$9-$B$9)/($D$9-$B$9),$B$9+SQRT(B642*($D$9-$B$9)*($C$9-$B$9)),$D$9-SQRT((1-B642)*($D$9-$B$9)*($D$9-$C$9))),"PERT",_xlfn.BETA.INV(B642,1+$B$6*($C$9-$B$9)/($D$9-$B$9),1+$B$6*($D$9-$C$9)/($D$9-$B$9),$B$9,$D$9))</f>
        <v>1.8231810013853371</v>
      </c>
      <c r="E642" s="94" cm="1">
        <f t="array" aca="1" ref="E642" ca="1">_xlfn.SWITCH($B$4,"Normal MLE",EXP(_xlfn.NORM.INV(C642,LN($C$10),$E$10/$C$10)),"Uniforme",$B$10+($D$10-$B$10)*C642,"Triangular",IF(C642&lt;=($C$10-$B$10)/($D$10-$B$10),$B$10+SQRT(C642*($D$10-$B$10)*($C$10-$B$10)),$D$10-SQRT((1-C642)*($D$10-$B$10)*($D$10-$C$10))),"PERT",_xlfn.BETA.INV(C642,1+$B$6*($C$10-$B$10)/($D$10-$B$10),1+$B$6*($D$10-$C$10)/($D$10-$B$10),$B$10,$D$10))</f>
        <v>5244.906286946677</v>
      </c>
      <c r="F642" s="88">
        <f t="shared" ca="1" si="28"/>
        <v>0.54325749496298481</v>
      </c>
      <c r="G642" s="89">
        <f t="shared" ca="1" si="29"/>
        <v>1.5108720923012755E-4</v>
      </c>
    </row>
    <row r="643" spans="1:7" x14ac:dyDescent="0.35">
      <c r="A643" s="84">
        <v>628</v>
      </c>
      <c r="B643" s="84">
        <f t="shared" ca="1" si="27"/>
        <v>0.89370422097082713</v>
      </c>
      <c r="C643" s="84">
        <f t="shared" ca="1" si="27"/>
        <v>0.34797641694070958</v>
      </c>
      <c r="D643" s="93" cm="1">
        <f t="array" aca="1" ref="D643" ca="1">_xlfn.SWITCH($B$4,"Normal MLE",EXP(_xlfn.NORM.INV(B643,LN($C$9),$E$9/$C$9)),"Uniforme",$B$9+($D$9-$B$9)*B643,"Triangular",IF(B643&lt;=($C$9-$B$9)/($D$9-$B$9),$B$9+SQRT(B643*($D$9-$B$9)*($C$9-$B$9)),$D$9-SQRT((1-B643)*($D$9-$B$9)*($D$9-$C$9))),"PERT",_xlfn.BETA.INV(B643,1+$B$6*($C$9-$B$9)/($D$9-$B$9),1+$B$6*($D$9-$C$9)/($D$9-$B$9),$B$9,$D$9))</f>
        <v>2.1263621254832614</v>
      </c>
      <c r="E643" s="94" cm="1">
        <f t="array" aca="1" ref="E643" ca="1">_xlfn.SWITCH($B$4,"Normal MLE",EXP(_xlfn.NORM.INV(C643,LN($C$10),$E$10/$C$10)),"Uniforme",$B$10+($D$10-$B$10)*C643,"Triangular",IF(C643&lt;=($C$10-$B$10)/($D$10-$B$10),$B$10+SQRT(C643*($D$10-$B$10)*($C$10-$B$10)),$D$10-SQRT((1-C643)*($D$10-$B$10)*($D$10-$C$10))),"PERT",_xlfn.BETA.INV(C643,1+$B$6*($C$10-$B$10)/($D$10-$B$10),1+$B$6*($D$10-$C$10)/($D$10-$B$10),$B$10,$D$10))</f>
        <v>5007.8741234029931</v>
      </c>
      <c r="F643" s="88">
        <f t="shared" ca="1" si="28"/>
        <v>0.53787579824475795</v>
      </c>
      <c r="G643" s="89">
        <f t="shared" ca="1" si="29"/>
        <v>1.7731288816880795E-4</v>
      </c>
    </row>
    <row r="644" spans="1:7" x14ac:dyDescent="0.35">
      <c r="A644" s="84">
        <v>629</v>
      </c>
      <c r="B644" s="84">
        <f t="shared" ca="1" si="27"/>
        <v>0.32145102325707087</v>
      </c>
      <c r="C644" s="84">
        <f t="shared" ca="1" si="27"/>
        <v>9.8685177710200467E-4</v>
      </c>
      <c r="D644" s="93" cm="1">
        <f t="array" aca="1" ref="D644" ca="1">_xlfn.SWITCH($B$4,"Normal MLE",EXP(_xlfn.NORM.INV(B644,LN($C$9),$E$9/$C$9)),"Uniforme",$B$9+($D$9-$B$9)*B644,"Triangular",IF(B644&lt;=($C$9-$B$9)/($D$9-$B$9),$B$9+SQRT(B644*($D$9-$B$9)*($C$9-$B$9)),$D$9-SQRT((1-B644)*($D$9-$B$9)*($D$9-$C$9))),"PERT",_xlfn.BETA.INV(B644,1+$B$6*($C$9-$B$9)/($D$9-$B$9),1+$B$6*($D$9-$C$9)/($D$9-$B$9),$B$9,$D$9))</f>
        <v>1.8851117922761416</v>
      </c>
      <c r="E644" s="94" cm="1">
        <f t="array" aca="1" ref="E644" ca="1">_xlfn.SWITCH($B$4,"Normal MLE",EXP(_xlfn.NORM.INV(C644,LN($C$10),$E$10/$C$10)),"Uniforme",$B$10+($D$10-$B$10)*C644,"Triangular",IF(C644&lt;=($C$10-$B$10)/($D$10-$B$10),$B$10+SQRT(C644*($D$10-$B$10)*($C$10-$B$10)),$D$10-SQRT((1-C644)*($D$10-$B$10)*($D$10-$C$10))),"PERT",_xlfn.BETA.INV(C644,1+$B$6*($C$10-$B$10)/($D$10-$B$10),1+$B$6*($D$10-$C$10)/($D$10-$B$10),$B$10,$D$10))</f>
        <v>4415.9014992474722</v>
      </c>
      <c r="F644" s="88">
        <f t="shared" ca="1" si="28"/>
        <v>0.43610040180624737</v>
      </c>
      <c r="G644" s="89">
        <f t="shared" ca="1" si="29"/>
        <v>1.7056124607508878E-4</v>
      </c>
    </row>
    <row r="645" spans="1:7" x14ac:dyDescent="0.35">
      <c r="A645" s="84">
        <v>630</v>
      </c>
      <c r="B645" s="84">
        <f t="shared" ca="1" si="27"/>
        <v>0.20675251170712594</v>
      </c>
      <c r="C645" s="84">
        <f t="shared" ca="1" si="27"/>
        <v>0.87829581795216538</v>
      </c>
      <c r="D645" s="93" cm="1">
        <f t="array" aca="1" ref="D645" ca="1">_xlfn.SWITCH($B$4,"Normal MLE",EXP(_xlfn.NORM.INV(B645,LN($C$9),$E$9/$C$9)),"Uniforme",$B$9+($D$9-$B$9)*B645,"Triangular",IF(B645&lt;=($C$9-$B$9)/($D$9-$B$9),$B$9+SQRT(B645*($D$9-$B$9)*($C$9-$B$9)),$D$9-SQRT((1-B645)*($D$9-$B$9)*($D$9-$C$9))),"PERT",_xlfn.BETA.INV(B645,1+$B$6*($C$9-$B$9)/($D$9-$B$9),1+$B$6*($D$9-$C$9)/($D$9-$B$9),$B$9,$D$9))</f>
        <v>1.8386872543512023</v>
      </c>
      <c r="E645" s="94" cm="1">
        <f t="array" aca="1" ref="E645" ca="1">_xlfn.SWITCH($B$4,"Normal MLE",EXP(_xlfn.NORM.INV(C645,LN($C$10),$E$10/$C$10)),"Uniforme",$B$10+($D$10-$B$10)*C645,"Triangular",IF(C645&lt;=($C$10-$B$10)/($D$10-$B$10),$B$10+SQRT(C645*($D$10-$B$10)*($C$10-$B$10)),$D$10-SQRT((1-C645)*($D$10-$B$10)*($D$10-$C$10))),"PERT",_xlfn.BETA.INV(C645,1+$B$6*($C$10-$B$10)/($D$10-$B$10),1+$B$6*($D$10-$C$10)/($D$10-$B$10),$B$10,$D$10))</f>
        <v>5384.2570339221729</v>
      </c>
      <c r="F645" s="88">
        <f t="shared" ca="1" si="28"/>
        <v>0.56045121626498962</v>
      </c>
      <c r="G645" s="89">
        <f t="shared" ca="1" si="29"/>
        <v>1.4916744881680324E-4</v>
      </c>
    </row>
    <row r="646" spans="1:7" x14ac:dyDescent="0.35">
      <c r="A646" s="84">
        <v>631</v>
      </c>
      <c r="B646" s="84">
        <f t="shared" ca="1" si="27"/>
        <v>0.75016536329336392</v>
      </c>
      <c r="C646" s="84">
        <f t="shared" ca="1" si="27"/>
        <v>0.82225701173043231</v>
      </c>
      <c r="D646" s="93" cm="1">
        <f t="array" aca="1" ref="D646" ca="1">_xlfn.SWITCH($B$4,"Normal MLE",EXP(_xlfn.NORM.INV(B646,LN($C$9),$E$9/$C$9)),"Uniforme",$B$9+($D$9-$B$9)*B646,"Triangular",IF(B646&lt;=($C$9-$B$9)/($D$9-$B$9),$B$9+SQRT(B646*($D$9-$B$9)*($C$9-$B$9)),$D$9-SQRT((1-B646)*($D$9-$B$9)*($D$9-$C$9))),"PERT",_xlfn.BETA.INV(B646,1+$B$6*($C$9-$B$9)/($D$9-$B$9),1+$B$6*($D$9-$C$9)/($D$9-$B$9),$B$9,$D$9))</f>
        <v>2.0424920068570747</v>
      </c>
      <c r="E646" s="94" cm="1">
        <f t="array" aca="1" ref="E646" ca="1">_xlfn.SWITCH($B$4,"Normal MLE",EXP(_xlfn.NORM.INV(C646,LN($C$10),$E$10/$C$10)),"Uniforme",$B$10+($D$10-$B$10)*C646,"Triangular",IF(C646&lt;=($C$10-$B$10)/($D$10-$B$10),$B$10+SQRT(C646*($D$10-$B$10)*($C$10-$B$10)),$D$10-SQRT((1-C646)*($D$10-$B$10)*($D$10-$C$10))),"PERT",_xlfn.BETA.INV(C646,1+$B$6*($C$10-$B$10)/($D$10-$B$10),1+$B$6*($D$10-$C$10)/($D$10-$B$10),$B$10,$D$10))</f>
        <v>5323.8372750703575</v>
      </c>
      <c r="F646" s="88">
        <f t="shared" ca="1" si="28"/>
        <v>0.572528928111811</v>
      </c>
      <c r="G646" s="89">
        <f t="shared" ca="1" si="29"/>
        <v>1.630392752231614E-4</v>
      </c>
    </row>
    <row r="647" spans="1:7" x14ac:dyDescent="0.35">
      <c r="A647" s="84">
        <v>632</v>
      </c>
      <c r="B647" s="84">
        <f t="shared" ca="1" si="27"/>
        <v>0.74386089236434749</v>
      </c>
      <c r="C647" s="84">
        <f t="shared" ca="1" si="27"/>
        <v>0.30002551940460642</v>
      </c>
      <c r="D647" s="93" cm="1">
        <f t="array" aca="1" ref="D647" ca="1">_xlfn.SWITCH($B$4,"Normal MLE",EXP(_xlfn.NORM.INV(B647,LN($C$9),$E$9/$C$9)),"Uniforme",$B$9+($D$9-$B$9)*B647,"Triangular",IF(B647&lt;=($C$9-$B$9)/($D$9-$B$9),$B$9+SQRT(B647*($D$9-$B$9)*($C$9-$B$9)),$D$9-SQRT((1-B647)*($D$9-$B$9)*($D$9-$C$9))),"PERT",_xlfn.BETA.INV(B647,1+$B$6*($C$9-$B$9)/($D$9-$B$9),1+$B$6*($D$9-$C$9)/($D$9-$B$9),$B$9,$D$9))</f>
        <v>2.0396582268040393</v>
      </c>
      <c r="E647" s="94" cm="1">
        <f t="array" aca="1" ref="E647" ca="1">_xlfn.SWITCH($B$4,"Normal MLE",EXP(_xlfn.NORM.INV(C647,LN($C$10),$E$10/$C$10)),"Uniforme",$B$10+($D$10-$B$10)*C647,"Triangular",IF(C647&lt;=($C$10-$B$10)/($D$10-$B$10),$B$10+SQRT(C647*($D$10-$B$10)*($C$10-$B$10)),$D$10-SQRT((1-C647)*($D$10-$B$10)*($D$10-$C$10))),"PERT",_xlfn.BETA.INV(C647,1+$B$6*($C$10-$B$10)/($D$10-$B$10),1+$B$6*($D$10-$C$10)/($D$10-$B$10),$B$10,$D$10))</f>
        <v>4976.8512862605794</v>
      </c>
      <c r="F647" s="88">
        <f t="shared" ca="1" si="28"/>
        <v>0.52708467563803507</v>
      </c>
      <c r="G647" s="89">
        <f t="shared" ca="1" si="29"/>
        <v>1.7211752824659751E-4</v>
      </c>
    </row>
    <row r="648" spans="1:7" x14ac:dyDescent="0.35">
      <c r="A648" s="84">
        <v>633</v>
      </c>
      <c r="B648" s="84">
        <f t="shared" ca="1" si="27"/>
        <v>0.56815624370480045</v>
      </c>
      <c r="C648" s="84">
        <f t="shared" ca="1" si="27"/>
        <v>0.92149064656604296</v>
      </c>
      <c r="D648" s="93" cm="1">
        <f t="array" aca="1" ref="D648" ca="1">_xlfn.SWITCH($B$4,"Normal MLE",EXP(_xlfn.NORM.INV(B648,LN($C$9),$E$9/$C$9)),"Uniforme",$B$9+($D$9-$B$9)*B648,"Triangular",IF(B648&lt;=($C$9-$B$9)/($D$9-$B$9),$B$9+SQRT(B648*($D$9-$B$9)*($C$9-$B$9)),$D$9-SQRT((1-B648)*($D$9-$B$9)*($D$9-$C$9))),"PERT",_xlfn.BETA.INV(B648,1+$B$6*($C$9-$B$9)/($D$9-$B$9),1+$B$6*($D$9-$C$9)/($D$9-$B$9),$B$9,$D$9))</f>
        <v>1.9713656533466739</v>
      </c>
      <c r="E648" s="94" cm="1">
        <f t="array" aca="1" ref="E648" ca="1">_xlfn.SWITCH($B$4,"Normal MLE",EXP(_xlfn.NORM.INV(C648,LN($C$10),$E$10/$C$10)),"Uniforme",$B$10+($D$10-$B$10)*C648,"Triangular",IF(C648&lt;=($C$10-$B$10)/($D$10-$B$10),$B$10+SQRT(C648*($D$10-$B$10)*($C$10-$B$10)),$D$10-SQRT((1-C648)*($D$10-$B$10)*($D$10-$C$10))),"PERT",_xlfn.BETA.INV(C648,1+$B$6*($C$10-$B$10)/($D$10-$B$10),1+$B$6*($D$10-$C$10)/($D$10-$B$10),$B$10,$D$10))</f>
        <v>5446.9212940893995</v>
      </c>
      <c r="F648" s="88">
        <f t="shared" ca="1" si="28"/>
        <v>0.58037938607028594</v>
      </c>
      <c r="G648" s="89">
        <f t="shared" ca="1" si="29"/>
        <v>1.5562399763414912E-4</v>
      </c>
    </row>
    <row r="649" spans="1:7" x14ac:dyDescent="0.35">
      <c r="A649" s="84">
        <v>634</v>
      </c>
      <c r="B649" s="84">
        <f t="shared" ca="1" si="27"/>
        <v>0.89210692165141314</v>
      </c>
      <c r="C649" s="84">
        <f t="shared" ca="1" si="27"/>
        <v>0.3380216217025579</v>
      </c>
      <c r="D649" s="93" cm="1">
        <f t="array" aca="1" ref="D649" ca="1">_xlfn.SWITCH($B$4,"Normal MLE",EXP(_xlfn.NORM.INV(B649,LN($C$9),$E$9/$C$9)),"Uniforme",$B$9+($D$9-$B$9)*B649,"Triangular",IF(B649&lt;=($C$9-$B$9)/($D$9-$B$9),$B$9+SQRT(B649*($D$9-$B$9)*($C$9-$B$9)),$D$9-SQRT((1-B649)*($D$9-$B$9)*($D$9-$C$9))),"PERT",_xlfn.BETA.INV(B649,1+$B$6*($C$9-$B$9)/($D$9-$B$9),1+$B$6*($D$9-$C$9)/($D$9-$B$9),$B$9,$D$9))</f>
        <v>2.1250658042068231</v>
      </c>
      <c r="E649" s="94" cm="1">
        <f t="array" aca="1" ref="E649" ca="1">_xlfn.SWITCH($B$4,"Normal MLE",EXP(_xlfn.NORM.INV(C649,LN($C$10),$E$10/$C$10)),"Uniforme",$B$10+($D$10-$B$10)*C649,"Triangular",IF(C649&lt;=($C$10-$B$10)/($D$10-$B$10),$B$10+SQRT(C649*($D$10-$B$10)*($C$10-$B$10)),$D$10-SQRT((1-C649)*($D$10-$B$10)*($D$10-$C$10))),"PERT",_xlfn.BETA.INV(C649,1+$B$6*($C$10-$B$10)/($D$10-$B$10),1+$B$6*($D$10-$C$10)/($D$10-$B$10),$B$10,$D$10))</f>
        <v>5001.5676583354762</v>
      </c>
      <c r="F649" s="88">
        <f t="shared" ca="1" si="28"/>
        <v>0.53688488952941582</v>
      </c>
      <c r="G649" s="89">
        <f t="shared" ca="1" si="29"/>
        <v>1.774042841509839E-4</v>
      </c>
    </row>
    <row r="650" spans="1:7" x14ac:dyDescent="0.35">
      <c r="A650" s="84">
        <v>635</v>
      </c>
      <c r="B650" s="84">
        <f t="shared" ca="1" si="27"/>
        <v>0.47532654769691984</v>
      </c>
      <c r="C650" s="84">
        <f t="shared" ca="1" si="27"/>
        <v>0.69408936106847663</v>
      </c>
      <c r="D650" s="93" cm="1">
        <f t="array" aca="1" ref="D650" ca="1">_xlfn.SWITCH($B$4,"Normal MLE",EXP(_xlfn.NORM.INV(B650,LN($C$9),$E$9/$C$9)),"Uniforme",$B$9+($D$9-$B$9)*B650,"Triangular",IF(B650&lt;=($C$9-$B$9)/($D$9-$B$9),$B$9+SQRT(B650*($D$9-$B$9)*($C$9-$B$9)),$D$9-SQRT((1-B650)*($D$9-$B$9)*($D$9-$C$9))),"PERT",_xlfn.BETA.INV(B650,1+$B$6*($C$9-$B$9)/($D$9-$B$9),1+$B$6*($D$9-$C$9)/($D$9-$B$9),$B$9,$D$9))</f>
        <v>1.9392062566955506</v>
      </c>
      <c r="E650" s="94" cm="1">
        <f t="array" aca="1" ref="E650" ca="1">_xlfn.SWITCH($B$4,"Normal MLE",EXP(_xlfn.NORM.INV(C650,LN($C$10),$E$10/$C$10)),"Uniforme",$B$10+($D$10-$B$10)*C650,"Triangular",IF(C650&lt;=($C$10-$B$10)/($D$10-$B$10),$B$10+SQRT(C650*($D$10-$B$10)*($C$10-$B$10)),$D$10-SQRT((1-C650)*($D$10-$B$10)*($D$10-$C$10))),"PERT",_xlfn.BETA.INV(C650,1+$B$6*($C$10-$B$10)/($D$10-$B$10),1+$B$6*($D$10-$C$10)/($D$10-$B$10),$B$10,$D$10))</f>
        <v>5221.6405093636404</v>
      </c>
      <c r="F650" s="88">
        <f t="shared" ca="1" si="28"/>
        <v>0.55078705947468565</v>
      </c>
      <c r="G650" s="89">
        <f t="shared" ca="1" si="29"/>
        <v>1.5925404691688883E-4</v>
      </c>
    </row>
    <row r="651" spans="1:7" x14ac:dyDescent="0.35">
      <c r="A651" s="84">
        <v>636</v>
      </c>
      <c r="B651" s="84">
        <f t="shared" ca="1" si="27"/>
        <v>0.30018753329045578</v>
      </c>
      <c r="C651" s="84">
        <f t="shared" ca="1" si="27"/>
        <v>0.82547717333773452</v>
      </c>
      <c r="D651" s="93" cm="1">
        <f t="array" aca="1" ref="D651" ca="1">_xlfn.SWITCH($B$4,"Normal MLE",EXP(_xlfn.NORM.INV(B651,LN($C$9),$E$9/$C$9)),"Uniforme",$B$9+($D$9-$B$9)*B651,"Triangular",IF(B651&lt;=($C$9-$B$9)/($D$9-$B$9),$B$9+SQRT(B651*($D$9-$B$9)*($C$9-$B$9)),$D$9-SQRT((1-B651)*($D$9-$B$9)*($D$9-$C$9))),"PERT",_xlfn.BETA.INV(B651,1+$B$6*($C$9-$B$9)/($D$9-$B$9),1+$B$6*($D$9-$C$9)/($D$9-$B$9),$B$9,$D$9))</f>
        <v>1.8771351093917017</v>
      </c>
      <c r="E651" s="94" cm="1">
        <f t="array" aca="1" ref="E651" ca="1">_xlfn.SWITCH($B$4,"Normal MLE",EXP(_xlfn.NORM.INV(C651,LN($C$10),$E$10/$C$10)),"Uniforme",$B$10+($D$10-$B$10)*C651,"Triangular",IF(C651&lt;=($C$10-$B$10)/($D$10-$B$10),$B$10+SQRT(C651*($D$10-$B$10)*($C$10-$B$10)),$D$10-SQRT((1-C651)*($D$10-$B$10)*($D$10-$C$10))),"PERT",_xlfn.BETA.INV(C651,1+$B$6*($C$10-$B$10)/($D$10-$B$10),1+$B$6*($D$10-$C$10)/($D$10-$B$10),$B$10,$D$10))</f>
        <v>5326.9204040934119</v>
      </c>
      <c r="F651" s="88">
        <f t="shared" ca="1" si="28"/>
        <v>0.55763242104801103</v>
      </c>
      <c r="G651" s="89">
        <f t="shared" ca="1" si="29"/>
        <v>1.5284016917007753E-4</v>
      </c>
    </row>
    <row r="652" spans="1:7" x14ac:dyDescent="0.35">
      <c r="A652" s="84">
        <v>637</v>
      </c>
      <c r="B652" s="84">
        <f t="shared" ca="1" si="27"/>
        <v>0.14836537824241269</v>
      </c>
      <c r="C652" s="84">
        <f t="shared" ca="1" si="27"/>
        <v>0.1256718427080884</v>
      </c>
      <c r="D652" s="93" cm="1">
        <f t="array" aca="1" ref="D652" ca="1">_xlfn.SWITCH($B$4,"Normal MLE",EXP(_xlfn.NORM.INV(B652,LN($C$9),$E$9/$C$9)),"Uniforme",$B$9+($D$9-$B$9)*B652,"Triangular",IF(B652&lt;=($C$9-$B$9)/($D$9-$B$9),$B$9+SQRT(B652*($D$9-$B$9)*($C$9-$B$9)),$D$9-SQRT((1-B652)*($D$9-$B$9)*($D$9-$C$9))),"PERT",_xlfn.BETA.INV(B652,1+$B$6*($C$9-$B$9)/($D$9-$B$9),1+$B$6*($D$9-$C$9)/($D$9-$B$9),$B$9,$D$9))</f>
        <v>1.8096911089448375</v>
      </c>
      <c r="E652" s="94" cm="1">
        <f t="array" aca="1" ref="E652" ca="1">_xlfn.SWITCH($B$4,"Normal MLE",EXP(_xlfn.NORM.INV(C652,LN($C$10),$E$10/$C$10)),"Uniforme",$B$10+($D$10-$B$10)*C652,"Triangular",IF(C652&lt;=($C$10-$B$10)/($D$10-$B$10),$B$10+SQRT(C652*($D$10-$B$10)*($C$10-$B$10)),$D$10-SQRT((1-C652)*($D$10-$B$10)*($D$10-$C$10))),"PERT",_xlfn.BETA.INV(C652,1+$B$6*($C$10-$B$10)/($D$10-$B$10),1+$B$6*($D$10-$C$10)/($D$10-$B$10),$B$10,$D$10))</f>
        <v>4834.6923740582861</v>
      </c>
      <c r="F652" s="88">
        <f t="shared" ca="1" si="28"/>
        <v>0.49181454221320353</v>
      </c>
      <c r="G652" s="89">
        <f t="shared" ca="1" si="29"/>
        <v>1.5790367056643217E-4</v>
      </c>
    </row>
    <row r="653" spans="1:7" x14ac:dyDescent="0.35">
      <c r="A653" s="84">
        <v>638</v>
      </c>
      <c r="B653" s="84">
        <f t="shared" ca="1" si="27"/>
        <v>0.88917310641023661</v>
      </c>
      <c r="C653" s="84">
        <f t="shared" ca="1" si="27"/>
        <v>0.84460337614574288</v>
      </c>
      <c r="D653" s="93" cm="1">
        <f t="array" aca="1" ref="D653" ca="1">_xlfn.SWITCH($B$4,"Normal MLE",EXP(_xlfn.NORM.INV(B653,LN($C$9),$E$9/$C$9)),"Uniforme",$B$9+($D$9-$B$9)*B653,"Triangular",IF(B653&lt;=($C$9-$B$9)/($D$9-$B$9),$B$9+SQRT(B653*($D$9-$B$9)*($C$9-$B$9)),$D$9-SQRT((1-B653)*($D$9-$B$9)*($D$9-$C$9))),"PERT",_xlfn.BETA.INV(B653,1+$B$6*($C$9-$B$9)/($D$9-$B$9),1+$B$6*($D$9-$C$9)/($D$9-$B$9),$B$9,$D$9))</f>
        <v>2.1227223546181793</v>
      </c>
      <c r="E653" s="94" cm="1">
        <f t="array" aca="1" ref="E653" ca="1">_xlfn.SWITCH($B$4,"Normal MLE",EXP(_xlfn.NORM.INV(C653,LN($C$10),$E$10/$C$10)),"Uniforme",$B$10+($D$10-$B$10)*C653,"Triangular",IF(C653&lt;=($C$10-$B$10)/($D$10-$B$10),$B$10+SQRT(C653*($D$10-$B$10)*($C$10-$B$10)),$D$10-SQRT((1-C653)*($D$10-$B$10)*($D$10-$C$10))),"PERT",_xlfn.BETA.INV(C653,1+$B$6*($C$10-$B$10)/($D$10-$B$10),1+$B$6*($D$10-$C$10)/($D$10-$B$10),$B$10,$D$10))</f>
        <v>5346.0708408219698</v>
      </c>
      <c r="F653" s="88">
        <f t="shared" ca="1" si="28"/>
        <v>0.58260557343784725</v>
      </c>
      <c r="G653" s="89">
        <f t="shared" ca="1" si="29"/>
        <v>1.6703154075119485E-4</v>
      </c>
    </row>
    <row r="654" spans="1:7" x14ac:dyDescent="0.35">
      <c r="A654" s="84">
        <v>639</v>
      </c>
      <c r="B654" s="84">
        <f t="shared" ca="1" si="27"/>
        <v>0.37245132458934149</v>
      </c>
      <c r="C654" s="84">
        <f t="shared" ca="1" si="27"/>
        <v>2.2948434066900281E-2</v>
      </c>
      <c r="D654" s="93" cm="1">
        <f t="array" aca="1" ref="D654" ca="1">_xlfn.SWITCH($B$4,"Normal MLE",EXP(_xlfn.NORM.INV(B654,LN($C$9),$E$9/$C$9)),"Uniforme",$B$9+($D$9-$B$9)*B654,"Triangular",IF(B654&lt;=($C$9-$B$9)/($D$9-$B$9),$B$9+SQRT(B654*($D$9-$B$9)*($C$9-$B$9)),$D$9-SQRT((1-B654)*($D$9-$B$9)*($D$9-$C$9))),"PERT",_xlfn.BETA.INV(B654,1+$B$6*($C$9-$B$9)/($D$9-$B$9),1+$B$6*($D$9-$C$9)/($D$9-$B$9),$B$9,$D$9))</f>
        <v>1.9035575543913699</v>
      </c>
      <c r="E654" s="94" cm="1">
        <f t="array" aca="1" ref="E654" ca="1">_xlfn.SWITCH($B$4,"Normal MLE",EXP(_xlfn.NORM.INV(C654,LN($C$10),$E$10/$C$10)),"Uniforme",$B$10+($D$10-$B$10)*C654,"Triangular",IF(C654&lt;=($C$10-$B$10)/($D$10-$B$10),$B$10+SQRT(C654*($D$10-$B$10)*($C$10-$B$10)),$D$10-SQRT((1-C654)*($D$10-$B$10)*($D$10-$C$10))),"PERT",_xlfn.BETA.INV(C654,1+$B$6*($C$10-$B$10)/($D$10-$B$10),1+$B$6*($D$10-$C$10)/($D$10-$B$10),$B$10,$D$10))</f>
        <v>4647.3553113644812</v>
      </c>
      <c r="F654" s="88">
        <f t="shared" ca="1" si="28"/>
        <v>0.47160787342009186</v>
      </c>
      <c r="G654" s="89">
        <f t="shared" ca="1" si="29"/>
        <v>1.6868564424418259E-4</v>
      </c>
    </row>
    <row r="655" spans="1:7" x14ac:dyDescent="0.35">
      <c r="A655" s="84">
        <v>640</v>
      </c>
      <c r="B655" s="84">
        <f t="shared" ca="1" si="27"/>
        <v>0.73929844416824897</v>
      </c>
      <c r="C655" s="84">
        <f t="shared" ca="1" si="27"/>
        <v>0.17628841928199523</v>
      </c>
      <c r="D655" s="93" cm="1">
        <f t="array" aca="1" ref="D655" ca="1">_xlfn.SWITCH($B$4,"Normal MLE",EXP(_xlfn.NORM.INV(B655,LN($C$9),$E$9/$C$9)),"Uniforme",$B$9+($D$9-$B$9)*B655,"Triangular",IF(B655&lt;=($C$9-$B$9)/($D$9-$B$9),$B$9+SQRT(B655*($D$9-$B$9)*($C$9-$B$9)),$D$9-SQRT((1-B655)*($D$9-$B$9)*($D$9-$C$9))),"PERT",_xlfn.BETA.INV(B655,1+$B$6*($C$9-$B$9)/($D$9-$B$9),1+$B$6*($D$9-$C$9)/($D$9-$B$9),$B$9,$D$9))</f>
        <v>2.0376325379482196</v>
      </c>
      <c r="E655" s="94" cm="1">
        <f t="array" aca="1" ref="E655" ca="1">_xlfn.SWITCH($B$4,"Normal MLE",EXP(_xlfn.NORM.INV(C655,LN($C$10),$E$10/$C$10)),"Uniforme",$B$10+($D$10-$B$10)*C655,"Triangular",IF(C655&lt;=($C$10-$B$10)/($D$10-$B$10),$B$10+SQRT(C655*($D$10-$B$10)*($C$10-$B$10)),$D$10-SQRT((1-C655)*($D$10-$B$10)*($D$10-$C$10))),"PERT",_xlfn.BETA.INV(C655,1+$B$6*($C$10-$B$10)/($D$10-$B$10),1+$B$6*($D$10-$C$10)/($D$10-$B$10),$B$10,$D$10))</f>
        <v>4883.871303474938</v>
      </c>
      <c r="F655" s="88">
        <f t="shared" ca="1" si="28"/>
        <v>0.51387419278249091</v>
      </c>
      <c r="G655" s="89">
        <f t="shared" ca="1" si="29"/>
        <v>1.7428152190617884E-4</v>
      </c>
    </row>
    <row r="656" spans="1:7" x14ac:dyDescent="0.35">
      <c r="A656" s="84">
        <v>641</v>
      </c>
      <c r="B656" s="84">
        <f t="shared" ca="1" si="27"/>
        <v>0.79512130903952294</v>
      </c>
      <c r="C656" s="84">
        <f t="shared" ca="1" si="27"/>
        <v>0.24723322444371687</v>
      </c>
      <c r="D656" s="93" cm="1">
        <f t="array" aca="1" ref="D656" ca="1">_xlfn.SWITCH($B$4,"Normal MLE",EXP(_xlfn.NORM.INV(B656,LN($C$9),$E$9/$C$9)),"Uniforme",$B$9+($D$9-$B$9)*B656,"Triangular",IF(B656&lt;=($C$9-$B$9)/($D$9-$B$9),$B$9+SQRT(B656*($D$9-$B$9)*($C$9-$B$9)),$D$9-SQRT((1-B656)*($D$9-$B$9)*($D$9-$C$9))),"PERT",_xlfn.BETA.INV(B656,1+$B$6*($C$9-$B$9)/($D$9-$B$9),1+$B$6*($D$9-$C$9)/($D$9-$B$9),$B$9,$D$9))</f>
        <v>2.0640808067650478</v>
      </c>
      <c r="E656" s="94" cm="1">
        <f t="array" aca="1" ref="E656" ca="1">_xlfn.SWITCH($B$4,"Normal MLE",EXP(_xlfn.NORM.INV(C656,LN($C$10),$E$10/$C$10)),"Uniforme",$B$10+($D$10-$B$10)*C656,"Triangular",IF(C656&lt;=($C$10-$B$10)/($D$10-$B$10),$B$10+SQRT(C656*($D$10-$B$10)*($C$10-$B$10)),$D$10-SQRT((1-C656)*($D$10-$B$10)*($D$10-$C$10))),"PERT",_xlfn.BETA.INV(C656,1+$B$6*($C$10-$B$10)/($D$10-$B$10),1+$B$6*($D$10-$C$10)/($D$10-$B$10),$B$10,$D$10))</f>
        <v>4940.1878077537212</v>
      </c>
      <c r="F656" s="88">
        <f t="shared" ca="1" si="28"/>
        <v>0.52372843530718294</v>
      </c>
      <c r="G656" s="89">
        <f t="shared" ca="1" si="29"/>
        <v>1.7479571070088497E-4</v>
      </c>
    </row>
    <row r="657" spans="1:7" x14ac:dyDescent="0.35">
      <c r="A657" s="84">
        <v>642</v>
      </c>
      <c r="B657" s="84">
        <f t="shared" ref="B657:C720" ca="1" si="30">RAND()</f>
        <v>0.10990040074724339</v>
      </c>
      <c r="C657" s="84">
        <f t="shared" ca="1" si="30"/>
        <v>0.34451631875604283</v>
      </c>
      <c r="D657" s="93" cm="1">
        <f t="array" aca="1" ref="D657" ca="1">_xlfn.SWITCH($B$4,"Normal MLE",EXP(_xlfn.NORM.INV(B657,LN($C$9),$E$9/$C$9)),"Uniforme",$B$9+($D$9-$B$9)*B657,"Triangular",IF(B657&lt;=($C$9-$B$9)/($D$9-$B$9),$B$9+SQRT(B657*($D$9-$B$9)*($C$9-$B$9)),$D$9-SQRT((1-B657)*($D$9-$B$9)*($D$9-$C$9))),"PERT",_xlfn.BETA.INV(B657,1+$B$6*($C$9-$B$9)/($D$9-$B$9),1+$B$6*($D$9-$C$9)/($D$9-$B$9),$B$9,$D$9))</f>
        <v>1.7864456767120773</v>
      </c>
      <c r="E657" s="94" cm="1">
        <f t="array" aca="1" ref="E657" ca="1">_xlfn.SWITCH($B$4,"Normal MLE",EXP(_xlfn.NORM.INV(C657,LN($C$10),$E$10/$C$10)),"Uniforme",$B$10+($D$10-$B$10)*C657,"Triangular",IF(C657&lt;=($C$10-$B$10)/($D$10-$B$10),$B$10+SQRT(C657*($D$10-$B$10)*($C$10-$B$10)),$D$10-SQRT((1-C657)*($D$10-$B$10)*($D$10-$C$10))),"PERT",_xlfn.BETA.INV(C657,1+$B$6*($C$10-$B$10)/($D$10-$B$10),1+$B$6*($D$10-$C$10)/($D$10-$B$10),$B$10,$D$10))</f>
        <v>5005.6890094028058</v>
      </c>
      <c r="F657" s="88">
        <f t="shared" ref="F657:F720" ca="1" si="31">EXP(-POWER($B$12/E657,D657))</f>
        <v>0.51177293862021989</v>
      </c>
      <c r="G657" s="89">
        <f t="shared" ref="G657:G720" ca="1" si="32">(D657/E657)*POWER($B$12/E657,D657-1)*EXP(-POWER($B$12/E657,D657))</f>
        <v>1.5310889164656699E-4</v>
      </c>
    </row>
    <row r="658" spans="1:7" x14ac:dyDescent="0.35">
      <c r="A658" s="84">
        <v>643</v>
      </c>
      <c r="B658" s="84">
        <f t="shared" ca="1" si="30"/>
        <v>0.93270580615125065</v>
      </c>
      <c r="C658" s="84">
        <f t="shared" ca="1" si="30"/>
        <v>0.32496887913414396</v>
      </c>
      <c r="D658" s="93" cm="1">
        <f t="array" aca="1" ref="D658" ca="1">_xlfn.SWITCH($B$4,"Normal MLE",EXP(_xlfn.NORM.INV(B658,LN($C$9),$E$9/$C$9)),"Uniforme",$B$9+($D$9-$B$9)*B658,"Triangular",IF(B658&lt;=($C$9-$B$9)/($D$9-$B$9),$B$9+SQRT(B658*($D$9-$B$9)*($C$9-$B$9)),$D$9-SQRT((1-B658)*($D$9-$B$9)*($D$9-$C$9))),"PERT",_xlfn.BETA.INV(B658,1+$B$6*($C$9-$B$9)/($D$9-$B$9),1+$B$6*($D$9-$C$9)/($D$9-$B$9),$B$9,$D$9))</f>
        <v>2.1640943166520294</v>
      </c>
      <c r="E658" s="94" cm="1">
        <f t="array" aca="1" ref="E658" ca="1">_xlfn.SWITCH($B$4,"Normal MLE",EXP(_xlfn.NORM.INV(C658,LN($C$10),$E$10/$C$10)),"Uniforme",$B$10+($D$10-$B$10)*C658,"Triangular",IF(C658&lt;=($C$10-$B$10)/($D$10-$B$10),$B$10+SQRT(C658*($D$10-$B$10)*($C$10-$B$10)),$D$10-SQRT((1-C658)*($D$10-$B$10)*($D$10-$C$10))),"PERT",_xlfn.BETA.INV(C658,1+$B$6*($C$10-$B$10)/($D$10-$B$10),1+$B$6*($D$10-$C$10)/($D$10-$B$10),$B$10,$D$10))</f>
        <v>4993.2004895597584</v>
      </c>
      <c r="F658" s="88">
        <f t="shared" ca="1" si="31"/>
        <v>0.53858554970556616</v>
      </c>
      <c r="G658" s="89">
        <f t="shared" ca="1" si="32"/>
        <v>1.8031317533253116E-4</v>
      </c>
    </row>
    <row r="659" spans="1:7" x14ac:dyDescent="0.35">
      <c r="A659" s="84">
        <v>644</v>
      </c>
      <c r="B659" s="84">
        <f t="shared" ca="1" si="30"/>
        <v>0.25390283213951126</v>
      </c>
      <c r="C659" s="84">
        <f t="shared" ca="1" si="30"/>
        <v>0.84115225909900038</v>
      </c>
      <c r="D659" s="93" cm="1">
        <f t="array" aca="1" ref="D659" ca="1">_xlfn.SWITCH($B$4,"Normal MLE",EXP(_xlfn.NORM.INV(B659,LN($C$9),$E$9/$C$9)),"Uniforme",$B$9+($D$9-$B$9)*B659,"Triangular",IF(B659&lt;=($C$9-$B$9)/($D$9-$B$9),$B$9+SQRT(B659*($D$9-$B$9)*($C$9-$B$9)),$D$9-SQRT((1-B659)*($D$9-$B$9)*($D$9-$C$9))),"PERT",_xlfn.BETA.INV(B659,1+$B$6*($C$9-$B$9)/($D$9-$B$9),1+$B$6*($D$9-$C$9)/($D$9-$B$9),$B$9,$D$9))</f>
        <v>1.8589296842909515</v>
      </c>
      <c r="E659" s="94" cm="1">
        <f t="array" aca="1" ref="E659" ca="1">_xlfn.SWITCH($B$4,"Normal MLE",EXP(_xlfn.NORM.INV(C659,LN($C$10),$E$10/$C$10)),"Uniforme",$B$10+($D$10-$B$10)*C659,"Triangular",IF(C659&lt;=($C$10-$B$10)/($D$10-$B$10),$B$10+SQRT(C659*($D$10-$B$10)*($C$10-$B$10)),$D$10-SQRT((1-C659)*($D$10-$B$10)*($D$10-$C$10))),"PERT",_xlfn.BETA.INV(C659,1+$B$6*($C$10-$B$10)/($D$10-$B$10),1+$B$6*($D$10-$C$10)/($D$10-$B$10),$B$10,$D$10))</f>
        <v>5342.5010717594732</v>
      </c>
      <c r="F659" s="88">
        <f t="shared" ca="1" si="31"/>
        <v>0.55770203774915972</v>
      </c>
      <c r="G659" s="89">
        <f t="shared" ca="1" si="32"/>
        <v>1.5134438719049408E-4</v>
      </c>
    </row>
    <row r="660" spans="1:7" x14ac:dyDescent="0.35">
      <c r="A660" s="84">
        <v>645</v>
      </c>
      <c r="B660" s="84">
        <f t="shared" ca="1" si="30"/>
        <v>0.82803153434021504</v>
      </c>
      <c r="C660" s="84">
        <f t="shared" ca="1" si="30"/>
        <v>0.13035867985427674</v>
      </c>
      <c r="D660" s="93" cm="1">
        <f t="array" aca="1" ref="D660" ca="1">_xlfn.SWITCH($B$4,"Normal MLE",EXP(_xlfn.NORM.INV(B660,LN($C$9),$E$9/$C$9)),"Uniforme",$B$9+($D$9-$B$9)*B660,"Triangular",IF(B660&lt;=($C$9-$B$9)/($D$9-$B$9),$B$9+SQRT(B660*($D$9-$B$9)*($C$9-$B$9)),$D$9-SQRT((1-B660)*($D$9-$B$9)*($D$9-$C$9))),"PERT",_xlfn.BETA.INV(B660,1+$B$6*($C$9-$B$9)/($D$9-$B$9),1+$B$6*($D$9-$C$9)/($D$9-$B$9),$B$9,$D$9))</f>
        <v>2.0819039181835231</v>
      </c>
      <c r="E660" s="94" cm="1">
        <f t="array" aca="1" ref="E660" ca="1">_xlfn.SWITCH($B$4,"Normal MLE",EXP(_xlfn.NORM.INV(C660,LN($C$10),$E$10/$C$10)),"Uniforme",$B$10+($D$10-$B$10)*C660,"Triangular",IF(C660&lt;=($C$10-$B$10)/($D$10-$B$10),$B$10+SQRT(C660*($D$10-$B$10)*($C$10-$B$10)),$D$10-SQRT((1-C660)*($D$10-$B$10)*($D$10-$C$10))),"PERT",_xlfn.BETA.INV(C660,1+$B$6*($C$10-$B$10)/($D$10-$B$10),1+$B$6*($D$10-$C$10)/($D$10-$B$10),$B$10,$D$10))</f>
        <v>4839.733309006966</v>
      </c>
      <c r="F660" s="88">
        <f t="shared" ca="1" si="31"/>
        <v>0.5104258879504795</v>
      </c>
      <c r="G660" s="89">
        <f t="shared" ca="1" si="32"/>
        <v>1.7866192919848396E-4</v>
      </c>
    </row>
    <row r="661" spans="1:7" x14ac:dyDescent="0.35">
      <c r="A661" s="84">
        <v>646</v>
      </c>
      <c r="B661" s="84">
        <f t="shared" ca="1" si="30"/>
        <v>0.60384855565198903</v>
      </c>
      <c r="C661" s="84">
        <f t="shared" ca="1" si="30"/>
        <v>0.28424011898028656</v>
      </c>
      <c r="D661" s="93" cm="1">
        <f t="array" aca="1" ref="D661" ca="1">_xlfn.SWITCH($B$4,"Normal MLE",EXP(_xlfn.NORM.INV(B661,LN($C$9),$E$9/$C$9)),"Uniforme",$B$9+($D$9-$B$9)*B661,"Triangular",IF(B661&lt;=($C$9-$B$9)/($D$9-$B$9),$B$9+SQRT(B661*($D$9-$B$9)*($C$9-$B$9)),$D$9-SQRT((1-B661)*($D$9-$B$9)*($D$9-$C$9))),"PERT",_xlfn.BETA.INV(B661,1+$B$6*($C$9-$B$9)/($D$9-$B$9),1+$B$6*($D$9-$C$9)/($D$9-$B$9),$B$9,$D$9))</f>
        <v>1.9841283947007282</v>
      </c>
      <c r="E661" s="94" cm="1">
        <f t="array" aca="1" ref="E661" ca="1">_xlfn.SWITCH($B$4,"Normal MLE",EXP(_xlfn.NORM.INV(C661,LN($C$10),$E$10/$C$10)),"Uniforme",$B$10+($D$10-$B$10)*C661,"Triangular",IF(C661&lt;=($C$10-$B$10)/($D$10-$B$10),$B$10+SQRT(C661*($D$10-$B$10)*($C$10-$B$10)),$D$10-SQRT((1-C661)*($D$10-$B$10)*($D$10-$C$10))),"PERT",_xlfn.BETA.INV(C661,1+$B$6*($C$10-$B$10)/($D$10-$B$10),1+$B$6*($D$10-$C$10)/($D$10-$B$10),$B$10,$D$10))</f>
        <v>4966.2176538848698</v>
      </c>
      <c r="F661" s="88">
        <f t="shared" ca="1" si="31"/>
        <v>0.52154050035761956</v>
      </c>
      <c r="G661" s="89">
        <f t="shared" ca="1" si="32"/>
        <v>1.6840605079317548E-4</v>
      </c>
    </row>
    <row r="662" spans="1:7" x14ac:dyDescent="0.35">
      <c r="A662" s="84">
        <v>647</v>
      </c>
      <c r="B662" s="84">
        <f t="shared" ca="1" si="30"/>
        <v>0.50472018871572721</v>
      </c>
      <c r="C662" s="84">
        <f t="shared" ca="1" si="30"/>
        <v>0.44019690965006641</v>
      </c>
      <c r="D662" s="93" cm="1">
        <f t="array" aca="1" ref="D662" ca="1">_xlfn.SWITCH($B$4,"Normal MLE",EXP(_xlfn.NORM.INV(B662,LN($C$9),$E$9/$C$9)),"Uniforme",$B$9+($D$9-$B$9)*B662,"Triangular",IF(B662&lt;=($C$9-$B$9)/($D$9-$B$9),$B$9+SQRT(B662*($D$9-$B$9)*($C$9-$B$9)),$D$9-SQRT((1-B662)*($D$9-$B$9)*($D$9-$C$9))),"PERT",_xlfn.BETA.INV(B662,1+$B$6*($C$9-$B$9)/($D$9-$B$9),1+$B$6*($D$9-$C$9)/($D$9-$B$9),$B$9,$D$9))</f>
        <v>1.9492993000809109</v>
      </c>
      <c r="E662" s="94" cm="1">
        <f t="array" aca="1" ref="E662" ca="1">_xlfn.SWITCH($B$4,"Normal MLE",EXP(_xlfn.NORM.INV(C662,LN($C$10),$E$10/$C$10)),"Uniforme",$B$10+($D$10-$B$10)*C662,"Triangular",IF(C662&lt;=($C$10-$B$10)/($D$10-$B$10),$B$10+SQRT(C662*($D$10-$B$10)*($C$10-$B$10)),$D$10-SQRT((1-C662)*($D$10-$B$10)*($D$10-$C$10))),"PERT",_xlfn.BETA.INV(C662,1+$B$6*($C$10-$B$10)/($D$10-$B$10),1+$B$6*($D$10-$C$10)/($D$10-$B$10),$B$10,$D$10))</f>
        <v>5064.1919956209895</v>
      </c>
      <c r="F662" s="88">
        <f t="shared" ca="1" si="31"/>
        <v>0.53185490924590195</v>
      </c>
      <c r="G662" s="89">
        <f t="shared" ca="1" si="32"/>
        <v>1.6364610047348138E-4</v>
      </c>
    </row>
    <row r="663" spans="1:7" x14ac:dyDescent="0.35">
      <c r="A663" s="84">
        <v>648</v>
      </c>
      <c r="B663" s="84">
        <f t="shared" ca="1" si="30"/>
        <v>0.2372595611446946</v>
      </c>
      <c r="C663" s="84">
        <f t="shared" ca="1" si="30"/>
        <v>0.48985235744971134</v>
      </c>
      <c r="D663" s="93" cm="1">
        <f t="array" aca="1" ref="D663" ca="1">_xlfn.SWITCH($B$4,"Normal MLE",EXP(_xlfn.NORM.INV(B663,LN($C$9),$E$9/$C$9)),"Uniforme",$B$9+($D$9-$B$9)*B663,"Triangular",IF(B663&lt;=($C$9-$B$9)/($D$9-$B$9),$B$9+SQRT(B663*($D$9-$B$9)*($C$9-$B$9)),$D$9-SQRT((1-B663)*($D$9-$B$9)*($D$9-$C$9))),"PERT",_xlfn.BETA.INV(B663,1+$B$6*($C$9-$B$9)/($D$9-$B$9),1+$B$6*($D$9-$C$9)/($D$9-$B$9),$B$9,$D$9))</f>
        <v>1.8520193717183038</v>
      </c>
      <c r="E663" s="94" cm="1">
        <f t="array" aca="1" ref="E663" ca="1">_xlfn.SWITCH($B$4,"Normal MLE",EXP(_xlfn.NORM.INV(C663,LN($C$10),$E$10/$C$10)),"Uniforme",$B$10+($D$10-$B$10)*C663,"Triangular",IF(C663&lt;=($C$10-$B$10)/($D$10-$B$10),$B$10+SQRT(C663*($D$10-$B$10)*($C$10-$B$10)),$D$10-SQRT((1-C663)*($D$10-$B$10)*($D$10-$C$10))),"PERT",_xlfn.BETA.INV(C663,1+$B$6*($C$10-$B$10)/($D$10-$B$10),1+$B$6*($D$10-$C$10)/($D$10-$B$10),$B$10,$D$10))</f>
        <v>5093.7424842934133</v>
      </c>
      <c r="F663" s="88">
        <f t="shared" ca="1" si="31"/>
        <v>0.5277580704329311</v>
      </c>
      <c r="G663" s="89">
        <f t="shared" ca="1" si="32"/>
        <v>1.5617121550248037E-4</v>
      </c>
    </row>
    <row r="664" spans="1:7" x14ac:dyDescent="0.35">
      <c r="A664" s="84">
        <v>649</v>
      </c>
      <c r="B664" s="84">
        <f t="shared" ca="1" si="30"/>
        <v>0.16204142513008246</v>
      </c>
      <c r="C664" s="84">
        <f t="shared" ca="1" si="30"/>
        <v>0.32174056216507763</v>
      </c>
      <c r="D664" s="93" cm="1">
        <f t="array" aca="1" ref="D664" ca="1">_xlfn.SWITCH($B$4,"Normal MLE",EXP(_xlfn.NORM.INV(B664,LN($C$9),$E$9/$C$9)),"Uniforme",$B$9+($D$9-$B$9)*B664,"Triangular",IF(B664&lt;=($C$9-$B$9)/($D$9-$B$9),$B$9+SQRT(B664*($D$9-$B$9)*($C$9-$B$9)),$D$9-SQRT((1-B664)*($D$9-$B$9)*($D$9-$C$9))),"PERT",_xlfn.BETA.INV(B664,1+$B$6*($C$9-$B$9)/($D$9-$B$9),1+$B$6*($D$9-$C$9)/($D$9-$B$9),$B$9,$D$9))</f>
        <v>1.817016650768204</v>
      </c>
      <c r="E664" s="94" cm="1">
        <f t="array" aca="1" ref="E664" ca="1">_xlfn.SWITCH($B$4,"Normal MLE",EXP(_xlfn.NORM.INV(C664,LN($C$10),$E$10/$C$10)),"Uniforme",$B$10+($D$10-$B$10)*C664,"Triangular",IF(C664&lt;=($C$10-$B$10)/($D$10-$B$10),$B$10+SQRT(C664*($D$10-$B$10)*($C$10-$B$10)),$D$10-SQRT((1-C664)*($D$10-$B$10)*($D$10-$C$10))),"PERT",_xlfn.BETA.INV(C664,1+$B$6*($C$10-$B$10)/($D$10-$B$10),1+$B$6*($D$10-$C$10)/($D$10-$B$10),$B$10,$D$10))</f>
        <v>4991.1124125561137</v>
      </c>
      <c r="F664" s="88">
        <f t="shared" ca="1" si="31"/>
        <v>0.51230678213390546</v>
      </c>
      <c r="G664" s="89">
        <f t="shared" ca="1" si="32"/>
        <v>1.5564882161323706E-4</v>
      </c>
    </row>
    <row r="665" spans="1:7" x14ac:dyDescent="0.35">
      <c r="A665" s="84">
        <v>650</v>
      </c>
      <c r="B665" s="84">
        <f t="shared" ca="1" si="30"/>
        <v>0.43220703294054363</v>
      </c>
      <c r="C665" s="84">
        <f t="shared" ca="1" si="30"/>
        <v>0.81670109252272072</v>
      </c>
      <c r="D665" s="93" cm="1">
        <f t="array" aca="1" ref="D665" ca="1">_xlfn.SWITCH($B$4,"Normal MLE",EXP(_xlfn.NORM.INV(B665,LN($C$9),$E$9/$C$9)),"Uniforme",$B$9+($D$9-$B$9)*B665,"Triangular",IF(B665&lt;=($C$9-$B$9)/($D$9-$B$9),$B$9+SQRT(B665*($D$9-$B$9)*($C$9-$B$9)),$D$9-SQRT((1-B665)*($D$9-$B$9)*($D$9-$C$9))),"PERT",_xlfn.BETA.INV(B665,1+$B$6*($C$9-$B$9)/($D$9-$B$9),1+$B$6*($D$9-$C$9)/($D$9-$B$9),$B$9,$D$9))</f>
        <v>1.924395863345771</v>
      </c>
      <c r="E665" s="94" cm="1">
        <f t="array" aca="1" ref="E665" ca="1">_xlfn.SWITCH($B$4,"Normal MLE",EXP(_xlfn.NORM.INV(C665,LN($C$10),$E$10/$C$10)),"Uniforme",$B$10+($D$10-$B$10)*C665,"Triangular",IF(C665&lt;=($C$10-$B$10)/($D$10-$B$10),$B$10+SQRT(C665*($D$10-$B$10)*($C$10-$B$10)),$D$10-SQRT((1-C665)*($D$10-$B$10)*($D$10-$C$10))),"PERT",_xlfn.BETA.INV(C665,1+$B$6*($C$10-$B$10)/($D$10-$B$10),1+$B$6*($D$10-$C$10)/($D$10-$B$10),$B$10,$D$10))</f>
        <v>5318.6035567199169</v>
      </c>
      <c r="F665" s="88">
        <f t="shared" ca="1" si="31"/>
        <v>0.56105513638593185</v>
      </c>
      <c r="G665" s="89">
        <f t="shared" ca="1" si="32"/>
        <v>1.5599827135300243E-4</v>
      </c>
    </row>
    <row r="666" spans="1:7" x14ac:dyDescent="0.35">
      <c r="A666" s="84">
        <v>651</v>
      </c>
      <c r="B666" s="84">
        <f t="shared" ca="1" si="30"/>
        <v>0.45799868461240234</v>
      </c>
      <c r="C666" s="84">
        <f t="shared" ca="1" si="30"/>
        <v>0.11300052491245183</v>
      </c>
      <c r="D666" s="93" cm="1">
        <f t="array" aca="1" ref="D666" ca="1">_xlfn.SWITCH($B$4,"Normal MLE",EXP(_xlfn.NORM.INV(B666,LN($C$9),$E$9/$C$9)),"Uniforme",$B$9+($D$9-$B$9)*B666,"Triangular",IF(B666&lt;=($C$9-$B$9)/($D$9-$B$9),$B$9+SQRT(B666*($D$9-$B$9)*($C$9-$B$9)),$D$9-SQRT((1-B666)*($D$9-$B$9)*($D$9-$C$9))),"PERT",_xlfn.BETA.INV(B666,1+$B$6*($C$9-$B$9)/($D$9-$B$9),1+$B$6*($D$9-$C$9)/($D$9-$B$9),$B$9,$D$9))</f>
        <v>1.9332627864802627</v>
      </c>
      <c r="E666" s="94" cm="1">
        <f t="array" aca="1" ref="E666" ca="1">_xlfn.SWITCH($B$4,"Normal MLE",EXP(_xlfn.NORM.INV(C666,LN($C$10),$E$10/$C$10)),"Uniforme",$B$10+($D$10-$B$10)*C666,"Triangular",IF(C666&lt;=($C$10-$B$10)/($D$10-$B$10),$B$10+SQRT(C666*($D$10-$B$10)*($C$10-$B$10)),$D$10-SQRT((1-C666)*($D$10-$B$10)*($D$10-$C$10))),"PERT",_xlfn.BETA.INV(C666,1+$B$6*($C$10-$B$10)/($D$10-$B$10),1+$B$6*($D$10-$C$10)/($D$10-$B$10),$B$10,$D$10))</f>
        <v>4820.3975485648343</v>
      </c>
      <c r="F666" s="88">
        <f t="shared" ca="1" si="31"/>
        <v>0.49797438887320067</v>
      </c>
      <c r="G666" s="89">
        <f t="shared" ca="1" si="32"/>
        <v>1.6780288231224517E-4</v>
      </c>
    </row>
    <row r="667" spans="1:7" x14ac:dyDescent="0.35">
      <c r="A667" s="84">
        <v>652</v>
      </c>
      <c r="B667" s="84">
        <f t="shared" ca="1" si="30"/>
        <v>0.83661191237265675</v>
      </c>
      <c r="C667" s="84">
        <f t="shared" ca="1" si="30"/>
        <v>0.94693343223781079</v>
      </c>
      <c r="D667" s="93" cm="1">
        <f t="array" aca="1" ref="D667" ca="1">_xlfn.SWITCH($B$4,"Normal MLE",EXP(_xlfn.NORM.INV(B667,LN($C$9),$E$9/$C$9)),"Uniforme",$B$9+($D$9-$B$9)*B667,"Triangular",IF(B667&lt;=($C$9-$B$9)/($D$9-$B$9),$B$9+SQRT(B667*($D$9-$B$9)*($C$9-$B$9)),$D$9-SQRT((1-B667)*($D$9-$B$9)*($D$9-$C$9))),"PERT",_xlfn.BETA.INV(B667,1+$B$6*($C$9-$B$9)/($D$9-$B$9),1+$B$6*($D$9-$C$9)/($D$9-$B$9),$B$9,$D$9))</f>
        <v>2.0869258223981979</v>
      </c>
      <c r="E667" s="94" cm="1">
        <f t="array" aca="1" ref="E667" ca="1">_xlfn.SWITCH($B$4,"Normal MLE",EXP(_xlfn.NORM.INV(C667,LN($C$10),$E$10/$C$10)),"Uniforme",$B$10+($D$10-$B$10)*C667,"Triangular",IF(C667&lt;=($C$10-$B$10)/($D$10-$B$10),$B$10+SQRT(C667*($D$10-$B$10)*($C$10-$B$10)),$D$10-SQRT((1-C667)*($D$10-$B$10)*($D$10-$C$10))),"PERT",_xlfn.BETA.INV(C667,1+$B$6*($C$10-$B$10)/($D$10-$B$10),1+$B$6*($D$10-$C$10)/($D$10-$B$10),$B$10,$D$10))</f>
        <v>5498.0181184946478</v>
      </c>
      <c r="F667" s="88">
        <f t="shared" ca="1" si="31"/>
        <v>0.5975771469922786</v>
      </c>
      <c r="G667" s="89">
        <f t="shared" ca="1" si="32"/>
        <v>1.6052407694766213E-4</v>
      </c>
    </row>
    <row r="668" spans="1:7" x14ac:dyDescent="0.35">
      <c r="A668" s="84">
        <v>653</v>
      </c>
      <c r="B668" s="84">
        <f t="shared" ca="1" si="30"/>
        <v>0.18836236667387096</v>
      </c>
      <c r="C668" s="84">
        <f t="shared" ca="1" si="30"/>
        <v>0.67022540374532114</v>
      </c>
      <c r="D668" s="93" cm="1">
        <f t="array" aca="1" ref="D668" ca="1">_xlfn.SWITCH($B$4,"Normal MLE",EXP(_xlfn.NORM.INV(B668,LN($C$9),$E$9/$C$9)),"Uniforme",$B$9+($D$9-$B$9)*B668,"Triangular",IF(B668&lt;=($C$9-$B$9)/($D$9-$B$9),$B$9+SQRT(B668*($D$9-$B$9)*($C$9-$B$9)),$D$9-SQRT((1-B668)*($D$9-$B$9)*($D$9-$C$9))),"PERT",_xlfn.BETA.INV(B668,1+$B$6*($C$9-$B$9)/($D$9-$B$9),1+$B$6*($D$9-$C$9)/($D$9-$B$9),$B$9,$D$9))</f>
        <v>1.8301348878713328</v>
      </c>
      <c r="E668" s="94" cm="1">
        <f t="array" aca="1" ref="E668" ca="1">_xlfn.SWITCH($B$4,"Normal MLE",EXP(_xlfn.NORM.INV(C668,LN($C$10),$E$10/$C$10)),"Uniforme",$B$10+($D$10-$B$10)*C668,"Triangular",IF(C668&lt;=($C$10-$B$10)/($D$10-$B$10),$B$10+SQRT(C668*($D$10-$B$10)*($C$10-$B$10)),$D$10-SQRT((1-C668)*($D$10-$B$10)*($D$10-$C$10))),"PERT",_xlfn.BETA.INV(C668,1+$B$6*($C$10-$B$10)/($D$10-$B$10),1+$B$6*($D$10-$C$10)/($D$10-$B$10),$B$10,$D$10))</f>
        <v>5205.4004326412933</v>
      </c>
      <c r="F668" s="88">
        <f t="shared" ca="1" si="31"/>
        <v>0.53928614379356821</v>
      </c>
      <c r="G668" s="89">
        <f t="shared" ca="1" si="32"/>
        <v>1.523651491368566E-4</v>
      </c>
    </row>
    <row r="669" spans="1:7" x14ac:dyDescent="0.35">
      <c r="A669" s="84">
        <v>654</v>
      </c>
      <c r="B669" s="84">
        <f t="shared" ca="1" si="30"/>
        <v>0.48209761739752632</v>
      </c>
      <c r="C669" s="84">
        <f t="shared" ca="1" si="30"/>
        <v>0.93566585301442018</v>
      </c>
      <c r="D669" s="93" cm="1">
        <f t="array" aca="1" ref="D669" ca="1">_xlfn.SWITCH($B$4,"Normal MLE",EXP(_xlfn.NORM.INV(B669,LN($C$9),$E$9/$C$9)),"Uniforme",$B$9+($D$9-$B$9)*B669,"Triangular",IF(B669&lt;=($C$9-$B$9)/($D$9-$B$9),$B$9+SQRT(B669*($D$9-$B$9)*($C$9-$B$9)),$D$9-SQRT((1-B669)*($D$9-$B$9)*($D$9-$C$9))),"PERT",_xlfn.BETA.INV(B669,1+$B$6*($C$9-$B$9)/($D$9-$B$9),1+$B$6*($D$9-$C$9)/($D$9-$B$9),$B$9,$D$9))</f>
        <v>1.9415287158610115</v>
      </c>
      <c r="E669" s="94" cm="1">
        <f t="array" aca="1" ref="E669" ca="1">_xlfn.SWITCH($B$4,"Normal MLE",EXP(_xlfn.NORM.INV(C669,LN($C$10),$E$10/$C$10)),"Uniforme",$B$10+($D$10-$B$10)*C669,"Triangular",IF(C669&lt;=($C$10-$B$10)/($D$10-$B$10),$B$10+SQRT(C669*($D$10-$B$10)*($C$10-$B$10)),$D$10-SQRT((1-C669)*($D$10-$B$10)*($D$10-$C$10))),"PERT",_xlfn.BETA.INV(C669,1+$B$6*($C$10-$B$10)/($D$10-$B$10),1+$B$6*($D$10-$C$10)/($D$10-$B$10),$B$10,$D$10))</f>
        <v>5473.3980158081531</v>
      </c>
      <c r="F669" s="88">
        <f t="shared" ca="1" si="31"/>
        <v>0.5804432622394361</v>
      </c>
      <c r="G669" s="89">
        <f t="shared" ca="1" si="32"/>
        <v>1.5325446588114667E-4</v>
      </c>
    </row>
    <row r="670" spans="1:7" x14ac:dyDescent="0.35">
      <c r="A670" s="84">
        <v>655</v>
      </c>
      <c r="B670" s="84">
        <f t="shared" ca="1" si="30"/>
        <v>0.4710879340946057</v>
      </c>
      <c r="C670" s="84">
        <f t="shared" ca="1" si="30"/>
        <v>0.51765608097820015</v>
      </c>
      <c r="D670" s="93" cm="1">
        <f t="array" aca="1" ref="D670" ca="1">_xlfn.SWITCH($B$4,"Normal MLE",EXP(_xlfn.NORM.INV(B670,LN($C$9),$E$9/$C$9)),"Uniforme",$B$9+($D$9-$B$9)*B670,"Triangular",IF(B670&lt;=($C$9-$B$9)/($D$9-$B$9),$B$9+SQRT(B670*($D$9-$B$9)*($C$9-$B$9)),$D$9-SQRT((1-B670)*($D$9-$B$9)*($D$9-$C$9))),"PERT",_xlfn.BETA.INV(B670,1+$B$6*($C$9-$B$9)/($D$9-$B$9),1+$B$6*($D$9-$C$9)/($D$9-$B$9),$B$9,$D$9))</f>
        <v>1.9377526373556826</v>
      </c>
      <c r="E670" s="94" cm="1">
        <f t="array" aca="1" ref="E670" ca="1">_xlfn.SWITCH($B$4,"Normal MLE",EXP(_xlfn.NORM.INV(C670,LN($C$10),$E$10/$C$10)),"Uniforme",$B$10+($D$10-$B$10)*C670,"Triangular",IF(C670&lt;=($C$10-$B$10)/($D$10-$B$10),$B$10+SQRT(C670*($D$10-$B$10)*($C$10-$B$10)),$D$10-SQRT((1-C670)*($D$10-$B$10)*($D$10-$C$10))),"PERT",_xlfn.BETA.INV(C670,1+$B$6*($C$10-$B$10)/($D$10-$B$10),1+$B$6*($D$10-$C$10)/($D$10-$B$10),$B$10,$D$10))</f>
        <v>5110.2931257298942</v>
      </c>
      <c r="F670" s="88">
        <f t="shared" ca="1" si="31"/>
        <v>0.5368233259990387</v>
      </c>
      <c r="G670" s="89">
        <f t="shared" ca="1" si="32"/>
        <v>1.6177831934759956E-4</v>
      </c>
    </row>
    <row r="671" spans="1:7" x14ac:dyDescent="0.35">
      <c r="A671" s="84">
        <v>656</v>
      </c>
      <c r="B671" s="84">
        <f t="shared" ca="1" si="30"/>
        <v>0.60792911850493669</v>
      </c>
      <c r="C671" s="84">
        <f t="shared" ca="1" si="30"/>
        <v>0.87698589376496039</v>
      </c>
      <c r="D671" s="93" cm="1">
        <f t="array" aca="1" ref="D671" ca="1">_xlfn.SWITCH($B$4,"Normal MLE",EXP(_xlfn.NORM.INV(B671,LN($C$9),$E$9/$C$9)),"Uniforme",$B$9+($D$9-$B$9)*B671,"Triangular",IF(B671&lt;=($C$9-$B$9)/($D$9-$B$9),$B$9+SQRT(B671*($D$9-$B$9)*($C$9-$B$9)),$D$9-SQRT((1-B671)*($D$9-$B$9)*($D$9-$C$9))),"PERT",_xlfn.BETA.INV(B671,1+$B$6*($C$9-$B$9)/($D$9-$B$9),1+$B$6*($D$9-$C$9)/($D$9-$B$9),$B$9,$D$9))</f>
        <v>1.9856105907567434</v>
      </c>
      <c r="E671" s="94" cm="1">
        <f t="array" aca="1" ref="E671" ca="1">_xlfn.SWITCH($B$4,"Normal MLE",EXP(_xlfn.NORM.INV(C671,LN($C$10),$E$10/$C$10)),"Uniforme",$B$10+($D$10-$B$10)*C671,"Triangular",IF(C671&lt;=($C$10-$B$10)/($D$10-$B$10),$B$10+SQRT(C671*($D$10-$B$10)*($C$10-$B$10)),$D$10-SQRT((1-C671)*($D$10-$B$10)*($D$10-$C$10))),"PERT",_xlfn.BETA.INV(C671,1+$B$6*($C$10-$B$10)/($D$10-$B$10),1+$B$6*($D$10-$C$10)/($D$10-$B$10),$B$10,$D$10))</f>
        <v>5382.6388879621763</v>
      </c>
      <c r="F671" s="88">
        <f t="shared" ca="1" si="31"/>
        <v>0.57429832032822381</v>
      </c>
      <c r="G671" s="89">
        <f t="shared" ca="1" si="32"/>
        <v>1.5810894131675711E-4</v>
      </c>
    </row>
    <row r="672" spans="1:7" x14ac:dyDescent="0.35">
      <c r="A672" s="84">
        <v>657</v>
      </c>
      <c r="B672" s="84">
        <f t="shared" ca="1" si="30"/>
        <v>8.2763766356847235E-2</v>
      </c>
      <c r="C672" s="84">
        <f t="shared" ca="1" si="30"/>
        <v>0.72235997909580285</v>
      </c>
      <c r="D672" s="93" cm="1">
        <f t="array" aca="1" ref="D672" ca="1">_xlfn.SWITCH($B$4,"Normal MLE",EXP(_xlfn.NORM.INV(B672,LN($C$9),$E$9/$C$9)),"Uniforme",$B$9+($D$9-$B$9)*B672,"Triangular",IF(B672&lt;=($C$9-$B$9)/($D$9-$B$9),$B$9+SQRT(B672*($D$9-$B$9)*($C$9-$B$9)),$D$9-SQRT((1-B672)*($D$9-$B$9)*($D$9-$C$9))),"PERT",_xlfn.BETA.INV(B672,1+$B$6*($C$9-$B$9)/($D$9-$B$9),1+$B$6*($D$9-$C$9)/($D$9-$B$9),$B$9,$D$9))</f>
        <v>1.7664727478534179</v>
      </c>
      <c r="E672" s="94" cm="1">
        <f t="array" aca="1" ref="E672" ca="1">_xlfn.SWITCH($B$4,"Normal MLE",EXP(_xlfn.NORM.INV(C672,LN($C$10),$E$10/$C$10)),"Uniforme",$B$10+($D$10-$B$10)*C672,"Triangular",IF(C672&lt;=($C$10-$B$10)/($D$10-$B$10),$B$10+SQRT(C672*($D$10-$B$10)*($C$10-$B$10)),$D$10-SQRT((1-C672)*($D$10-$B$10)*($D$10-$C$10))),"PERT",_xlfn.BETA.INV(C672,1+$B$6*($C$10-$B$10)/($D$10-$B$10),1+$B$6*($D$10-$C$10)/($D$10-$B$10),$B$10,$D$10))</f>
        <v>5241.6988050605169</v>
      </c>
      <c r="F672" s="88">
        <f t="shared" ca="1" si="31"/>
        <v>0.53778845878274861</v>
      </c>
      <c r="G672" s="89">
        <f t="shared" ca="1" si="32"/>
        <v>1.4731711485794244E-4</v>
      </c>
    </row>
    <row r="673" spans="1:7" x14ac:dyDescent="0.35">
      <c r="A673" s="84">
        <v>658</v>
      </c>
      <c r="B673" s="84">
        <f t="shared" ca="1" si="30"/>
        <v>0.35910651238076297</v>
      </c>
      <c r="C673" s="84">
        <f t="shared" ca="1" si="30"/>
        <v>0.3661810977071478</v>
      </c>
      <c r="D673" s="93" cm="1">
        <f t="array" aca="1" ref="D673" ca="1">_xlfn.SWITCH($B$4,"Normal MLE",EXP(_xlfn.NORM.INV(B673,LN($C$9),$E$9/$C$9)),"Uniforme",$B$9+($D$9-$B$9)*B673,"Triangular",IF(B673&lt;=($C$9-$B$9)/($D$9-$B$9),$B$9+SQRT(B673*($D$9-$B$9)*($C$9-$B$9)),$D$9-SQRT((1-B673)*($D$9-$B$9)*($D$9-$C$9))),"PERT",_xlfn.BETA.INV(B673,1+$B$6*($C$9-$B$9)/($D$9-$B$9),1+$B$6*($D$9-$C$9)/($D$9-$B$9),$B$9,$D$9))</f>
        <v>1.8988074614138166</v>
      </c>
      <c r="E673" s="94" cm="1">
        <f t="array" aca="1" ref="E673" ca="1">_xlfn.SWITCH($B$4,"Normal MLE",EXP(_xlfn.NORM.INV(C673,LN($C$10),$E$10/$C$10)),"Uniforme",$B$10+($D$10-$B$10)*C673,"Triangular",IF(C673&lt;=($C$10-$B$10)/($D$10-$B$10),$B$10+SQRT(C673*($D$10-$B$10)*($C$10-$B$10)),$D$10-SQRT((1-C673)*($D$10-$B$10)*($D$10-$C$10))),"PERT",_xlfn.BETA.INV(C673,1+$B$6*($C$10-$B$10)/($D$10-$B$10),1+$B$6*($D$10-$C$10)/($D$10-$B$10),$B$10,$D$10))</f>
        <v>5019.2603521320007</v>
      </c>
      <c r="F673" s="88">
        <f t="shared" ca="1" si="31"/>
        <v>0.52212178791257779</v>
      </c>
      <c r="G673" s="89">
        <f t="shared" ca="1" si="32"/>
        <v>1.6106783606929096E-4</v>
      </c>
    </row>
    <row r="674" spans="1:7" x14ac:dyDescent="0.35">
      <c r="A674" s="84">
        <v>659</v>
      </c>
      <c r="B674" s="84">
        <f t="shared" ca="1" si="30"/>
        <v>0.92863072400464541</v>
      </c>
      <c r="C674" s="84">
        <f t="shared" ca="1" si="30"/>
        <v>0.43836062816052468</v>
      </c>
      <c r="D674" s="93" cm="1">
        <f t="array" aca="1" ref="D674" ca="1">_xlfn.SWITCH($B$4,"Normal MLE",EXP(_xlfn.NORM.INV(B674,LN($C$9),$E$9/$C$9)),"Uniforme",$B$9+($D$9-$B$9)*B674,"Triangular",IF(B674&lt;=($C$9-$B$9)/($D$9-$B$9),$B$9+SQRT(B674*($D$9-$B$9)*($C$9-$B$9)),$D$9-SQRT((1-B674)*($D$9-$B$9)*($D$9-$C$9))),"PERT",_xlfn.BETA.INV(B674,1+$B$6*($C$9-$B$9)/($D$9-$B$9),1+$B$6*($D$9-$C$9)/($D$9-$B$9),$B$9,$D$9))</f>
        <v>2.1594388432824796</v>
      </c>
      <c r="E674" s="94" cm="1">
        <f t="array" aca="1" ref="E674" ca="1">_xlfn.SWITCH($B$4,"Normal MLE",EXP(_xlfn.NORM.INV(C674,LN($C$10),$E$10/$C$10)),"Uniforme",$B$10+($D$10-$B$10)*C674,"Triangular",IF(C674&lt;=($C$10-$B$10)/($D$10-$B$10),$B$10+SQRT(C674*($D$10-$B$10)*($C$10-$B$10)),$D$10-SQRT((1-C674)*($D$10-$B$10)*($D$10-$C$10))),"PERT",_xlfn.BETA.INV(C674,1+$B$6*($C$10-$B$10)/($D$10-$B$10),1+$B$6*($D$10-$C$10)/($D$10-$B$10),$B$10,$D$10))</f>
        <v>5063.094669629585</v>
      </c>
      <c r="F674" s="88">
        <f t="shared" ca="1" si="31"/>
        <v>0.54819186471468617</v>
      </c>
      <c r="G674" s="89">
        <f t="shared" ca="1" si="32"/>
        <v>1.7790242153639161E-4</v>
      </c>
    </row>
    <row r="675" spans="1:7" x14ac:dyDescent="0.35">
      <c r="A675" s="84">
        <v>660</v>
      </c>
      <c r="B675" s="84">
        <f t="shared" ca="1" si="30"/>
        <v>0.42377938956635397</v>
      </c>
      <c r="C675" s="84">
        <f t="shared" ca="1" si="30"/>
        <v>0.92496759145205032</v>
      </c>
      <c r="D675" s="93" cm="1">
        <f t="array" aca="1" ref="D675" ca="1">_xlfn.SWITCH($B$4,"Normal MLE",EXP(_xlfn.NORM.INV(B675,LN($C$9),$E$9/$C$9)),"Uniforme",$B$9+($D$9-$B$9)*B675,"Triangular",IF(B675&lt;=($C$9-$B$9)/($D$9-$B$9),$B$9+SQRT(B675*($D$9-$B$9)*($C$9-$B$9)),$D$9-SQRT((1-B675)*($D$9-$B$9)*($D$9-$C$9))),"PERT",_xlfn.BETA.INV(B675,1+$B$6*($C$9-$B$9)/($D$9-$B$9),1+$B$6*($D$9-$C$9)/($D$9-$B$9),$B$9,$D$9))</f>
        <v>1.921487718696826</v>
      </c>
      <c r="E675" s="94" cm="1">
        <f t="array" aca="1" ref="E675" ca="1">_xlfn.SWITCH($B$4,"Normal MLE",EXP(_xlfn.NORM.INV(C675,LN($C$10),$E$10/$C$10)),"Uniforme",$B$10+($D$10-$B$10)*C675,"Triangular",IF(C675&lt;=($C$10-$B$10)/($D$10-$B$10),$B$10+SQRT(C675*($D$10-$B$10)*($C$10-$B$10)),$D$10-SQRT((1-C675)*($D$10-$B$10)*($D$10-$C$10))),"PERT",_xlfn.BETA.INV(C675,1+$B$6*($C$10-$B$10)/($D$10-$B$10),1+$B$6*($D$10-$C$10)/($D$10-$B$10),$B$10,$D$10))</f>
        <v>5453.041620409771</v>
      </c>
      <c r="F675" s="88">
        <f t="shared" ca="1" si="31"/>
        <v>0.57618530084650266</v>
      </c>
      <c r="G675" s="89">
        <f t="shared" ca="1" si="32"/>
        <v>1.5259779014354887E-4</v>
      </c>
    </row>
    <row r="676" spans="1:7" x14ac:dyDescent="0.35">
      <c r="A676" s="84">
        <v>661</v>
      </c>
      <c r="B676" s="84">
        <f t="shared" ca="1" si="30"/>
        <v>0.46623551206743563</v>
      </c>
      <c r="C676" s="84">
        <f t="shared" ca="1" si="30"/>
        <v>7.5965018907383608E-2</v>
      </c>
      <c r="D676" s="93" cm="1">
        <f t="array" aca="1" ref="D676" ca="1">_xlfn.SWITCH($B$4,"Normal MLE",EXP(_xlfn.NORM.INV(B676,LN($C$9),$E$9/$C$9)),"Uniforme",$B$9+($D$9-$B$9)*B676,"Triangular",IF(B676&lt;=($C$9-$B$9)/($D$9-$B$9),$B$9+SQRT(B676*($D$9-$B$9)*($C$9-$B$9)),$D$9-SQRT((1-B676)*($D$9-$B$9)*($D$9-$C$9))),"PERT",_xlfn.BETA.INV(B676,1+$B$6*($C$9-$B$9)/($D$9-$B$9),1+$B$6*($D$9-$C$9)/($D$9-$B$9),$B$9,$D$9))</f>
        <v>1.9360884642775373</v>
      </c>
      <c r="E676" s="94" cm="1">
        <f t="array" aca="1" ref="E676" ca="1">_xlfn.SWITCH($B$4,"Normal MLE",EXP(_xlfn.NORM.INV(C676,LN($C$10),$E$10/$C$10)),"Uniforme",$B$10+($D$10-$B$10)*C676,"Triangular",IF(C676&lt;=($C$10-$B$10)/($D$10-$B$10),$B$10+SQRT(C676*($D$10-$B$10)*($C$10-$B$10)),$D$10-SQRT((1-C676)*($D$10-$B$10)*($D$10-$C$10))),"PERT",_xlfn.BETA.INV(C676,1+$B$6*($C$10-$B$10)/($D$10-$B$10),1+$B$6*($D$10-$C$10)/($D$10-$B$10),$B$10,$D$10))</f>
        <v>4770.8511101694821</v>
      </c>
      <c r="F676" s="88">
        <f t="shared" ca="1" si="31"/>
        <v>0.49119285735032608</v>
      </c>
      <c r="G676" s="89">
        <f t="shared" ca="1" si="32"/>
        <v>1.6901958470097789E-4</v>
      </c>
    </row>
    <row r="677" spans="1:7" x14ac:dyDescent="0.35">
      <c r="A677" s="84">
        <v>662</v>
      </c>
      <c r="B677" s="84">
        <f t="shared" ca="1" si="30"/>
        <v>5.6212229822596327E-2</v>
      </c>
      <c r="C677" s="84">
        <f t="shared" ca="1" si="30"/>
        <v>0.22280192632024043</v>
      </c>
      <c r="D677" s="93" cm="1">
        <f t="array" aca="1" ref="D677" ca="1">_xlfn.SWITCH($B$4,"Normal MLE",EXP(_xlfn.NORM.INV(B677,LN($C$9),$E$9/$C$9)),"Uniforme",$B$9+($D$9-$B$9)*B677,"Triangular",IF(B677&lt;=($C$9-$B$9)/($D$9-$B$9),$B$9+SQRT(B677*($D$9-$B$9)*($C$9-$B$9)),$D$9-SQRT((1-B677)*($D$9-$B$9)*($D$9-$C$9))),"PERT",_xlfn.BETA.INV(B677,1+$B$6*($C$9-$B$9)/($D$9-$B$9),1+$B$6*($D$9-$C$9)/($D$9-$B$9),$B$9,$D$9))</f>
        <v>1.7416860436081056</v>
      </c>
      <c r="E677" s="94" cm="1">
        <f t="array" aca="1" ref="E677" ca="1">_xlfn.SWITCH($B$4,"Normal MLE",EXP(_xlfn.NORM.INV(C677,LN($C$10),$E$10/$C$10)),"Uniforme",$B$10+($D$10-$B$10)*C677,"Triangular",IF(C677&lt;=($C$10-$B$10)/($D$10-$B$10),$B$10+SQRT(C677*($D$10-$B$10)*($C$10-$B$10)),$D$10-SQRT((1-C677)*($D$10-$B$10)*($D$10-$C$10))),"PERT",_xlfn.BETA.INV(C677,1+$B$6*($C$10-$B$10)/($D$10-$B$10),1+$B$6*($D$10-$C$10)/($D$10-$B$10),$B$10,$D$10))</f>
        <v>4921.9357718601304</v>
      </c>
      <c r="F677" s="88">
        <f t="shared" ca="1" si="31"/>
        <v>0.49817066220346184</v>
      </c>
      <c r="G677" s="89">
        <f t="shared" ca="1" si="32"/>
        <v>1.5114855581537158E-4</v>
      </c>
    </row>
    <row r="678" spans="1:7" x14ac:dyDescent="0.35">
      <c r="A678" s="84">
        <v>663</v>
      </c>
      <c r="B678" s="84">
        <f t="shared" ca="1" si="30"/>
        <v>8.6480655820178942E-2</v>
      </c>
      <c r="C678" s="84">
        <f t="shared" ca="1" si="30"/>
        <v>0.79657072911840598</v>
      </c>
      <c r="D678" s="93" cm="1">
        <f t="array" aca="1" ref="D678" ca="1">_xlfn.SWITCH($B$4,"Normal MLE",EXP(_xlfn.NORM.INV(B678,LN($C$9),$E$9/$C$9)),"Uniforme",$B$9+($D$9-$B$9)*B678,"Triangular",IF(B678&lt;=($C$9-$B$9)/($D$9-$B$9),$B$9+SQRT(B678*($D$9-$B$9)*($C$9-$B$9)),$D$9-SQRT((1-B678)*($D$9-$B$9)*($D$9-$C$9))),"PERT",_xlfn.BETA.INV(B678,1+$B$6*($C$9-$B$9)/($D$9-$B$9),1+$B$6*($D$9-$C$9)/($D$9-$B$9),$B$9,$D$9))</f>
        <v>1.7694568386370044</v>
      </c>
      <c r="E678" s="94" cm="1">
        <f t="array" aca="1" ref="E678" ca="1">_xlfn.SWITCH($B$4,"Normal MLE",EXP(_xlfn.NORM.INV(C678,LN($C$10),$E$10/$C$10)),"Uniforme",$B$10+($D$10-$B$10)*C678,"Triangular",IF(C678&lt;=($C$10-$B$10)/($D$10-$B$10),$B$10+SQRT(C678*($D$10-$B$10)*($C$10-$B$10)),$D$10-SQRT((1-C678)*($D$10-$B$10)*($D$10-$C$10))),"PERT",_xlfn.BETA.INV(C678,1+$B$6*($C$10-$B$10)/($D$10-$B$10),1+$B$6*($D$10-$C$10)/($D$10-$B$10),$B$10,$D$10))</f>
        <v>5300.460851010992</v>
      </c>
      <c r="F678" s="88">
        <f t="shared" ca="1" si="31"/>
        <v>0.54461098776836259</v>
      </c>
      <c r="G678" s="89">
        <f t="shared" ca="1" si="32"/>
        <v>1.4640093229944745E-4</v>
      </c>
    </row>
    <row r="679" spans="1:7" x14ac:dyDescent="0.35">
      <c r="A679" s="84">
        <v>664</v>
      </c>
      <c r="B679" s="84">
        <f t="shared" ca="1" si="30"/>
        <v>0.28591708902123414</v>
      </c>
      <c r="C679" s="84">
        <f t="shared" ca="1" si="30"/>
        <v>0.71890713132049644</v>
      </c>
      <c r="D679" s="93" cm="1">
        <f t="array" aca="1" ref="D679" ca="1">_xlfn.SWITCH($B$4,"Normal MLE",EXP(_xlfn.NORM.INV(B679,LN($C$9),$E$9/$C$9)),"Uniforme",$B$9+($D$9-$B$9)*B679,"Triangular",IF(B679&lt;=($C$9-$B$9)/($D$9-$B$9),$B$9+SQRT(B679*($D$9-$B$9)*($C$9-$B$9)),$D$9-SQRT((1-B679)*($D$9-$B$9)*($D$9-$C$9))),"PERT",_xlfn.BETA.INV(B679,1+$B$6*($C$9-$B$9)/($D$9-$B$9),1+$B$6*($D$9-$C$9)/($D$9-$B$9),$B$9,$D$9))</f>
        <v>1.8716585415784945</v>
      </c>
      <c r="E679" s="94" cm="1">
        <f t="array" aca="1" ref="E679" ca="1">_xlfn.SWITCH($B$4,"Normal MLE",EXP(_xlfn.NORM.INV(C679,LN($C$10),$E$10/$C$10)),"Uniforme",$B$10+($D$10-$B$10)*C679,"Triangular",IF(C679&lt;=($C$10-$B$10)/($D$10-$B$10),$B$10+SQRT(C679*($D$10-$B$10)*($C$10-$B$10)),$D$10-SQRT((1-C679)*($D$10-$B$10)*($D$10-$C$10))),"PERT",_xlfn.BETA.INV(C679,1+$B$6*($C$10-$B$10)/($D$10-$B$10),1+$B$6*($D$10-$C$10)/($D$10-$B$10),$B$10,$D$10))</f>
        <v>5239.1946839921284</v>
      </c>
      <c r="F679" s="88">
        <f t="shared" ca="1" si="31"/>
        <v>0.54692771478444135</v>
      </c>
      <c r="G679" s="89">
        <f t="shared" ca="1" si="32"/>
        <v>1.5442928896912316E-4</v>
      </c>
    </row>
    <row r="680" spans="1:7" x14ac:dyDescent="0.35">
      <c r="A680" s="84">
        <v>665</v>
      </c>
      <c r="B680" s="84">
        <f t="shared" ca="1" si="30"/>
        <v>0.93110402202835352</v>
      </c>
      <c r="C680" s="84">
        <f t="shared" ca="1" si="30"/>
        <v>8.8779744492742285E-2</v>
      </c>
      <c r="D680" s="93" cm="1">
        <f t="array" aca="1" ref="D680" ca="1">_xlfn.SWITCH($B$4,"Normal MLE",EXP(_xlfn.NORM.INV(B680,LN($C$9),$E$9/$C$9)),"Uniforme",$B$9+($D$9-$B$9)*B680,"Triangular",IF(B680&lt;=($C$9-$B$9)/($D$9-$B$9),$B$9+SQRT(B680*($D$9-$B$9)*($C$9-$B$9)),$D$9-SQRT((1-B680)*($D$9-$B$9)*($D$9-$C$9))),"PERT",_xlfn.BETA.INV(B680,1+$B$6*($C$9-$B$9)/($D$9-$B$9),1+$B$6*($D$9-$C$9)/($D$9-$B$9),$B$9,$D$9))</f>
        <v>2.1622379506411344</v>
      </c>
      <c r="E680" s="94" cm="1">
        <f t="array" aca="1" ref="E680" ca="1">_xlfn.SWITCH($B$4,"Normal MLE",EXP(_xlfn.NORM.INV(C680,LN($C$10),$E$10/$C$10)),"Uniforme",$B$10+($D$10-$B$10)*C680,"Triangular",IF(C680&lt;=($C$10-$B$10)/($D$10-$B$10),$B$10+SQRT(C680*($D$10-$B$10)*($C$10-$B$10)),$D$10-SQRT((1-C680)*($D$10-$B$10)*($D$10-$C$10))),"PERT",_xlfn.BETA.INV(C680,1+$B$6*($C$10-$B$10)/($D$10-$B$10),1+$B$6*($D$10-$C$10)/($D$10-$B$10),$B$10,$D$10))</f>
        <v>4789.6343319559683</v>
      </c>
      <c r="F680" s="88">
        <f t="shared" ca="1" si="31"/>
        <v>0.50795477182577853</v>
      </c>
      <c r="G680" s="89">
        <f t="shared" ca="1" si="32"/>
        <v>1.8599014110549526E-4</v>
      </c>
    </row>
    <row r="681" spans="1:7" x14ac:dyDescent="0.35">
      <c r="A681" s="84">
        <v>666</v>
      </c>
      <c r="B681" s="84">
        <f t="shared" ca="1" si="30"/>
        <v>0.38092065440561218</v>
      </c>
      <c r="C681" s="84">
        <f t="shared" ca="1" si="30"/>
        <v>0.1185174057817372</v>
      </c>
      <c r="D681" s="93" cm="1">
        <f t="array" aca="1" ref="D681" ca="1">_xlfn.SWITCH($B$4,"Normal MLE",EXP(_xlfn.NORM.INV(B681,LN($C$9),$E$9/$C$9)),"Uniforme",$B$9+($D$9-$B$9)*B681,"Triangular",IF(B681&lt;=($C$9-$B$9)/($D$9-$B$9),$B$9+SQRT(B681*($D$9-$B$9)*($C$9-$B$9)),$D$9-SQRT((1-B681)*($D$9-$B$9)*($D$9-$C$9))),"PERT",_xlfn.BETA.INV(B681,1+$B$6*($C$9-$B$9)/($D$9-$B$9),1+$B$6*($D$9-$C$9)/($D$9-$B$9),$B$9,$D$9))</f>
        <v>1.906549724533134</v>
      </c>
      <c r="E681" s="94" cm="1">
        <f t="array" aca="1" ref="E681" ca="1">_xlfn.SWITCH($B$4,"Normal MLE",EXP(_xlfn.NORM.INV(C681,LN($C$10),$E$10/$C$10)),"Uniforme",$B$10+($D$10-$B$10)*C681,"Triangular",IF(C681&lt;=($C$10-$B$10)/($D$10-$B$10),$B$10+SQRT(C681*($D$10-$B$10)*($C$10-$B$10)),$D$10-SQRT((1-C681)*($D$10-$B$10)*($D$10-$C$10))),"PERT",_xlfn.BETA.INV(C681,1+$B$6*($C$10-$B$10)/($D$10-$B$10),1+$B$6*($D$10-$C$10)/($D$10-$B$10),$B$10,$D$10))</f>
        <v>4826.7483745876507</v>
      </c>
      <c r="F681" s="88">
        <f t="shared" ca="1" si="31"/>
        <v>0.49711531290882749</v>
      </c>
      <c r="G681" s="89">
        <f t="shared" ca="1" si="32"/>
        <v>1.6560787905630064E-4</v>
      </c>
    </row>
    <row r="682" spans="1:7" x14ac:dyDescent="0.35">
      <c r="A682" s="84">
        <v>667</v>
      </c>
      <c r="B682" s="84">
        <f t="shared" ca="1" si="30"/>
        <v>0.32185596921139759</v>
      </c>
      <c r="C682" s="84">
        <f t="shared" ca="1" si="30"/>
        <v>0.42689612018172329</v>
      </c>
      <c r="D682" s="93" cm="1">
        <f t="array" aca="1" ref="D682" ca="1">_xlfn.SWITCH($B$4,"Normal MLE",EXP(_xlfn.NORM.INV(B682,LN($C$9),$E$9/$C$9)),"Uniforme",$B$9+($D$9-$B$9)*B682,"Triangular",IF(B682&lt;=($C$9-$B$9)/($D$9-$B$9),$B$9+SQRT(B682*($D$9-$B$9)*($C$9-$B$9)),$D$9-SQRT((1-B682)*($D$9-$B$9)*($D$9-$C$9))),"PERT",_xlfn.BETA.INV(B682,1+$B$6*($C$9-$B$9)/($D$9-$B$9),1+$B$6*($D$9-$C$9)/($D$9-$B$9),$B$9,$D$9))</f>
        <v>1.8852617952738424</v>
      </c>
      <c r="E682" s="94" cm="1">
        <f t="array" aca="1" ref="E682" ca="1">_xlfn.SWITCH($B$4,"Normal MLE",EXP(_xlfn.NORM.INV(C682,LN($C$10),$E$10/$C$10)),"Uniforme",$B$10+($D$10-$B$10)*C682,"Triangular",IF(C682&lt;=($C$10-$B$10)/($D$10-$B$10),$B$10+SQRT(C682*($D$10-$B$10)*($C$10-$B$10)),$D$10-SQRT((1-C682)*($D$10-$B$10)*($D$10-$C$10))),"PERT",_xlfn.BETA.INV(C682,1+$B$6*($C$10-$B$10)/($D$10-$B$10),1+$B$6*($D$10-$C$10)/($D$10-$B$10),$B$10,$D$10))</f>
        <v>5056.2301730595545</v>
      </c>
      <c r="F682" s="88">
        <f t="shared" ca="1" si="31"/>
        <v>0.52576593475739553</v>
      </c>
      <c r="G682" s="89">
        <f t="shared" ca="1" si="32"/>
        <v>1.5931144438489068E-4</v>
      </c>
    </row>
    <row r="683" spans="1:7" x14ac:dyDescent="0.35">
      <c r="A683" s="84">
        <v>668</v>
      </c>
      <c r="B683" s="84">
        <f t="shared" ca="1" si="30"/>
        <v>0.7304359320773619</v>
      </c>
      <c r="C683" s="84">
        <f t="shared" ca="1" si="30"/>
        <v>0.41478660331034245</v>
      </c>
      <c r="D683" s="93" cm="1">
        <f t="array" aca="1" ref="D683" ca="1">_xlfn.SWITCH($B$4,"Normal MLE",EXP(_xlfn.NORM.INV(B683,LN($C$9),$E$9/$C$9)),"Uniforme",$B$9+($D$9-$B$9)*B683,"Triangular",IF(B683&lt;=($C$9-$B$9)/($D$9-$B$9),$B$9+SQRT(B683*($D$9-$B$9)*($C$9-$B$9)),$D$9-SQRT((1-B683)*($D$9-$B$9)*($D$9-$C$9))),"PERT",_xlfn.BETA.INV(B683,1+$B$6*($C$9-$B$9)/($D$9-$B$9),1+$B$6*($D$9-$C$9)/($D$9-$B$9),$B$9,$D$9))</f>
        <v>2.0337545540618276</v>
      </c>
      <c r="E683" s="94" cm="1">
        <f t="array" aca="1" ref="E683" ca="1">_xlfn.SWITCH($B$4,"Normal MLE",EXP(_xlfn.NORM.INV(C683,LN($C$10),$E$10/$C$10)),"Uniforme",$B$10+($D$10-$B$10)*C683,"Triangular",IF(C683&lt;=($C$10-$B$10)/($D$10-$B$10),$B$10+SQRT(C683*($D$10-$B$10)*($C$10-$B$10)),$D$10-SQRT((1-C683)*($D$10-$B$10)*($D$10-$C$10))),"PERT",_xlfn.BETA.INV(C683,1+$B$6*($C$10-$B$10)/($D$10-$B$10),1+$B$6*($D$10-$C$10)/($D$10-$B$10),$B$10,$D$10))</f>
        <v>5048.9492562221012</v>
      </c>
      <c r="F683" s="88">
        <f t="shared" ca="1" si="31"/>
        <v>0.53647461148532949</v>
      </c>
      <c r="G683" s="89">
        <f t="shared" ca="1" si="32"/>
        <v>1.6986023556638937E-4</v>
      </c>
    </row>
    <row r="684" spans="1:7" x14ac:dyDescent="0.35">
      <c r="A684" s="84">
        <v>669</v>
      </c>
      <c r="B684" s="84">
        <f t="shared" ca="1" si="30"/>
        <v>0.85074721265303077</v>
      </c>
      <c r="C684" s="84">
        <f t="shared" ca="1" si="30"/>
        <v>0.78341053608886235</v>
      </c>
      <c r="D684" s="93" cm="1">
        <f t="array" aca="1" ref="D684" ca="1">_xlfn.SWITCH($B$4,"Normal MLE",EXP(_xlfn.NORM.INV(B684,LN($C$9),$E$9/$C$9)),"Uniforme",$B$9+($D$9-$B$9)*B684,"Triangular",IF(B684&lt;=($C$9-$B$9)/($D$9-$B$9),$B$9+SQRT(B684*($D$9-$B$9)*($C$9-$B$9)),$D$9-SQRT((1-B684)*($D$9-$B$9)*($D$9-$C$9))),"PERT",_xlfn.BETA.INV(B684,1+$B$6*($C$9-$B$9)/($D$9-$B$9),1+$B$6*($D$9-$C$9)/($D$9-$B$9),$B$9,$D$9))</f>
        <v>2.0956167812611661</v>
      </c>
      <c r="E684" s="94" cm="1">
        <f t="array" aca="1" ref="E684" ca="1">_xlfn.SWITCH($B$4,"Normal MLE",EXP(_xlfn.NORM.INV(C684,LN($C$10),$E$10/$C$10)),"Uniforme",$B$10+($D$10-$B$10)*C684,"Triangular",IF(C684&lt;=($C$10-$B$10)/($D$10-$B$10),$B$10+SQRT(C684*($D$10-$B$10)*($C$10-$B$10)),$D$10-SQRT((1-C684)*($D$10-$B$10)*($D$10-$C$10))),"PERT",_xlfn.BETA.INV(C684,1+$B$6*($C$10-$B$10)/($D$10-$B$10),1+$B$6*($D$10-$C$10)/($D$10-$B$10),$B$10,$D$10))</f>
        <v>5289.2078802989463</v>
      </c>
      <c r="F684" s="88">
        <f t="shared" ca="1" si="31"/>
        <v>0.57301176745462279</v>
      </c>
      <c r="G684" s="89">
        <f t="shared" ca="1" si="32"/>
        <v>1.6716789788065201E-4</v>
      </c>
    </row>
    <row r="685" spans="1:7" x14ac:dyDescent="0.35">
      <c r="A685" s="84">
        <v>670</v>
      </c>
      <c r="B685" s="84">
        <f t="shared" ca="1" si="30"/>
        <v>0.67484691831607169</v>
      </c>
      <c r="C685" s="84">
        <f t="shared" ca="1" si="30"/>
        <v>0.6291429434134177</v>
      </c>
      <c r="D685" s="93" cm="1">
        <f t="array" aca="1" ref="D685" ca="1">_xlfn.SWITCH($B$4,"Normal MLE",EXP(_xlfn.NORM.INV(B685,LN($C$9),$E$9/$C$9)),"Uniforme",$B$9+($D$9-$B$9)*B685,"Triangular",IF(B685&lt;=($C$9-$B$9)/($D$9-$B$9),$B$9+SQRT(B685*($D$9-$B$9)*($C$9-$B$9)),$D$9-SQRT((1-B685)*($D$9-$B$9)*($D$9-$C$9))),"PERT",_xlfn.BETA.INV(B685,1+$B$6*($C$9-$B$9)/($D$9-$B$9),1+$B$6*($D$9-$C$9)/($D$9-$B$9),$B$9,$D$9))</f>
        <v>2.0108560277831673</v>
      </c>
      <c r="E685" s="94" cm="1">
        <f t="array" aca="1" ref="E685" ca="1">_xlfn.SWITCH($B$4,"Normal MLE",EXP(_xlfn.NORM.INV(C685,LN($C$10),$E$10/$C$10)),"Uniforme",$B$10+($D$10-$B$10)*C685,"Triangular",IF(C685&lt;=($C$10-$B$10)/($D$10-$B$10),$B$10+SQRT(C685*($D$10-$B$10)*($C$10-$B$10)),$D$10-SQRT((1-C685)*($D$10-$B$10)*($D$10-$C$10))),"PERT",_xlfn.BETA.INV(C685,1+$B$6*($C$10-$B$10)/($D$10-$B$10),1+$B$6*($D$10-$C$10)/($D$10-$B$10),$B$10,$D$10))</f>
        <v>5178.5939761091022</v>
      </c>
      <c r="F685" s="88">
        <f t="shared" ca="1" si="31"/>
        <v>0.55159145469016047</v>
      </c>
      <c r="G685" s="89">
        <f t="shared" ca="1" si="32"/>
        <v>1.6497466328273844E-4</v>
      </c>
    </row>
    <row r="686" spans="1:7" x14ac:dyDescent="0.35">
      <c r="A686" s="84">
        <v>671</v>
      </c>
      <c r="B686" s="84">
        <f t="shared" ca="1" si="30"/>
        <v>0.61122582420975224</v>
      </c>
      <c r="C686" s="84">
        <f t="shared" ca="1" si="30"/>
        <v>0.8768917781606671</v>
      </c>
      <c r="D686" s="93" cm="1">
        <f t="array" aca="1" ref="D686" ca="1">_xlfn.SWITCH($B$4,"Normal MLE",EXP(_xlfn.NORM.INV(B686,LN($C$9),$E$9/$C$9)),"Uniforme",$B$9+($D$9-$B$9)*B686,"Triangular",IF(B686&lt;=($C$9-$B$9)/($D$9-$B$9),$B$9+SQRT(B686*($D$9-$B$9)*($C$9-$B$9)),$D$9-SQRT((1-B686)*($D$9-$B$9)*($D$9-$C$9))),"PERT",_xlfn.BETA.INV(B686,1+$B$6*($C$9-$B$9)/($D$9-$B$9),1+$B$6*($D$9-$C$9)/($D$9-$B$9),$B$9,$D$9))</f>
        <v>1.986812020025331</v>
      </c>
      <c r="E686" s="94" cm="1">
        <f t="array" aca="1" ref="E686" ca="1">_xlfn.SWITCH($B$4,"Normal MLE",EXP(_xlfn.NORM.INV(C686,LN($C$10),$E$10/$C$10)),"Uniforme",$B$10+($D$10-$B$10)*C686,"Triangular",IF(C686&lt;=($C$10-$B$10)/($D$10-$B$10),$B$10+SQRT(C686*($D$10-$B$10)*($C$10-$B$10)),$D$10-SQRT((1-C686)*($D$10-$B$10)*($D$10-$C$10))),"PERT",_xlfn.BETA.INV(C686,1+$B$6*($C$10-$B$10)/($D$10-$B$10),1+$B$6*($D$10-$C$10)/($D$10-$B$10),$B$10,$D$10))</f>
        <v>5382.5231121869037</v>
      </c>
      <c r="F686" s="88">
        <f t="shared" ca="1" si="31"/>
        <v>0.57439830956710969</v>
      </c>
      <c r="G686" s="89">
        <f t="shared" ca="1" si="32"/>
        <v>1.5818248318317954E-4</v>
      </c>
    </row>
    <row r="687" spans="1:7" x14ac:dyDescent="0.35">
      <c r="A687" s="84">
        <v>672</v>
      </c>
      <c r="B687" s="84">
        <f t="shared" ca="1" si="30"/>
        <v>0.66043450987917607</v>
      </c>
      <c r="C687" s="84">
        <f t="shared" ca="1" si="30"/>
        <v>0.77702853720715348</v>
      </c>
      <c r="D687" s="93" cm="1">
        <f t="array" aca="1" ref="D687" ca="1">_xlfn.SWITCH($B$4,"Normal MLE",EXP(_xlfn.NORM.INV(B687,LN($C$9),$E$9/$C$9)),"Uniforme",$B$9+($D$9-$B$9)*B687,"Triangular",IF(B687&lt;=($C$9-$B$9)/($D$9-$B$9),$B$9+SQRT(B687*($D$9-$B$9)*($C$9-$B$9)),$D$9-SQRT((1-B687)*($D$9-$B$9)*($D$9-$C$9))),"PERT",_xlfn.BETA.INV(B687,1+$B$6*($C$9-$B$9)/($D$9-$B$9),1+$B$6*($D$9-$C$9)/($D$9-$B$9),$B$9,$D$9))</f>
        <v>2.0052439696343503</v>
      </c>
      <c r="E687" s="94" cm="1">
        <f t="array" aca="1" ref="E687" ca="1">_xlfn.SWITCH($B$4,"Normal MLE",EXP(_xlfn.NORM.INV(C687,LN($C$10),$E$10/$C$10)),"Uniforme",$B$10+($D$10-$B$10)*C687,"Triangular",IF(C687&lt;=($C$10-$B$10)/($D$10-$B$10),$B$10+SQRT(C687*($D$10-$B$10)*($C$10-$B$10)),$D$10-SQRT((1-C687)*($D$10-$B$10)*($D$10-$C$10))),"PERT",_xlfn.BETA.INV(C687,1+$B$6*($C$10-$B$10)/($D$10-$B$10),1+$B$6*($D$10-$C$10)/($D$10-$B$10),$B$10,$D$10))</f>
        <v>5283.9022017595371</v>
      </c>
      <c r="F687" s="88">
        <f t="shared" ca="1" si="31"/>
        <v>0.56426137274308308</v>
      </c>
      <c r="G687" s="89">
        <f t="shared" ca="1" si="32"/>
        <v>1.6186912580293088E-4</v>
      </c>
    </row>
    <row r="688" spans="1:7" x14ac:dyDescent="0.35">
      <c r="A688" s="84">
        <v>673</v>
      </c>
      <c r="B688" s="84">
        <f t="shared" ca="1" si="30"/>
        <v>0.34429055281685672</v>
      </c>
      <c r="C688" s="84">
        <f t="shared" ca="1" si="30"/>
        <v>0.38257753176888099</v>
      </c>
      <c r="D688" s="93" cm="1">
        <f t="array" aca="1" ref="D688" ca="1">_xlfn.SWITCH($B$4,"Normal MLE",EXP(_xlfn.NORM.INV(B688,LN($C$9),$E$9/$C$9)),"Uniforme",$B$9+($D$9-$B$9)*B688,"Triangular",IF(B688&lt;=($C$9-$B$9)/($D$9-$B$9),$B$9+SQRT(B688*($D$9-$B$9)*($C$9-$B$9)),$D$9-SQRT((1-B688)*($D$9-$B$9)*($D$9-$C$9))),"PERT",_xlfn.BETA.INV(B688,1+$B$6*($C$9-$B$9)/($D$9-$B$9),1+$B$6*($D$9-$C$9)/($D$9-$B$9),$B$9,$D$9))</f>
        <v>1.8934753616022519</v>
      </c>
      <c r="E688" s="94" cm="1">
        <f t="array" aca="1" ref="E688" ca="1">_xlfn.SWITCH($B$4,"Normal MLE",EXP(_xlfn.NORM.INV(C688,LN($C$10),$E$10/$C$10)),"Uniforme",$B$10+($D$10-$B$10)*C688,"Triangular",IF(C688&lt;=($C$10-$B$10)/($D$10-$B$10),$B$10+SQRT(C688*($D$10-$B$10)*($C$10-$B$10)),$D$10-SQRT((1-C688)*($D$10-$B$10)*($D$10-$C$10))),"PERT",_xlfn.BETA.INV(C688,1+$B$6*($C$10-$B$10)/($D$10-$B$10),1+$B$6*($D$10-$C$10)/($D$10-$B$10),$B$10,$D$10))</f>
        <v>5029.3762555360327</v>
      </c>
      <c r="F688" s="88">
        <f t="shared" ca="1" si="31"/>
        <v>0.52300424469242879</v>
      </c>
      <c r="G688" s="89">
        <f t="shared" ca="1" si="32"/>
        <v>1.6046891824271557E-4</v>
      </c>
    </row>
    <row r="689" spans="1:7" x14ac:dyDescent="0.35">
      <c r="A689" s="84">
        <v>674</v>
      </c>
      <c r="B689" s="84">
        <f t="shared" ca="1" si="30"/>
        <v>6.9190537936327678E-2</v>
      </c>
      <c r="C689" s="84">
        <f t="shared" ca="1" si="30"/>
        <v>0.9042042348677245</v>
      </c>
      <c r="D689" s="93" cm="1">
        <f t="array" aca="1" ref="D689" ca="1">_xlfn.SWITCH($B$4,"Normal MLE",EXP(_xlfn.NORM.INV(B689,LN($C$9),$E$9/$C$9)),"Uniforme",$B$9+($D$9-$B$9)*B689,"Triangular",IF(B689&lt;=($C$9-$B$9)/($D$9-$B$9),$B$9+SQRT(B689*($D$9-$B$9)*($C$9-$B$9)),$D$9-SQRT((1-B689)*($D$9-$B$9)*($D$9-$C$9))),"PERT",_xlfn.BETA.INV(B689,1+$B$6*($C$9-$B$9)/($D$9-$B$9),1+$B$6*($D$9-$C$9)/($D$9-$B$9),$B$9,$D$9))</f>
        <v>1.7546789371121825</v>
      </c>
      <c r="E689" s="94" cm="1">
        <f t="array" aca="1" ref="E689" ca="1">_xlfn.SWITCH($B$4,"Normal MLE",EXP(_xlfn.NORM.INV(C689,LN($C$10),$E$10/$C$10)),"Uniforme",$B$10+($D$10-$B$10)*C689,"Triangular",IF(C689&lt;=($C$10-$B$10)/($D$10-$B$10),$B$10+SQRT(C689*($D$10-$B$10)*($C$10-$B$10)),$D$10-SQRT((1-C689)*($D$10-$B$10)*($D$10-$C$10))),"PERT",_xlfn.BETA.INV(C689,1+$B$6*($C$10-$B$10)/($D$10-$B$10),1+$B$6*($D$10-$C$10)/($D$10-$B$10),$B$10,$D$10))</f>
        <v>5419.2914315609996</v>
      </c>
      <c r="F689" s="88">
        <f t="shared" ca="1" si="31"/>
        <v>0.55603001619430326</v>
      </c>
      <c r="G689" s="89">
        <f t="shared" ca="1" si="32"/>
        <v>1.4316090550824605E-4</v>
      </c>
    </row>
    <row r="690" spans="1:7" x14ac:dyDescent="0.35">
      <c r="A690" s="84">
        <v>675</v>
      </c>
      <c r="B690" s="84">
        <f t="shared" ca="1" si="30"/>
        <v>0.98571313865029409</v>
      </c>
      <c r="C690" s="84">
        <f t="shared" ca="1" si="30"/>
        <v>1.8838610476027196E-2</v>
      </c>
      <c r="D690" s="93" cm="1">
        <f t="array" aca="1" ref="D690" ca="1">_xlfn.SWITCH($B$4,"Normal MLE",EXP(_xlfn.NORM.INV(B690,LN($C$9),$E$9/$C$9)),"Uniforme",$B$9+($D$9-$B$9)*B690,"Triangular",IF(B690&lt;=($C$9-$B$9)/($D$9-$B$9),$B$9+SQRT(B690*($D$9-$B$9)*($C$9-$B$9)),$D$9-SQRT((1-B690)*($D$9-$B$9)*($D$9-$C$9))),"PERT",_xlfn.BETA.INV(B690,1+$B$6*($C$9-$B$9)/($D$9-$B$9),1+$B$6*($D$9-$C$9)/($D$9-$B$9),$B$9,$D$9))</f>
        <v>2.2723337920673541</v>
      </c>
      <c r="E690" s="94" cm="1">
        <f t="array" aca="1" ref="E690" ca="1">_xlfn.SWITCH($B$4,"Normal MLE",EXP(_xlfn.NORM.INV(C690,LN($C$10),$E$10/$C$10)),"Uniforme",$B$10+($D$10-$B$10)*C690,"Triangular",IF(C690&lt;=($C$10-$B$10)/($D$10-$B$10),$B$10+SQRT(C690*($D$10-$B$10)*($C$10-$B$10)),$D$10-SQRT((1-C690)*($D$10-$B$10)*($D$10-$C$10))),"PERT",_xlfn.BETA.INV(C690,1+$B$6*($C$10-$B$10)/($D$10-$B$10),1+$B$6*($D$10-$C$10)/($D$10-$B$10),$B$10,$D$10))</f>
        <v>4629.6538305363902</v>
      </c>
      <c r="F690" s="88">
        <f t="shared" ca="1" si="31"/>
        <v>0.4880424329186821</v>
      </c>
      <c r="G690" s="89">
        <f t="shared" ca="1" si="32"/>
        <v>1.988852575496584E-4</v>
      </c>
    </row>
    <row r="691" spans="1:7" x14ac:dyDescent="0.35">
      <c r="A691" s="84">
        <v>676</v>
      </c>
      <c r="B691" s="84">
        <f t="shared" ca="1" si="30"/>
        <v>0.48669089640679764</v>
      </c>
      <c r="C691" s="84">
        <f t="shared" ca="1" si="30"/>
        <v>6.4146170114828927E-2</v>
      </c>
      <c r="D691" s="93" cm="1">
        <f t="array" aca="1" ref="D691" ca="1">_xlfn.SWITCH($B$4,"Normal MLE",EXP(_xlfn.NORM.INV(B691,LN($C$9),$E$9/$C$9)),"Uniforme",$B$9+($D$9-$B$9)*B691,"Triangular",IF(B691&lt;=($C$9-$B$9)/($D$9-$B$9),$B$9+SQRT(B691*($D$9-$B$9)*($C$9-$B$9)),$D$9-SQRT((1-B691)*($D$9-$B$9)*($D$9-$C$9))),"PERT",_xlfn.BETA.INV(B691,1+$B$6*($C$9-$B$9)/($D$9-$B$9),1+$B$6*($D$9-$C$9)/($D$9-$B$9),$B$9,$D$9))</f>
        <v>1.9431047311610758</v>
      </c>
      <c r="E691" s="94" cm="1">
        <f t="array" aca="1" ref="E691" ca="1">_xlfn.SWITCH($B$4,"Normal MLE",EXP(_xlfn.NORM.INV(C691,LN($C$10),$E$10/$C$10)),"Uniforme",$B$10+($D$10-$B$10)*C691,"Triangular",IF(C691&lt;=($C$10-$B$10)/($D$10-$B$10),$B$10+SQRT(C691*($D$10-$B$10)*($C$10-$B$10)),$D$10-SQRT((1-C691)*($D$10-$B$10)*($D$10-$C$10))),"PERT",_xlfn.BETA.INV(C691,1+$B$6*($C$10-$B$10)/($D$10-$B$10),1+$B$6*($D$10-$C$10)/($D$10-$B$10),$B$10,$D$10))</f>
        <v>4751.3271195198022</v>
      </c>
      <c r="F691" s="88">
        <f t="shared" ca="1" si="31"/>
        <v>0.48883988466633382</v>
      </c>
      <c r="G691" s="89">
        <f t="shared" ca="1" si="32"/>
        <v>1.6995978475280274E-4</v>
      </c>
    </row>
    <row r="692" spans="1:7" x14ac:dyDescent="0.35">
      <c r="A692" s="84">
        <v>677</v>
      </c>
      <c r="B692" s="84">
        <f t="shared" ca="1" si="30"/>
        <v>0.85857529017014245</v>
      </c>
      <c r="C692" s="84">
        <f t="shared" ca="1" si="30"/>
        <v>0.62212444852589155</v>
      </c>
      <c r="D692" s="93" cm="1">
        <f t="array" aca="1" ref="D692" ca="1">_xlfn.SWITCH($B$4,"Normal MLE",EXP(_xlfn.NORM.INV(B692,LN($C$9),$E$9/$C$9)),"Uniforme",$B$9+($D$9-$B$9)*B692,"Triangular",IF(B692&lt;=($C$9-$B$9)/($D$9-$B$9),$B$9+SQRT(B692*($D$9-$B$9)*($C$9-$B$9)),$D$9-SQRT((1-B692)*($D$9-$B$9)*($D$9-$C$9))),"PERT",_xlfn.BETA.INV(B692,1+$B$6*($C$9-$B$9)/($D$9-$B$9),1+$B$6*($D$9-$C$9)/($D$9-$B$9),$B$9,$D$9))</f>
        <v>2.1006841649864225</v>
      </c>
      <c r="E692" s="94" cm="1">
        <f t="array" aca="1" ref="E692" ca="1">_xlfn.SWITCH($B$4,"Normal MLE",EXP(_xlfn.NORM.INV(C692,LN($C$10),$E$10/$C$10)),"Uniforme",$B$10+($D$10-$B$10)*C692,"Triangular",IF(C692&lt;=($C$10-$B$10)/($D$10-$B$10),$B$10+SQRT(C692*($D$10-$B$10)*($C$10-$B$10)),$D$10-SQRT((1-C692)*($D$10-$B$10)*($D$10-$C$10))),"PERT",_xlfn.BETA.INV(C692,1+$B$6*($C$10-$B$10)/($D$10-$B$10),1+$B$6*($D$10-$C$10)/($D$10-$B$10),$B$10,$D$10))</f>
        <v>5174.1331177947177</v>
      </c>
      <c r="F692" s="88">
        <f t="shared" ca="1" si="31"/>
        <v>0.55857930248289334</v>
      </c>
      <c r="G692" s="89">
        <f t="shared" ca="1" si="32"/>
        <v>1.7083472847426593E-4</v>
      </c>
    </row>
    <row r="693" spans="1:7" x14ac:dyDescent="0.35">
      <c r="A693" s="84">
        <v>678</v>
      </c>
      <c r="B693" s="84">
        <f t="shared" ca="1" si="30"/>
        <v>8.356715579751639E-2</v>
      </c>
      <c r="C693" s="84">
        <f t="shared" ca="1" si="30"/>
        <v>5.871496565946499E-2</v>
      </c>
      <c r="D693" s="93" cm="1">
        <f t="array" aca="1" ref="D693" ca="1">_xlfn.SWITCH($B$4,"Normal MLE",EXP(_xlfn.NORM.INV(B693,LN($C$9),$E$9/$C$9)),"Uniforme",$B$9+($D$9-$B$9)*B693,"Triangular",IF(B693&lt;=($C$9-$B$9)/($D$9-$B$9),$B$9+SQRT(B693*($D$9-$B$9)*($C$9-$B$9)),$D$9-SQRT((1-B693)*($D$9-$B$9)*($D$9-$C$9))),"PERT",_xlfn.BETA.INV(B693,1+$B$6*($C$9-$B$9)/($D$9-$B$9),1+$B$6*($D$9-$C$9)/($D$9-$B$9),$B$9,$D$9))</f>
        <v>1.7671257107119456</v>
      </c>
      <c r="E693" s="94" cm="1">
        <f t="array" aca="1" ref="E693" ca="1">_xlfn.SWITCH($B$4,"Normal MLE",EXP(_xlfn.NORM.INV(C693,LN($C$10),$E$10/$C$10)),"Uniforme",$B$10+($D$10-$B$10)*C693,"Triangular",IF(C693&lt;=($C$10-$B$10)/($D$10-$B$10),$B$10+SQRT(C693*($D$10-$B$10)*($C$10-$B$10)),$D$10-SQRT((1-C693)*($D$10-$B$10)*($D$10-$C$10))),"PERT",_xlfn.BETA.INV(C693,1+$B$6*($C$10-$B$10)/($D$10-$B$10),1+$B$6*($D$10-$C$10)/($D$10-$B$10),$B$10,$D$10))</f>
        <v>4741.4360843967634</v>
      </c>
      <c r="F693" s="88">
        <f t="shared" ca="1" si="31"/>
        <v>0.47689748252625636</v>
      </c>
      <c r="G693" s="89">
        <f t="shared" ca="1" si="32"/>
        <v>1.5600208789500857E-4</v>
      </c>
    </row>
    <row r="694" spans="1:7" x14ac:dyDescent="0.35">
      <c r="A694" s="84">
        <v>679</v>
      </c>
      <c r="B694" s="84">
        <f t="shared" ca="1" si="30"/>
        <v>0.55977633356478651</v>
      </c>
      <c r="C694" s="84">
        <f t="shared" ca="1" si="30"/>
        <v>0.66428510749619096</v>
      </c>
      <c r="D694" s="93" cm="1">
        <f t="array" aca="1" ref="D694" ca="1">_xlfn.SWITCH($B$4,"Normal MLE",EXP(_xlfn.NORM.INV(B694,LN($C$9),$E$9/$C$9)),"Uniforme",$B$9+($D$9-$B$9)*B694,"Triangular",IF(B694&lt;=($C$9-$B$9)/($D$9-$B$9),$B$9+SQRT(B694*($D$9-$B$9)*($C$9-$B$9)),$D$9-SQRT((1-B694)*($D$9-$B$9)*($D$9-$C$9))),"PERT",_xlfn.BETA.INV(B694,1+$B$6*($C$9-$B$9)/($D$9-$B$9),1+$B$6*($D$9-$C$9)/($D$9-$B$9),$B$9,$D$9))</f>
        <v>1.9684137406643651</v>
      </c>
      <c r="E694" s="94" cm="1">
        <f t="array" aca="1" ref="E694" ca="1">_xlfn.SWITCH($B$4,"Normal MLE",EXP(_xlfn.NORM.INV(C694,LN($C$10),$E$10/$C$10)),"Uniforme",$B$10+($D$10-$B$10)*C694,"Triangular",IF(C694&lt;=($C$10-$B$10)/($D$10-$B$10),$B$10+SQRT(C694*($D$10-$B$10)*($C$10-$B$10)),$D$10-SQRT((1-C694)*($D$10-$B$10)*($D$10-$C$10))),"PERT",_xlfn.BETA.INV(C694,1+$B$6*($C$10-$B$10)/($D$10-$B$10),1+$B$6*($D$10-$C$10)/($D$10-$B$10),$B$10,$D$10))</f>
        <v>5201.4416947170193</v>
      </c>
      <c r="F694" s="88">
        <f t="shared" ca="1" si="31"/>
        <v>0.5508380203451384</v>
      </c>
      <c r="G694" s="89">
        <f t="shared" ca="1" si="32"/>
        <v>1.6164253985993639E-4</v>
      </c>
    </row>
    <row r="695" spans="1:7" x14ac:dyDescent="0.35">
      <c r="A695" s="84">
        <v>680</v>
      </c>
      <c r="B695" s="84">
        <f t="shared" ca="1" si="30"/>
        <v>0.80889108683345856</v>
      </c>
      <c r="C695" s="84">
        <f t="shared" ca="1" si="30"/>
        <v>0.1155569874273159</v>
      </c>
      <c r="D695" s="93" cm="1">
        <f t="array" aca="1" ref="D695" ca="1">_xlfn.SWITCH($B$4,"Normal MLE",EXP(_xlfn.NORM.INV(B695,LN($C$9),$E$9/$C$9)),"Uniforme",$B$9+($D$9-$B$9)*B695,"Triangular",IF(B695&lt;=($C$9-$B$9)/($D$9-$B$9),$B$9+SQRT(B695*($D$9-$B$9)*($C$9-$B$9)),$D$9-SQRT((1-B695)*($D$9-$B$9)*($D$9-$C$9))),"PERT",_xlfn.BETA.INV(B695,1+$B$6*($C$9-$B$9)/($D$9-$B$9),1+$B$6*($D$9-$C$9)/($D$9-$B$9),$B$9,$D$9))</f>
        <v>2.0712877511493555</v>
      </c>
      <c r="E695" s="94" cm="1">
        <f t="array" aca="1" ref="E695" ca="1">_xlfn.SWITCH($B$4,"Normal MLE",EXP(_xlfn.NORM.INV(C695,LN($C$10),$E$10/$C$10)),"Uniforme",$B$10+($D$10-$B$10)*C695,"Triangular",IF(C695&lt;=($C$10-$B$10)/($D$10-$B$10),$B$10+SQRT(C695*($D$10-$B$10)*($C$10-$B$10)),$D$10-SQRT((1-C695)*($D$10-$B$10)*($D$10-$C$10))),"PERT",_xlfn.BETA.INV(C695,1+$B$6*($C$10-$B$10)/($D$10-$B$10),1+$B$6*($D$10-$C$10)/($D$10-$B$10),$B$10,$D$10))</f>
        <v>4823.366170796442</v>
      </c>
      <c r="F695" s="88">
        <f t="shared" ca="1" si="31"/>
        <v>0.50731830038966041</v>
      </c>
      <c r="G695" s="89">
        <f t="shared" ca="1" si="32"/>
        <v>1.7827296694071108E-4</v>
      </c>
    </row>
    <row r="696" spans="1:7" x14ac:dyDescent="0.35">
      <c r="A696" s="84">
        <v>681</v>
      </c>
      <c r="B696" s="84">
        <f t="shared" ca="1" si="30"/>
        <v>0.71218856527624153</v>
      </c>
      <c r="C696" s="84">
        <f t="shared" ca="1" si="30"/>
        <v>0.89694848514917691</v>
      </c>
      <c r="D696" s="93" cm="1">
        <f t="array" aca="1" ref="D696" ca="1">_xlfn.SWITCH($B$4,"Normal MLE",EXP(_xlfn.NORM.INV(B696,LN($C$9),$E$9/$C$9)),"Uniforme",$B$9+($D$9-$B$9)*B696,"Triangular",IF(B696&lt;=($C$9-$B$9)/($D$9-$B$9),$B$9+SQRT(B696*($D$9-$B$9)*($C$9-$B$9)),$D$9-SQRT((1-B696)*($D$9-$B$9)*($D$9-$C$9))),"PERT",_xlfn.BETA.INV(B696,1+$B$6*($C$9-$B$9)/($D$9-$B$9),1+$B$6*($D$9-$C$9)/($D$9-$B$9),$B$9,$D$9))</f>
        <v>2.0259867545582901</v>
      </c>
      <c r="E696" s="94" cm="1">
        <f t="array" aca="1" ref="E696" ca="1">_xlfn.SWITCH($B$4,"Normal MLE",EXP(_xlfn.NORM.INV(C696,LN($C$10),$E$10/$C$10)),"Uniforme",$B$10+($D$10-$B$10)*C696,"Triangular",IF(C696&lt;=($C$10-$B$10)/($D$10-$B$10),$B$10+SQRT(C696*($D$10-$B$10)*($C$10-$B$10)),$D$10-SQRT((1-C696)*($D$10-$B$10)*($D$10-$C$10))),"PERT",_xlfn.BETA.INV(C696,1+$B$6*($C$10-$B$10)/($D$10-$B$10),1+$B$6*($D$10-$C$10)/($D$10-$B$10),$B$10,$D$10))</f>
        <v>5408.8280104734104</v>
      </c>
      <c r="F696" s="88">
        <f t="shared" ca="1" si="31"/>
        <v>0.58121440572086935</v>
      </c>
      <c r="G696" s="89">
        <f t="shared" ca="1" si="32"/>
        <v>1.5974277775114261E-4</v>
      </c>
    </row>
    <row r="697" spans="1:7" x14ac:dyDescent="0.35">
      <c r="A697" s="84">
        <v>682</v>
      </c>
      <c r="B697" s="84">
        <f t="shared" ca="1" si="30"/>
        <v>0.46305764569698726</v>
      </c>
      <c r="C697" s="84">
        <f t="shared" ca="1" si="30"/>
        <v>0.72315853006967346</v>
      </c>
      <c r="D697" s="93" cm="1">
        <f t="array" aca="1" ref="D697" ca="1">_xlfn.SWITCH($B$4,"Normal MLE",EXP(_xlfn.NORM.INV(B697,LN($C$9),$E$9/$C$9)),"Uniforme",$B$9+($D$9-$B$9)*B697,"Triangular",IF(B697&lt;=($C$9-$B$9)/($D$9-$B$9),$B$9+SQRT(B697*($D$9-$B$9)*($C$9-$B$9)),$D$9-SQRT((1-B697)*($D$9-$B$9)*($D$9-$C$9))),"PERT",_xlfn.BETA.INV(B697,1+$B$6*($C$9-$B$9)/($D$9-$B$9),1+$B$6*($D$9-$C$9)/($D$9-$B$9),$B$9,$D$9))</f>
        <v>1.9349984499540298</v>
      </c>
      <c r="E697" s="94" cm="1">
        <f t="array" aca="1" ref="E697" ca="1">_xlfn.SWITCH($B$4,"Normal MLE",EXP(_xlfn.NORM.INV(C697,LN($C$10),$E$10/$C$10)),"Uniforme",$B$10+($D$10-$B$10)*C697,"Triangular",IF(C697&lt;=($C$10-$B$10)/($D$10-$B$10),$B$10+SQRT(C697*($D$10-$B$10)*($C$10-$B$10)),$D$10-SQRT((1-C697)*($D$10-$B$10)*($D$10-$C$10))),"PERT",_xlfn.BETA.INV(C697,1+$B$6*($C$10-$B$10)/($D$10-$B$10),1+$B$6*($D$10-$C$10)/($D$10-$B$10),$B$10,$D$10))</f>
        <v>5242.28026846995</v>
      </c>
      <c r="F697" s="88">
        <f t="shared" ca="1" si="31"/>
        <v>0.55292339184467421</v>
      </c>
      <c r="G697" s="89">
        <f t="shared" ca="1" si="32"/>
        <v>1.584893930856418E-4</v>
      </c>
    </row>
    <row r="698" spans="1:7" x14ac:dyDescent="0.35">
      <c r="A698" s="84">
        <v>683</v>
      </c>
      <c r="B698" s="84">
        <f t="shared" ca="1" si="30"/>
        <v>0.7151720926527827</v>
      </c>
      <c r="C698" s="84">
        <f t="shared" ca="1" si="30"/>
        <v>0.94913788059371373</v>
      </c>
      <c r="D698" s="93" cm="1">
        <f t="array" aca="1" ref="D698" ca="1">_xlfn.SWITCH($B$4,"Normal MLE",EXP(_xlfn.NORM.INV(B698,LN($C$9),$E$9/$C$9)),"Uniforme",$B$9+($D$9-$B$9)*B698,"Triangular",IF(B698&lt;=($C$9-$B$9)/($D$9-$B$9),$B$9+SQRT(B698*($D$9-$B$9)*($C$9-$B$9)),$D$9-SQRT((1-B698)*($D$9-$B$9)*($D$9-$C$9))),"PERT",_xlfn.BETA.INV(B698,1+$B$6*($C$9-$B$9)/($D$9-$B$9),1+$B$6*($D$9-$C$9)/($D$9-$B$9),$B$9,$D$9))</f>
        <v>2.0272381676931448</v>
      </c>
      <c r="E698" s="94" cm="1">
        <f t="array" aca="1" ref="E698" ca="1">_xlfn.SWITCH($B$4,"Normal MLE",EXP(_xlfn.NORM.INV(C698,LN($C$10),$E$10/$C$10)),"Uniforme",$B$10+($D$10-$B$10)*C698,"Triangular",IF(C698&lt;=($C$10-$B$10)/($D$10-$B$10),$B$10+SQRT(C698*($D$10-$B$10)*($C$10-$B$10)),$D$10-SQRT((1-C698)*($D$10-$B$10)*($D$10-$C$10))),"PERT",_xlfn.BETA.INV(C698,1+$B$6*($C$10-$B$10)/($D$10-$B$10),1+$B$6*($D$10-$C$10)/($D$10-$B$10),$B$10,$D$10))</f>
        <v>5503.3246114480307</v>
      </c>
      <c r="F698" s="88">
        <f t="shared" ca="1" si="31"/>
        <v>0.5923156811111977</v>
      </c>
      <c r="G698" s="89">
        <f t="shared" ca="1" si="32"/>
        <v>1.5721481717651965E-4</v>
      </c>
    </row>
    <row r="699" spans="1:7" x14ac:dyDescent="0.35">
      <c r="A699" s="84">
        <v>684</v>
      </c>
      <c r="B699" s="84">
        <f t="shared" ca="1" si="30"/>
        <v>0.10382408929176279</v>
      </c>
      <c r="C699" s="84">
        <f t="shared" ca="1" si="30"/>
        <v>0.45862669072153839</v>
      </c>
      <c r="D699" s="93" cm="1">
        <f t="array" aca="1" ref="D699" ca="1">_xlfn.SWITCH($B$4,"Normal MLE",EXP(_xlfn.NORM.INV(B699,LN($C$9),$E$9/$C$9)),"Uniforme",$B$9+($D$9-$B$9)*B699,"Triangular",IF(B699&lt;=($C$9-$B$9)/($D$9-$B$9),$B$9+SQRT(B699*($D$9-$B$9)*($C$9-$B$9)),$D$9-SQRT((1-B699)*($D$9-$B$9)*($D$9-$C$9))),"PERT",_xlfn.BETA.INV(B699,1+$B$6*($C$9-$B$9)/($D$9-$B$9),1+$B$6*($D$9-$C$9)/($D$9-$B$9),$B$9,$D$9))</f>
        <v>1.7822989838382981</v>
      </c>
      <c r="E699" s="94" cm="1">
        <f t="array" aca="1" ref="E699" ca="1">_xlfn.SWITCH($B$4,"Normal MLE",EXP(_xlfn.NORM.INV(C699,LN($C$10),$E$10/$C$10)),"Uniforme",$B$10+($D$10-$B$10)*C699,"Triangular",IF(C699&lt;=($C$10-$B$10)/($D$10-$B$10),$B$10+SQRT(C699*($D$10-$B$10)*($C$10-$B$10)),$D$10-SQRT((1-C699)*($D$10-$B$10)*($D$10-$C$10))),"PERT",_xlfn.BETA.INV(C699,1+$B$6*($C$10-$B$10)/($D$10-$B$10),1+$B$6*($D$10-$C$10)/($D$10-$B$10),$B$10,$D$10))</f>
        <v>5075.1799083640326</v>
      </c>
      <c r="F699" s="88">
        <f t="shared" ca="1" si="31"/>
        <v>0.51984604964895342</v>
      </c>
      <c r="G699" s="89">
        <f t="shared" ca="1" si="32"/>
        <v>1.5153775142654423E-4</v>
      </c>
    </row>
    <row r="700" spans="1:7" x14ac:dyDescent="0.35">
      <c r="A700" s="84">
        <v>685</v>
      </c>
      <c r="B700" s="84">
        <f t="shared" ca="1" si="30"/>
        <v>0.29739217276737362</v>
      </c>
      <c r="C700" s="84">
        <f t="shared" ca="1" si="30"/>
        <v>0.43740702171842383</v>
      </c>
      <c r="D700" s="93" cm="1">
        <f t="array" aca="1" ref="D700" ca="1">_xlfn.SWITCH($B$4,"Normal MLE",EXP(_xlfn.NORM.INV(B700,LN($C$9),$E$9/$C$9)),"Uniforme",$B$9+($D$9-$B$9)*B700,"Triangular",IF(B700&lt;=($C$9-$B$9)/($D$9-$B$9),$B$9+SQRT(B700*($D$9-$B$9)*($C$9-$B$9)),$D$9-SQRT((1-B700)*($D$9-$B$9)*($D$9-$C$9))),"PERT",_xlfn.BETA.INV(B700,1+$B$6*($C$9-$B$9)/($D$9-$B$9),1+$B$6*($D$9-$C$9)/($D$9-$B$9),$B$9,$D$9))</f>
        <v>1.8760707081432841</v>
      </c>
      <c r="E700" s="94" cm="1">
        <f t="array" aca="1" ref="E700" ca="1">_xlfn.SWITCH($B$4,"Normal MLE",EXP(_xlfn.NORM.INV(C700,LN($C$10),$E$10/$C$10)),"Uniforme",$B$10+($D$10-$B$10)*C700,"Triangular",IF(C700&lt;=($C$10-$B$10)/($D$10-$B$10),$B$10+SQRT(C700*($D$10-$B$10)*($C$10-$B$10)),$D$10-SQRT((1-C700)*($D$10-$B$10)*($D$10-$C$10))),"PERT",_xlfn.BETA.INV(C700,1+$B$6*($C$10-$B$10)/($D$10-$B$10),1+$B$6*($D$10-$C$10)/($D$10-$B$10),$B$10,$D$10))</f>
        <v>5062.5245955198789</v>
      </c>
      <c r="F700" s="88">
        <f t="shared" ca="1" si="31"/>
        <v>0.52582688376352904</v>
      </c>
      <c r="G700" s="89">
        <f t="shared" ca="1" si="32"/>
        <v>1.5852455446103416E-4</v>
      </c>
    </row>
    <row r="701" spans="1:7" x14ac:dyDescent="0.35">
      <c r="A701" s="84">
        <v>686</v>
      </c>
      <c r="B701" s="84">
        <f t="shared" ca="1" si="30"/>
        <v>0.23678649229338888</v>
      </c>
      <c r="C701" s="84">
        <f t="shared" ca="1" si="30"/>
        <v>0.89700789700251282</v>
      </c>
      <c r="D701" s="93" cm="1">
        <f t="array" aca="1" ref="D701" ca="1">_xlfn.SWITCH($B$4,"Normal MLE",EXP(_xlfn.NORM.INV(B701,LN($C$9),$E$9/$C$9)),"Uniforme",$B$9+($D$9-$B$9)*B701,"Triangular",IF(B701&lt;=($C$9-$B$9)/($D$9-$B$9),$B$9+SQRT(B701*($D$9-$B$9)*($C$9-$B$9)),$D$9-SQRT((1-B701)*($D$9-$B$9)*($D$9-$C$9))),"PERT",_xlfn.BETA.INV(B701,1+$B$6*($C$9-$B$9)/($D$9-$B$9),1+$B$6*($D$9-$C$9)/($D$9-$B$9),$B$9,$D$9))</f>
        <v>1.8518195588087749</v>
      </c>
      <c r="E701" s="94" cm="1">
        <f t="array" aca="1" ref="E701" ca="1">_xlfn.SWITCH($B$4,"Normal MLE",EXP(_xlfn.NORM.INV(C701,LN($C$10),$E$10/$C$10)),"Uniforme",$B$10+($D$10-$B$10)*C701,"Triangular",IF(C701&lt;=($C$10-$B$10)/($D$10-$B$10),$B$10+SQRT(C701*($D$10-$B$10)*($C$10-$B$10)),$D$10-SQRT((1-C701)*($D$10-$B$10)*($D$10-$C$10))),"PERT",_xlfn.BETA.INV(C701,1+$B$6*($C$10-$B$10)/($D$10-$B$10),1+$B$6*($D$10-$C$10)/($D$10-$B$10),$B$10,$D$10))</f>
        <v>5408.9113907362334</v>
      </c>
      <c r="F701" s="88">
        <f t="shared" ca="1" si="31"/>
        <v>0.56445256941544197</v>
      </c>
      <c r="G701" s="89">
        <f t="shared" ca="1" si="32"/>
        <v>1.4944638254170021E-4</v>
      </c>
    </row>
    <row r="702" spans="1:7" x14ac:dyDescent="0.35">
      <c r="A702" s="84">
        <v>687</v>
      </c>
      <c r="B702" s="84">
        <f t="shared" ca="1" si="30"/>
        <v>0.76028118526747668</v>
      </c>
      <c r="C702" s="84">
        <f t="shared" ca="1" si="30"/>
        <v>0.63956237100209046</v>
      </c>
      <c r="D702" s="93" cm="1">
        <f t="array" aca="1" ref="D702" ca="1">_xlfn.SWITCH($B$4,"Normal MLE",EXP(_xlfn.NORM.INV(B702,LN($C$9),$E$9/$C$9)),"Uniforme",$B$9+($D$9-$B$9)*B702,"Triangular",IF(B702&lt;=($C$9-$B$9)/($D$9-$B$9),$B$9+SQRT(B702*($D$9-$B$9)*($C$9-$B$9)),$D$9-SQRT((1-B702)*($D$9-$B$9)*($D$9-$C$9))),"PERT",_xlfn.BETA.INV(B702,1+$B$6*($C$9-$B$9)/($D$9-$B$9),1+$B$6*($D$9-$C$9)/($D$9-$B$9),$B$9,$D$9))</f>
        <v>2.0471282139135316</v>
      </c>
      <c r="E702" s="94" cm="1">
        <f t="array" aca="1" ref="E702" ca="1">_xlfn.SWITCH($B$4,"Normal MLE",EXP(_xlfn.NORM.INV(C702,LN($C$10),$E$10/$C$10)),"Uniforme",$B$10+($D$10-$B$10)*C702,"Triangular",IF(C702&lt;=($C$10-$B$10)/($D$10-$B$10),$B$10+SQRT(C702*($D$10-$B$10)*($C$10-$B$10)),$D$10-SQRT((1-C702)*($D$10-$B$10)*($D$10-$C$10))),"PERT",_xlfn.BETA.INV(C702,1+$B$6*($C$10-$B$10)/($D$10-$B$10),1+$B$6*($D$10-$C$10)/($D$10-$B$10),$B$10,$D$10))</f>
        <v>5185.2746968853835</v>
      </c>
      <c r="F702" s="88">
        <f t="shared" ca="1" si="31"/>
        <v>0.5555218608189092</v>
      </c>
      <c r="G702" s="89">
        <f t="shared" ca="1" si="32"/>
        <v>1.6712858914994059E-4</v>
      </c>
    </row>
    <row r="703" spans="1:7" x14ac:dyDescent="0.35">
      <c r="A703" s="84">
        <v>688</v>
      </c>
      <c r="B703" s="84">
        <f t="shared" ca="1" si="30"/>
        <v>0.51116018837829502</v>
      </c>
      <c r="C703" s="84">
        <f t="shared" ca="1" si="30"/>
        <v>0.30854045882084036</v>
      </c>
      <c r="D703" s="93" cm="1">
        <f t="array" aca="1" ref="D703" ca="1">_xlfn.SWITCH($B$4,"Normal MLE",EXP(_xlfn.NORM.INV(B703,LN($C$9),$E$9/$C$9)),"Uniforme",$B$9+($D$9-$B$9)*B703,"Triangular",IF(B703&lt;=($C$9-$B$9)/($D$9-$B$9),$B$9+SQRT(B703*($D$9-$B$9)*($C$9-$B$9)),$D$9-SQRT((1-B703)*($D$9-$B$9)*($D$9-$C$9))),"PERT",_xlfn.BETA.INV(B703,1+$B$6*($C$9-$B$9)/($D$9-$B$9),1+$B$6*($D$9-$C$9)/($D$9-$B$9),$B$9,$D$9))</f>
        <v>1.9515169079852099</v>
      </c>
      <c r="E703" s="94" cm="1">
        <f t="array" aca="1" ref="E703" ca="1">_xlfn.SWITCH($B$4,"Normal MLE",EXP(_xlfn.NORM.INV(C703,LN($C$10),$E$10/$C$10)),"Uniforme",$B$10+($D$10-$B$10)*C703,"Triangular",IF(C703&lt;=($C$10-$B$10)/($D$10-$B$10),$B$10+SQRT(C703*($D$10-$B$10)*($C$10-$B$10)),$D$10-SQRT((1-C703)*($D$10-$B$10)*($D$10-$C$10))),"PERT",_xlfn.BETA.INV(C703,1+$B$6*($C$10-$B$10)/($D$10-$B$10),1+$B$6*($D$10-$C$10)/($D$10-$B$10),$B$10,$D$10))</f>
        <v>4982.4904208612479</v>
      </c>
      <c r="F703" s="88">
        <f t="shared" ca="1" si="31"/>
        <v>0.52131236270084869</v>
      </c>
      <c r="G703" s="89">
        <f t="shared" ca="1" si="32"/>
        <v>1.6567692317059202E-4</v>
      </c>
    </row>
    <row r="704" spans="1:7" x14ac:dyDescent="0.35">
      <c r="A704" s="84">
        <v>689</v>
      </c>
      <c r="B704" s="84">
        <f t="shared" ca="1" si="30"/>
        <v>0.59939277395630897</v>
      </c>
      <c r="C704" s="84">
        <f t="shared" ca="1" si="30"/>
        <v>0.94820921708149741</v>
      </c>
      <c r="D704" s="93" cm="1">
        <f t="array" aca="1" ref="D704" ca="1">_xlfn.SWITCH($B$4,"Normal MLE",EXP(_xlfn.NORM.INV(B704,LN($C$9),$E$9/$C$9)),"Uniforme",$B$9+($D$9-$B$9)*B704,"Triangular",IF(B704&lt;=($C$9-$B$9)/($D$9-$B$9),$B$9+SQRT(B704*($D$9-$B$9)*($C$9-$B$9)),$D$9-SQRT((1-B704)*($D$9-$B$9)*($D$9-$C$9))),"PERT",_xlfn.BETA.INV(B704,1+$B$6*($C$9-$B$9)/($D$9-$B$9),1+$B$6*($D$9-$C$9)/($D$9-$B$9),$B$9,$D$9))</f>
        <v>1.982515872297435</v>
      </c>
      <c r="E704" s="94" cm="1">
        <f t="array" aca="1" ref="E704" ca="1">_xlfn.SWITCH($B$4,"Normal MLE",EXP(_xlfn.NORM.INV(C704,LN($C$10),$E$10/$C$10)),"Uniforme",$B$10+($D$10-$B$10)*C704,"Triangular",IF(C704&lt;=($C$10-$B$10)/($D$10-$B$10),$B$10+SQRT(C704*($D$10-$B$10)*($C$10-$B$10)),$D$10-SQRT((1-C704)*($D$10-$B$10)*($D$10-$C$10))),"PERT",_xlfn.BETA.INV(C704,1+$B$6*($C$10-$B$10)/($D$10-$B$10),1+$B$6*($D$10-$C$10)/($D$10-$B$10),$B$10,$D$10))</f>
        <v>5501.0666785046451</v>
      </c>
      <c r="F704" s="88">
        <f t="shared" ca="1" si="31"/>
        <v>0.5876202417803924</v>
      </c>
      <c r="G704" s="89">
        <f t="shared" ca="1" si="32"/>
        <v>1.548457066337385E-4</v>
      </c>
    </row>
    <row r="705" spans="1:7" x14ac:dyDescent="0.35">
      <c r="A705" s="84">
        <v>690</v>
      </c>
      <c r="B705" s="84">
        <f t="shared" ca="1" si="30"/>
        <v>0.61077863435285029</v>
      </c>
      <c r="C705" s="84">
        <f t="shared" ca="1" si="30"/>
        <v>0.27906242879546428</v>
      </c>
      <c r="D705" s="93" cm="1">
        <f t="array" aca="1" ref="D705" ca="1">_xlfn.SWITCH($B$4,"Normal MLE",EXP(_xlfn.NORM.INV(B705,LN($C$9),$E$9/$C$9)),"Uniforme",$B$9+($D$9-$B$9)*B705,"Triangular",IF(B705&lt;=($C$9-$B$9)/($D$9-$B$9),$B$9+SQRT(B705*($D$9-$B$9)*($C$9-$B$9)),$D$9-SQRT((1-B705)*($D$9-$B$9)*($D$9-$C$9))),"PERT",_xlfn.BETA.INV(B705,1+$B$6*($C$9-$B$9)/($D$9-$B$9),1+$B$6*($D$9-$C$9)/($D$9-$B$9),$B$9,$D$9))</f>
        <v>1.9866488374651723</v>
      </c>
      <c r="E705" s="94" cm="1">
        <f t="array" aca="1" ref="E705" ca="1">_xlfn.SWITCH($B$4,"Normal MLE",EXP(_xlfn.NORM.INV(C705,LN($C$10),$E$10/$C$10)),"Uniforme",$B$10+($D$10-$B$10)*C705,"Triangular",IF(C705&lt;=($C$10-$B$10)/($D$10-$B$10),$B$10+SQRT(C705*($D$10-$B$10)*($C$10-$B$10)),$D$10-SQRT((1-C705)*($D$10-$B$10)*($D$10-$C$10))),"PERT",_xlfn.BETA.INV(C705,1+$B$6*($C$10-$B$10)/($D$10-$B$10),1+$B$6*($D$10-$C$10)/($D$10-$B$10),$B$10,$D$10))</f>
        <v>4962.6743518865651</v>
      </c>
      <c r="F705" s="88">
        <f t="shared" ca="1" si="31"/>
        <v>0.52124419907688357</v>
      </c>
      <c r="G705" s="89">
        <f t="shared" ca="1" si="32"/>
        <v>1.686712996408856E-4</v>
      </c>
    </row>
    <row r="706" spans="1:7" x14ac:dyDescent="0.35">
      <c r="A706" s="84">
        <v>691</v>
      </c>
      <c r="B706" s="84">
        <f t="shared" ca="1" si="30"/>
        <v>0.16301579568106195</v>
      </c>
      <c r="C706" s="84">
        <f t="shared" ca="1" si="30"/>
        <v>0.48680222786044536</v>
      </c>
      <c r="D706" s="93" cm="1">
        <f t="array" aca="1" ref="D706" ca="1">_xlfn.SWITCH($B$4,"Normal MLE",EXP(_xlfn.NORM.INV(B706,LN($C$9),$E$9/$C$9)),"Uniforme",$B$9+($D$9-$B$9)*B706,"Triangular",IF(B706&lt;=($C$9-$B$9)/($D$9-$B$9),$B$9+SQRT(B706*($D$9-$B$9)*($C$9-$B$9)),$D$9-SQRT((1-B706)*($D$9-$B$9)*($D$9-$C$9))),"PERT",_xlfn.BETA.INV(B706,1+$B$6*($C$9-$B$9)/($D$9-$B$9),1+$B$6*($D$9-$C$9)/($D$9-$B$9),$B$9,$D$9))</f>
        <v>1.8175239123996185</v>
      </c>
      <c r="E706" s="94" cm="1">
        <f t="array" aca="1" ref="E706" ca="1">_xlfn.SWITCH($B$4,"Normal MLE",EXP(_xlfn.NORM.INV(C706,LN($C$10),$E$10/$C$10)),"Uniforme",$B$10+($D$10-$B$10)*C706,"Triangular",IF(C706&lt;=($C$10-$B$10)/($D$10-$B$10),$B$10+SQRT(C706*($D$10-$B$10)*($C$10-$B$10)),$D$10-SQRT((1-C706)*($D$10-$B$10)*($D$10-$C$10))),"PERT",_xlfn.BETA.INV(C706,1+$B$6*($C$10-$B$10)/($D$10-$B$10),1+$B$6*($D$10-$C$10)/($D$10-$B$10),$B$10,$D$10))</f>
        <v>5091.9297752340235</v>
      </c>
      <c r="F706" s="88">
        <f t="shared" ca="1" si="31"/>
        <v>0.52472250753339367</v>
      </c>
      <c r="G706" s="89">
        <f t="shared" ca="1" si="32"/>
        <v>1.5375618369531114E-4</v>
      </c>
    </row>
    <row r="707" spans="1:7" x14ac:dyDescent="0.35">
      <c r="A707" s="84">
        <v>692</v>
      </c>
      <c r="B707" s="84">
        <f t="shared" ca="1" si="30"/>
        <v>0.53917737323476778</v>
      </c>
      <c r="C707" s="84">
        <f t="shared" ca="1" si="30"/>
        <v>0.52575595645647466</v>
      </c>
      <c r="D707" s="93" cm="1">
        <f t="array" aca="1" ref="D707" ca="1">_xlfn.SWITCH($B$4,"Normal MLE",EXP(_xlfn.NORM.INV(B707,LN($C$9),$E$9/$C$9)),"Uniforme",$B$9+($D$9-$B$9)*B707,"Triangular",IF(B707&lt;=($C$9-$B$9)/($D$9-$B$9),$B$9+SQRT(B707*($D$9-$B$9)*($C$9-$B$9)),$D$9-SQRT((1-B707)*($D$9-$B$9)*($D$9-$C$9))),"PERT",_xlfn.BETA.INV(B707,1+$B$6*($C$9-$B$9)/($D$9-$B$9),1+$B$6*($D$9-$C$9)/($D$9-$B$9),$B$9,$D$9))</f>
        <v>1.9612133414973929</v>
      </c>
      <c r="E707" s="94" cm="1">
        <f t="array" aca="1" ref="E707" ca="1">_xlfn.SWITCH($B$4,"Normal MLE",EXP(_xlfn.NORM.INV(C707,LN($C$10),$E$10/$C$10)),"Uniforme",$B$10+($D$10-$B$10)*C707,"Triangular",IF(C707&lt;=($C$10-$B$10)/($D$10-$B$10),$B$10+SQRT(C707*($D$10-$B$10)*($C$10-$B$10)),$D$10-SQRT((1-C707)*($D$10-$B$10)*($D$10-$C$10))),"PERT",_xlfn.BETA.INV(C707,1+$B$6*($C$10-$B$10)/($D$10-$B$10),1+$B$6*($D$10-$C$10)/($D$10-$B$10),$B$10,$D$10))</f>
        <v>5115.1308791890697</v>
      </c>
      <c r="F707" s="88">
        <f t="shared" ca="1" si="31"/>
        <v>0.53935860206490371</v>
      </c>
      <c r="G707" s="89">
        <f t="shared" ca="1" si="32"/>
        <v>1.6326429922997184E-4</v>
      </c>
    </row>
    <row r="708" spans="1:7" x14ac:dyDescent="0.35">
      <c r="A708" s="84">
        <v>693</v>
      </c>
      <c r="B708" s="84">
        <f t="shared" ca="1" si="30"/>
        <v>0.40012467413542463</v>
      </c>
      <c r="C708" s="84">
        <f t="shared" ca="1" si="30"/>
        <v>4.8195876996323328E-2</v>
      </c>
      <c r="D708" s="93" cm="1">
        <f t="array" aca="1" ref="D708" ca="1">_xlfn.SWITCH($B$4,"Normal MLE",EXP(_xlfn.NORM.INV(B708,LN($C$9),$E$9/$C$9)),"Uniforme",$B$9+($D$9-$B$9)*B708,"Triangular",IF(B708&lt;=($C$9-$B$9)/($D$9-$B$9),$B$9+SQRT(B708*($D$9-$B$9)*($C$9-$B$9)),$D$9-SQRT((1-B708)*($D$9-$B$9)*($D$9-$C$9))),"PERT",_xlfn.BETA.INV(B708,1+$B$6*($C$9-$B$9)/($D$9-$B$9),1+$B$6*($D$9-$C$9)/($D$9-$B$9),$B$9,$D$9))</f>
        <v>1.9132797626993705</v>
      </c>
      <c r="E708" s="94" cm="1">
        <f t="array" aca="1" ref="E708" ca="1">_xlfn.SWITCH($B$4,"Normal MLE",EXP(_xlfn.NORM.INV(C708,LN($C$10),$E$10/$C$10)),"Uniforme",$B$10+($D$10-$B$10)*C708,"Triangular",IF(C708&lt;=($C$10-$B$10)/($D$10-$B$10),$B$10+SQRT(C708*($D$10-$B$10)*($C$10-$B$10)),$D$10-SQRT((1-C708)*($D$10-$B$10)*($D$10-$C$10))),"PERT",_xlfn.BETA.INV(C708,1+$B$6*($C$10-$B$10)/($D$10-$B$10),1+$B$6*($D$10-$C$10)/($D$10-$B$10),$B$10,$D$10))</f>
        <v>4720.0930286534103</v>
      </c>
      <c r="F708" s="88">
        <f t="shared" ca="1" si="31"/>
        <v>0.4826132272966091</v>
      </c>
      <c r="G708" s="89">
        <f t="shared" ca="1" si="32"/>
        <v>1.6817868037487333E-4</v>
      </c>
    </row>
    <row r="709" spans="1:7" x14ac:dyDescent="0.35">
      <c r="A709" s="84">
        <v>694</v>
      </c>
      <c r="B709" s="84">
        <f t="shared" ca="1" si="30"/>
        <v>0.11763781068022749</v>
      </c>
      <c r="C709" s="84">
        <f t="shared" ca="1" si="30"/>
        <v>5.8692471820501746E-2</v>
      </c>
      <c r="D709" s="93" cm="1">
        <f t="array" aca="1" ref="D709" ca="1">_xlfn.SWITCH($B$4,"Normal MLE",EXP(_xlfn.NORM.INV(B709,LN($C$9),$E$9/$C$9)),"Uniforme",$B$9+($D$9-$B$9)*B709,"Triangular",IF(B709&lt;=($C$9-$B$9)/($D$9-$B$9),$B$9+SQRT(B709*($D$9-$B$9)*($C$9-$B$9)),$D$9-SQRT((1-B709)*($D$9-$B$9)*($D$9-$C$9))),"PERT",_xlfn.BETA.INV(B709,1+$B$6*($C$9-$B$9)/($D$9-$B$9),1+$B$6*($D$9-$C$9)/($D$9-$B$9),$B$9,$D$9))</f>
        <v>1.7915074581542763</v>
      </c>
      <c r="E709" s="94" cm="1">
        <f t="array" aca="1" ref="E709" ca="1">_xlfn.SWITCH($B$4,"Normal MLE",EXP(_xlfn.NORM.INV(C709,LN($C$10),$E$10/$C$10)),"Uniforme",$B$10+($D$10-$B$10)*C709,"Triangular",IF(C709&lt;=($C$10-$B$10)/($D$10-$B$10),$B$10+SQRT(C709*($D$10-$B$10)*($C$10-$B$10)),$D$10-SQRT((1-C709)*($D$10-$B$10)*($D$10-$C$10))),"PERT",_xlfn.BETA.INV(C709,1+$B$6*($C$10-$B$10)/($D$10-$B$10),1+$B$6*($D$10-$C$10)/($D$10-$B$10),$B$10,$D$10))</f>
        <v>4741.3937019371106</v>
      </c>
      <c r="F709" s="88">
        <f t="shared" ca="1" si="31"/>
        <v>0.4783550849422854</v>
      </c>
      <c r="G709" s="89">
        <f t="shared" ca="1" si="32"/>
        <v>1.5798407643605224E-4</v>
      </c>
    </row>
    <row r="710" spans="1:7" x14ac:dyDescent="0.35">
      <c r="A710" s="84">
        <v>695</v>
      </c>
      <c r="B710" s="84">
        <f t="shared" ca="1" si="30"/>
        <v>0.11694679404764019</v>
      </c>
      <c r="C710" s="84">
        <f t="shared" ca="1" si="30"/>
        <v>0.71897518207035627</v>
      </c>
      <c r="D710" s="93" cm="1">
        <f t="array" aca="1" ref="D710" ca="1">_xlfn.SWITCH($B$4,"Normal MLE",EXP(_xlfn.NORM.INV(B710,LN($C$9),$E$9/$C$9)),"Uniforme",$B$9+($D$9-$B$9)*B710,"Triangular",IF(B710&lt;=($C$9-$B$9)/($D$9-$B$9),$B$9+SQRT(B710*($D$9-$B$9)*($C$9-$B$9)),$D$9-SQRT((1-B710)*($D$9-$B$9)*($D$9-$C$9))),"PERT",_xlfn.BETA.INV(B710,1+$B$6*($C$9-$B$9)/($D$9-$B$9),1+$B$6*($D$9-$C$9)/($D$9-$B$9),$B$9,$D$9))</f>
        <v>1.7910646327720459</v>
      </c>
      <c r="E710" s="94" cm="1">
        <f t="array" aca="1" ref="E710" ca="1">_xlfn.SWITCH($B$4,"Normal MLE",EXP(_xlfn.NORM.INV(C710,LN($C$10),$E$10/$C$10)),"Uniforme",$B$10+($D$10-$B$10)*C710,"Triangular",IF(C710&lt;=($C$10-$B$10)/($D$10-$B$10),$B$10+SQRT(C710*($D$10-$B$10)*($C$10-$B$10)),$D$10-SQRT((1-C710)*($D$10-$B$10)*($D$10-$C$10))),"PERT",_xlfn.BETA.INV(C710,1+$B$6*($C$10-$B$10)/($D$10-$B$10),1+$B$6*($D$10-$C$10)/($D$10-$B$10),$B$10,$D$10))</f>
        <v>5239.2438805935726</v>
      </c>
      <c r="F710" s="88">
        <f t="shared" ca="1" si="31"/>
        <v>0.53972424860575308</v>
      </c>
      <c r="G710" s="89">
        <f t="shared" ca="1" si="32"/>
        <v>1.4903730099477417E-4</v>
      </c>
    </row>
    <row r="711" spans="1:7" x14ac:dyDescent="0.35">
      <c r="A711" s="84">
        <v>696</v>
      </c>
      <c r="B711" s="84">
        <f t="shared" ca="1" si="30"/>
        <v>0.28513302474625335</v>
      </c>
      <c r="C711" s="84">
        <f t="shared" ca="1" si="30"/>
        <v>0.19780339519253032</v>
      </c>
      <c r="D711" s="93" cm="1">
        <f t="array" aca="1" ref="D711" ca="1">_xlfn.SWITCH($B$4,"Normal MLE",EXP(_xlfn.NORM.INV(B711,LN($C$9),$E$9/$C$9)),"Uniforme",$B$9+($D$9-$B$9)*B711,"Triangular",IF(B711&lt;=($C$9-$B$9)/($D$9-$B$9),$B$9+SQRT(B711*($D$9-$B$9)*($C$9-$B$9)),$D$9-SQRT((1-B711)*($D$9-$B$9)*($D$9-$C$9))),"PERT",_xlfn.BETA.INV(B711,1+$B$6*($C$9-$B$9)/($D$9-$B$9),1+$B$6*($D$9-$C$9)/($D$9-$B$9),$B$9,$D$9))</f>
        <v>1.8713544428224078</v>
      </c>
      <c r="E711" s="94" cm="1">
        <f t="array" aca="1" ref="E711" ca="1">_xlfn.SWITCH($B$4,"Normal MLE",EXP(_xlfn.NORM.INV(C711,LN($C$10),$E$10/$C$10)),"Uniforme",$B$10+($D$10-$B$10)*C711,"Triangular",IF(C711&lt;=($C$10-$B$10)/($D$10-$B$10),$B$10+SQRT(C711*($D$10-$B$10)*($C$10-$B$10)),$D$10-SQRT((1-C711)*($D$10-$B$10)*($D$10-$C$10))),"PERT",_xlfn.BETA.INV(C711,1+$B$6*($C$10-$B$10)/($D$10-$B$10),1+$B$6*($D$10-$C$10)/($D$10-$B$10),$B$10,$D$10))</f>
        <v>4902.11151418394</v>
      </c>
      <c r="F711" s="88">
        <f t="shared" ca="1" si="31"/>
        <v>0.50486482709919112</v>
      </c>
      <c r="G711" s="89">
        <f t="shared" ca="1" si="32"/>
        <v>1.6143108771009843E-4</v>
      </c>
    </row>
    <row r="712" spans="1:7" x14ac:dyDescent="0.35">
      <c r="A712" s="84">
        <v>697</v>
      </c>
      <c r="B712" s="84">
        <f t="shared" ca="1" si="30"/>
        <v>0.25517534934646224</v>
      </c>
      <c r="C712" s="84">
        <f t="shared" ca="1" si="30"/>
        <v>0.29918800717876259</v>
      </c>
      <c r="D712" s="93" cm="1">
        <f t="array" aca="1" ref="D712" ca="1">_xlfn.SWITCH($B$4,"Normal MLE",EXP(_xlfn.NORM.INV(B712,LN($C$9),$E$9/$C$9)),"Uniforme",$B$9+($D$9-$B$9)*B712,"Triangular",IF(B712&lt;=($C$9-$B$9)/($D$9-$B$9),$B$9+SQRT(B712*($D$9-$B$9)*($C$9-$B$9)),$D$9-SQRT((1-B712)*($D$9-$B$9)*($D$9-$C$9))),"PERT",_xlfn.BETA.INV(B712,1+$B$6*($C$9-$B$9)/($D$9-$B$9),1+$B$6*($D$9-$C$9)/($D$9-$B$9),$B$9,$D$9))</f>
        <v>1.8594490082398367</v>
      </c>
      <c r="E712" s="94" cm="1">
        <f t="array" aca="1" ref="E712" ca="1">_xlfn.SWITCH($B$4,"Normal MLE",EXP(_xlfn.NORM.INV(C712,LN($C$10),$E$10/$C$10)),"Uniforme",$B$10+($D$10-$B$10)*C712,"Triangular",IF(C712&lt;=($C$10-$B$10)/($D$10-$B$10),$B$10+SQRT(C712*($D$10-$B$10)*($C$10-$B$10)),$D$10-SQRT((1-C712)*($D$10-$B$10)*($D$10-$C$10))),"PERT",_xlfn.BETA.INV(C712,1+$B$6*($C$10-$B$10)/($D$10-$B$10),1+$B$6*($D$10-$C$10)/($D$10-$B$10),$B$10,$D$10))</f>
        <v>4976.2931281205883</v>
      </c>
      <c r="F712" s="88">
        <f t="shared" ca="1" si="31"/>
        <v>0.51362986939161992</v>
      </c>
      <c r="G712" s="89">
        <f t="shared" ca="1" si="32"/>
        <v>1.5907917177450731E-4</v>
      </c>
    </row>
    <row r="713" spans="1:7" x14ac:dyDescent="0.35">
      <c r="A713" s="84">
        <v>698</v>
      </c>
      <c r="B713" s="84">
        <f t="shared" ca="1" si="30"/>
        <v>0.95477886931322642</v>
      </c>
      <c r="C713" s="84">
        <f t="shared" ca="1" si="30"/>
        <v>0.17427381016505361</v>
      </c>
      <c r="D713" s="93" cm="1">
        <f t="array" aca="1" ref="D713" ca="1">_xlfn.SWITCH($B$4,"Normal MLE",EXP(_xlfn.NORM.INV(B713,LN($C$9),$E$9/$C$9)),"Uniforme",$B$9+($D$9-$B$9)*B713,"Triangular",IF(B713&lt;=($C$9-$B$9)/($D$9-$B$9),$B$9+SQRT(B713*($D$9-$B$9)*($C$9-$B$9)),$D$9-SQRT((1-B713)*($D$9-$B$9)*($D$9-$C$9))),"PERT",_xlfn.BETA.INV(B713,1+$B$6*($C$9-$B$9)/($D$9-$B$9),1+$B$6*($D$9-$C$9)/($D$9-$B$9),$B$9,$D$9))</f>
        <v>2.1942972295005641</v>
      </c>
      <c r="E713" s="94" cm="1">
        <f t="array" aca="1" ref="E713" ca="1">_xlfn.SWITCH($B$4,"Normal MLE",EXP(_xlfn.NORM.INV(C713,LN($C$10),$E$10/$C$10)),"Uniforme",$B$10+($D$10-$B$10)*C713,"Triangular",IF(C713&lt;=($C$10-$B$10)/($D$10-$B$10),$B$10+SQRT(C713*($D$10-$B$10)*($C$10-$B$10)),$D$10-SQRT((1-C713)*($D$10-$B$10)*($D$10-$C$10))),"PERT",_xlfn.BETA.INV(C713,1+$B$6*($C$10-$B$10)/($D$10-$B$10),1+$B$6*($D$10-$C$10)/($D$10-$B$10),$B$10,$D$10))</f>
        <v>4882.0972410403865</v>
      </c>
      <c r="F713" s="88">
        <f t="shared" ca="1" si="31"/>
        <v>0.52424815706256223</v>
      </c>
      <c r="G713" s="89">
        <f t="shared" ca="1" si="32"/>
        <v>1.8572218112076271E-4</v>
      </c>
    </row>
    <row r="714" spans="1:7" x14ac:dyDescent="0.35">
      <c r="A714" s="84">
        <v>699</v>
      </c>
      <c r="B714" s="84">
        <f t="shared" ca="1" si="30"/>
        <v>0.55236808394782333</v>
      </c>
      <c r="C714" s="84">
        <f t="shared" ca="1" si="30"/>
        <v>0.23772077159244376</v>
      </c>
      <c r="D714" s="93" cm="1">
        <f t="array" aca="1" ref="D714" ca="1">_xlfn.SWITCH($B$4,"Normal MLE",EXP(_xlfn.NORM.INV(B714,LN($C$9),$E$9/$C$9)),"Uniforme",$B$9+($D$9-$B$9)*B714,"Triangular",IF(B714&lt;=($C$9-$B$9)/($D$9-$B$9),$B$9+SQRT(B714*($D$9-$B$9)*($C$9-$B$9)),$D$9-SQRT((1-B714)*($D$9-$B$9)*($D$9-$C$9))),"PERT",_xlfn.BETA.INV(B714,1+$B$6*($C$9-$B$9)/($D$9-$B$9),1+$B$6*($D$9-$C$9)/($D$9-$B$9),$B$9,$D$9))</f>
        <v>1.9658156590922127</v>
      </c>
      <c r="E714" s="94" cm="1">
        <f t="array" aca="1" ref="E714" ca="1">_xlfn.SWITCH($B$4,"Normal MLE",EXP(_xlfn.NORM.INV(C714,LN($C$10),$E$10/$C$10)),"Uniforme",$B$10+($D$10-$B$10)*C714,"Triangular",IF(C714&lt;=($C$10-$B$10)/($D$10-$B$10),$B$10+SQRT(C714*($D$10-$B$10)*($C$10-$B$10)),$D$10-SQRT((1-C714)*($D$10-$B$10)*($D$10-$C$10))),"PERT",_xlfn.BETA.INV(C714,1+$B$6*($C$10-$B$10)/($D$10-$B$10),1+$B$6*($D$10-$C$10)/($D$10-$B$10),$B$10,$D$10))</f>
        <v>4933.1969904246025</v>
      </c>
      <c r="F714" s="88">
        <f t="shared" ca="1" si="31"/>
        <v>0.5157257291903411</v>
      </c>
      <c r="G714" s="89">
        <f t="shared" ca="1" si="32"/>
        <v>1.6783316317896908E-4</v>
      </c>
    </row>
    <row r="715" spans="1:7" x14ac:dyDescent="0.35">
      <c r="A715" s="84">
        <v>700</v>
      </c>
      <c r="B715" s="84">
        <f t="shared" ca="1" si="30"/>
        <v>1.7736450748797039E-2</v>
      </c>
      <c r="C715" s="84">
        <f t="shared" ca="1" si="30"/>
        <v>0.77924236155290416</v>
      </c>
      <c r="D715" s="93" cm="1">
        <f t="array" aca="1" ref="D715" ca="1">_xlfn.SWITCH($B$4,"Normal MLE",EXP(_xlfn.NORM.INV(B715,LN($C$9),$E$9/$C$9)),"Uniforme",$B$9+($D$9-$B$9)*B715,"Triangular",IF(B715&lt;=($C$9-$B$9)/($D$9-$B$9),$B$9+SQRT(B715*($D$9-$B$9)*($C$9-$B$9)),$D$9-SQRT((1-B715)*($D$9-$B$9)*($D$9-$C$9))),"PERT",_xlfn.BETA.INV(B715,1+$B$6*($C$9-$B$9)/($D$9-$B$9),1+$B$6*($D$9-$C$9)/($D$9-$B$9),$B$9,$D$9))</f>
        <v>1.6795910775639511</v>
      </c>
      <c r="E715" s="94" cm="1">
        <f t="array" aca="1" ref="E715" ca="1">_xlfn.SWITCH($B$4,"Normal MLE",EXP(_xlfn.NORM.INV(C715,LN($C$10),$E$10/$C$10)),"Uniforme",$B$10+($D$10-$B$10)*C715,"Triangular",IF(C715&lt;=($C$10-$B$10)/($D$10-$B$10),$B$10+SQRT(C715*($D$10-$B$10)*($C$10-$B$10)),$D$10-SQRT((1-C715)*($D$10-$B$10)*($D$10-$C$10))),"PERT",_xlfn.BETA.INV(C715,1+$B$6*($C$10-$B$10)/($D$10-$B$10),1+$B$6*($D$10-$C$10)/($D$10-$B$10),$B$10,$D$10))</f>
        <v>5285.7320763639354</v>
      </c>
      <c r="F715" s="88">
        <f t="shared" ca="1" si="31"/>
        <v>0.5346344735788765</v>
      </c>
      <c r="G715" s="89">
        <f t="shared" ca="1" si="32"/>
        <v>1.4057049205294555E-4</v>
      </c>
    </row>
    <row r="716" spans="1:7" x14ac:dyDescent="0.35">
      <c r="A716" s="84">
        <v>701</v>
      </c>
      <c r="B716" s="84">
        <f t="shared" ca="1" si="30"/>
        <v>0.66261865151084209</v>
      </c>
      <c r="C716" s="84">
        <f t="shared" ca="1" si="30"/>
        <v>0.12517776551105808</v>
      </c>
      <c r="D716" s="93" cm="1">
        <f t="array" aca="1" ref="D716" ca="1">_xlfn.SWITCH($B$4,"Normal MLE",EXP(_xlfn.NORM.INV(B716,LN($C$9),$E$9/$C$9)),"Uniforme",$B$9+($D$9-$B$9)*B716,"Triangular",IF(B716&lt;=($C$9-$B$9)/($D$9-$B$9),$B$9+SQRT(B716*($D$9-$B$9)*($C$9-$B$9)),$D$9-SQRT((1-B716)*($D$9-$B$9)*($D$9-$C$9))),"PERT",_xlfn.BETA.INV(B716,1+$B$6*($C$9-$B$9)/($D$9-$B$9),1+$B$6*($D$9-$C$9)/($D$9-$B$9),$B$9,$D$9))</f>
        <v>2.0060873354710913</v>
      </c>
      <c r="E716" s="94" cm="1">
        <f t="array" aca="1" ref="E716" ca="1">_xlfn.SWITCH($B$4,"Normal MLE",EXP(_xlfn.NORM.INV(C716,LN($C$10),$E$10/$C$10)),"Uniforme",$B$10+($D$10-$B$10)*C716,"Triangular",IF(C716&lt;=($C$10-$B$10)/($D$10-$B$10),$B$10+SQRT(C716*($D$10-$B$10)*($C$10-$B$10)),$D$10-SQRT((1-C716)*($D$10-$B$10)*($D$10-$C$10))),"PERT",_xlfn.BETA.INV(C716,1+$B$6*($C$10-$B$10)/($D$10-$B$10),1+$B$6*($D$10-$C$10)/($D$10-$B$10),$B$10,$D$10))</f>
        <v>4834.1537002424038</v>
      </c>
      <c r="F716" s="88">
        <f t="shared" ca="1" si="31"/>
        <v>0.50465637969698951</v>
      </c>
      <c r="G716" s="89">
        <f t="shared" ca="1" si="32"/>
        <v>1.7308679618353683E-4</v>
      </c>
    </row>
    <row r="717" spans="1:7" x14ac:dyDescent="0.35">
      <c r="A717" s="84">
        <v>702</v>
      </c>
      <c r="B717" s="84">
        <f t="shared" ca="1" si="30"/>
        <v>0.1310481309116901</v>
      </c>
      <c r="C717" s="84">
        <f t="shared" ca="1" si="30"/>
        <v>0.86300513770326293</v>
      </c>
      <c r="D717" s="93" cm="1">
        <f t="array" aca="1" ref="D717" ca="1">_xlfn.SWITCH($B$4,"Normal MLE",EXP(_xlfn.NORM.INV(B717,LN($C$9),$E$9/$C$9)),"Uniforme",$B$9+($D$9-$B$9)*B717,"Triangular",IF(B717&lt;=($C$9-$B$9)/($D$9-$B$9),$B$9+SQRT(B717*($D$9-$B$9)*($C$9-$B$9)),$D$9-SQRT((1-B717)*($D$9-$B$9)*($D$9-$C$9))),"PERT",_xlfn.BETA.INV(B717,1+$B$6*($C$9-$B$9)/($D$9-$B$9),1+$B$6*($D$9-$C$9)/($D$9-$B$9),$B$9,$D$9))</f>
        <v>1.7997807137153954</v>
      </c>
      <c r="E717" s="94" cm="1">
        <f t="array" aca="1" ref="E717" ca="1">_xlfn.SWITCH($B$4,"Normal MLE",EXP(_xlfn.NORM.INV(C717,LN($C$10),$E$10/$C$10)),"Uniforme",$B$10+($D$10-$B$10)*C717,"Triangular",IF(C717&lt;=($C$10-$B$10)/($D$10-$B$10),$B$10+SQRT(C717*($D$10-$B$10)*($C$10-$B$10)),$D$10-SQRT((1-C717)*($D$10-$B$10)*($D$10-$C$10))),"PERT",_xlfn.BETA.INV(C717,1+$B$6*($C$10-$B$10)/($D$10-$B$10),1+$B$6*($D$10-$C$10)/($D$10-$B$10),$B$10,$D$10))</f>
        <v>5366.1003319461852</v>
      </c>
      <c r="F717" s="88">
        <f t="shared" ca="1" si="31"/>
        <v>0.55470513420065926</v>
      </c>
      <c r="G717" s="89">
        <f t="shared" ca="1" si="32"/>
        <v>1.4708620186884916E-4</v>
      </c>
    </row>
    <row r="718" spans="1:7" x14ac:dyDescent="0.35">
      <c r="A718" s="84">
        <v>703</v>
      </c>
      <c r="B718" s="84">
        <f t="shared" ca="1" si="30"/>
        <v>0.33822416525479315</v>
      </c>
      <c r="C718" s="84">
        <f t="shared" ca="1" si="30"/>
        <v>0.4458582281889748</v>
      </c>
      <c r="D718" s="93" cm="1">
        <f t="array" aca="1" ref="D718" ca="1">_xlfn.SWITCH($B$4,"Normal MLE",EXP(_xlfn.NORM.INV(B718,LN($C$9),$E$9/$C$9)),"Uniforme",$B$9+($D$9-$B$9)*B718,"Triangular",IF(B718&lt;=($C$9-$B$9)/($D$9-$B$9),$B$9+SQRT(B718*($D$9-$B$9)*($C$9-$B$9)),$D$9-SQRT((1-B718)*($D$9-$B$9)*($D$9-$C$9))),"PERT",_xlfn.BETA.INV(B718,1+$B$6*($C$9-$B$9)/($D$9-$B$9),1+$B$6*($D$9-$C$9)/($D$9-$B$9),$B$9,$D$9))</f>
        <v>1.8912721460694777</v>
      </c>
      <c r="E718" s="94" cm="1">
        <f t="array" aca="1" ref="E718" ca="1">_xlfn.SWITCH($B$4,"Normal MLE",EXP(_xlfn.NORM.INV(C718,LN($C$10),$E$10/$C$10)),"Uniforme",$B$10+($D$10-$B$10)*C718,"Triangular",IF(C718&lt;=($C$10-$B$10)/($D$10-$B$10),$B$10+SQRT(C718*($D$10-$B$10)*($C$10-$B$10)),$D$10-SQRT((1-C718)*($D$10-$B$10)*($D$10-$C$10))),"PERT",_xlfn.BETA.INV(C718,1+$B$6*($C$10-$B$10)/($D$10-$B$10),1+$B$6*($D$10-$C$10)/($D$10-$B$10),$B$10,$D$10))</f>
        <v>5067.5718544496503</v>
      </c>
      <c r="F718" s="88">
        <f t="shared" ca="1" si="31"/>
        <v>0.52767242436697925</v>
      </c>
      <c r="G718" s="89">
        <f t="shared" ca="1" si="32"/>
        <v>1.5949580962003028E-4</v>
      </c>
    </row>
    <row r="719" spans="1:7" x14ac:dyDescent="0.35">
      <c r="A719" s="84">
        <v>704</v>
      </c>
      <c r="B719" s="84">
        <f t="shared" ca="1" si="30"/>
        <v>0.74810107709583673</v>
      </c>
      <c r="C719" s="84">
        <f t="shared" ca="1" si="30"/>
        <v>8.8649852612324831E-2</v>
      </c>
      <c r="D719" s="93" cm="1">
        <f t="array" aca="1" ref="D719" ca="1">_xlfn.SWITCH($B$4,"Normal MLE",EXP(_xlfn.NORM.INV(B719,LN($C$9),$E$9/$C$9)),"Uniforme",$B$9+($D$9-$B$9)*B719,"Triangular",IF(B719&lt;=($C$9-$B$9)/($D$9-$B$9),$B$9+SQRT(B719*($D$9-$B$9)*($C$9-$B$9)),$D$9-SQRT((1-B719)*($D$9-$B$9)*($D$9-$C$9))),"PERT",_xlfn.BETA.INV(B719,1+$B$6*($C$9-$B$9)/($D$9-$B$9),1+$B$6*($D$9-$C$9)/($D$9-$B$9),$B$9,$D$9))</f>
        <v>2.0415595970609886</v>
      </c>
      <c r="E719" s="94" cm="1">
        <f t="array" aca="1" ref="E719" ca="1">_xlfn.SWITCH($B$4,"Normal MLE",EXP(_xlfn.NORM.INV(C719,LN($C$10),$E$10/$C$10)),"Uniforme",$B$10+($D$10-$B$10)*C719,"Triangular",IF(C719&lt;=($C$10-$B$10)/($D$10-$B$10),$B$10+SQRT(C719*($D$10-$B$10)*($C$10-$B$10)),$D$10-SQRT((1-C719)*($D$10-$B$10)*($D$10-$C$10))),"PERT",_xlfn.BETA.INV(C719,1+$B$6*($C$10-$B$10)/($D$10-$B$10),1+$B$6*($D$10-$C$10)/($D$10-$B$10),$B$10,$D$10))</f>
        <v>4789.4541400783364</v>
      </c>
      <c r="F719" s="88">
        <f t="shared" ca="1" si="31"/>
        <v>0.50042171921415579</v>
      </c>
      <c r="G719" s="89">
        <f t="shared" ca="1" si="32"/>
        <v>1.7682152170770272E-4</v>
      </c>
    </row>
    <row r="720" spans="1:7" x14ac:dyDescent="0.35">
      <c r="A720" s="84">
        <v>705</v>
      </c>
      <c r="B720" s="84">
        <f t="shared" ca="1" si="30"/>
        <v>0.44816023905216429</v>
      </c>
      <c r="C720" s="84">
        <f t="shared" ca="1" si="30"/>
        <v>0.54724903623033205</v>
      </c>
      <c r="D720" s="93" cm="1">
        <f t="array" aca="1" ref="D720" ca="1">_xlfn.SWITCH($B$4,"Normal MLE",EXP(_xlfn.NORM.INV(B720,LN($C$9),$E$9/$C$9)),"Uniforme",$B$9+($D$9-$B$9)*B720,"Triangular",IF(B720&lt;=($C$9-$B$9)/($D$9-$B$9),$B$9+SQRT(B720*($D$9-$B$9)*($C$9-$B$9)),$D$9-SQRT((1-B720)*($D$9-$B$9)*($D$9-$C$9))),"PERT",_xlfn.BETA.INV(B720,1+$B$6*($C$9-$B$9)/($D$9-$B$9),1+$B$6*($D$9-$C$9)/($D$9-$B$9),$B$9,$D$9))</f>
        <v>1.9298848651194744</v>
      </c>
      <c r="E720" s="94" cm="1">
        <f t="array" aca="1" ref="E720" ca="1">_xlfn.SWITCH($B$4,"Normal MLE",EXP(_xlfn.NORM.INV(C720,LN($C$10),$E$10/$C$10)),"Uniforme",$B$10+($D$10-$B$10)*C720,"Triangular",IF(C720&lt;=($C$10-$B$10)/($D$10-$B$10),$B$10+SQRT(C720*($D$10-$B$10)*($C$10-$B$10)),$D$10-SQRT((1-C720)*($D$10-$B$10)*($D$10-$C$10))),"PERT",_xlfn.BETA.INV(C720,1+$B$6*($C$10-$B$10)/($D$10-$B$10),1+$B$6*($D$10-$C$10)/($D$10-$B$10),$B$10,$D$10))</f>
        <v>5128.0265005019874</v>
      </c>
      <c r="F720" s="88">
        <f t="shared" ca="1" si="31"/>
        <v>0.53841084648393811</v>
      </c>
      <c r="G720" s="89">
        <f t="shared" ca="1" si="32"/>
        <v>1.6083086990782323E-4</v>
      </c>
    </row>
    <row r="721" spans="1:7" x14ac:dyDescent="0.35">
      <c r="A721" s="84">
        <v>706</v>
      </c>
      <c r="B721" s="84">
        <f t="shared" ref="B721:C784" ca="1" si="33">RAND()</f>
        <v>0.98229297208332311</v>
      </c>
      <c r="C721" s="84">
        <f t="shared" ca="1" si="33"/>
        <v>0.82291749023633176</v>
      </c>
      <c r="D721" s="93" cm="1">
        <f t="array" aca="1" ref="D721" ca="1">_xlfn.SWITCH($B$4,"Normal MLE",EXP(_xlfn.NORM.INV(B721,LN($C$9),$E$9/$C$9)),"Uniforme",$B$9+($D$9-$B$9)*B721,"Triangular",IF(B721&lt;=($C$9-$B$9)/($D$9-$B$9),$B$9+SQRT(B721*($D$9-$B$9)*($C$9-$B$9)),$D$9-SQRT((1-B721)*($D$9-$B$9)*($D$9-$C$9))),"PERT",_xlfn.BETA.INV(B721,1+$B$6*($C$9-$B$9)/($D$9-$B$9),1+$B$6*($D$9-$C$9)/($D$9-$B$9),$B$9,$D$9))</f>
        <v>2.2586575017327126</v>
      </c>
      <c r="E721" s="94" cm="1">
        <f t="array" aca="1" ref="E721" ca="1">_xlfn.SWITCH($B$4,"Normal MLE",EXP(_xlfn.NORM.INV(C721,LN($C$10),$E$10/$C$10)),"Uniforme",$B$10+($D$10-$B$10)*C721,"Triangular",IF(C721&lt;=($C$10-$B$10)/($D$10-$B$10),$B$10+SQRT(C721*($D$10-$B$10)*($C$10-$B$10)),$D$10-SQRT((1-C721)*($D$10-$B$10)*($D$10-$C$10))),"PERT",_xlfn.BETA.INV(C721,1+$B$6*($C$10-$B$10)/($D$10-$B$10),1+$B$6*($D$10-$C$10)/($D$10-$B$10),$B$10,$D$10))</f>
        <v>5324.4666038952037</v>
      </c>
      <c r="F721" s="88">
        <f t="shared" ref="F721:F784" ca="1" si="34">EXP(-POWER($B$12/E721,D721))</f>
        <v>0.59207072795869342</v>
      </c>
      <c r="G721" s="89">
        <f t="shared" ref="G721:G784" ca="1" si="35">(D721/E721)*POWER($B$12/E721,D721-1)*EXP(-POWER($B$12/E721,D721))</f>
        <v>1.7522752091598769E-4</v>
      </c>
    </row>
    <row r="722" spans="1:7" x14ac:dyDescent="0.35">
      <c r="A722" s="84">
        <v>707</v>
      </c>
      <c r="B722" s="84">
        <f t="shared" ca="1" si="33"/>
        <v>0.21790847075505038</v>
      </c>
      <c r="C722" s="84">
        <f t="shared" ca="1" si="33"/>
        <v>0.91814617465357951</v>
      </c>
      <c r="D722" s="93" cm="1">
        <f t="array" aca="1" ref="D722" ca="1">_xlfn.SWITCH($B$4,"Normal MLE",EXP(_xlfn.NORM.INV(B722,LN($C$9),$E$9/$C$9)),"Uniforme",$B$9+($D$9-$B$9)*B722,"Triangular",IF(B722&lt;=($C$9-$B$9)/($D$9-$B$9),$B$9+SQRT(B722*($D$9-$B$9)*($C$9-$B$9)),$D$9-SQRT((1-B722)*($D$9-$B$9)*($D$9-$C$9))),"PERT",_xlfn.BETA.INV(B722,1+$B$6*($C$9-$B$9)/($D$9-$B$9),1+$B$6*($D$9-$C$9)/($D$9-$B$9),$B$9,$D$9))</f>
        <v>1.8436744006702872</v>
      </c>
      <c r="E722" s="94" cm="1">
        <f t="array" aca="1" ref="E722" ca="1">_xlfn.SWITCH($B$4,"Normal MLE",EXP(_xlfn.NORM.INV(C722,LN($C$10),$E$10/$C$10)),"Uniforme",$B$10+($D$10-$B$10)*C722,"Triangular",IF(C722&lt;=($C$10-$B$10)/($D$10-$B$10),$B$10+SQRT(C722*($D$10-$B$10)*($C$10-$B$10)),$D$10-SQRT((1-C722)*($D$10-$B$10)*($D$10-$C$10))),"PERT",_xlfn.BETA.INV(C722,1+$B$6*($C$10-$B$10)/($D$10-$B$10),1+$B$6*($D$10-$C$10)/($D$10-$B$10),$B$10,$D$10))</f>
        <v>5441.2312807070684</v>
      </c>
      <c r="F722" s="88">
        <f t="shared" ca="1" si="34"/>
        <v>0.56719977867767846</v>
      </c>
      <c r="G722" s="89">
        <f t="shared" ca="1" si="35"/>
        <v>1.4824389321939683E-4</v>
      </c>
    </row>
    <row r="723" spans="1:7" x14ac:dyDescent="0.35">
      <c r="A723" s="84">
        <v>708</v>
      </c>
      <c r="B723" s="84">
        <f t="shared" ca="1" si="33"/>
        <v>1.9518315363473371E-2</v>
      </c>
      <c r="C723" s="84">
        <f t="shared" ca="1" si="33"/>
        <v>0.25345714151484144</v>
      </c>
      <c r="D723" s="93" cm="1">
        <f t="array" aca="1" ref="D723" ca="1">_xlfn.SWITCH($B$4,"Normal MLE",EXP(_xlfn.NORM.INV(B723,LN($C$9),$E$9/$C$9)),"Uniforme",$B$9+($D$9-$B$9)*B723,"Triangular",IF(B723&lt;=($C$9-$B$9)/($D$9-$B$9),$B$9+SQRT(B723*($D$9-$B$9)*($C$9-$B$9)),$D$9-SQRT((1-B723)*($D$9-$B$9)*($D$9-$C$9))),"PERT",_xlfn.BETA.INV(B723,1+$B$6*($C$9-$B$9)/($D$9-$B$9),1+$B$6*($D$9-$C$9)/($D$9-$B$9),$B$9,$D$9))</f>
        <v>1.6842241576548926</v>
      </c>
      <c r="E723" s="94" cm="1">
        <f t="array" aca="1" ref="E723" ca="1">_xlfn.SWITCH($B$4,"Normal MLE",EXP(_xlfn.NORM.INV(C723,LN($C$10),$E$10/$C$10)),"Uniforme",$B$10+($D$10-$B$10)*C723,"Triangular",IF(C723&lt;=($C$10-$B$10)/($D$10-$B$10),$B$10+SQRT(C723*($D$10-$B$10)*($C$10-$B$10)),$D$10-SQRT((1-C723)*($D$10-$B$10)*($D$10-$C$10))),"PERT",_xlfn.BETA.INV(C723,1+$B$6*($C$10-$B$10)/($D$10-$B$10),1+$B$6*($D$10-$C$10)/($D$10-$B$10),$B$10,$D$10))</f>
        <v>4944.689250566661</v>
      </c>
      <c r="F723" s="88">
        <f t="shared" ca="1" si="34"/>
        <v>0.4967291563252717</v>
      </c>
      <c r="G723" s="89">
        <f t="shared" ca="1" si="35"/>
        <v>1.4634498910616722E-4</v>
      </c>
    </row>
    <row r="724" spans="1:7" x14ac:dyDescent="0.35">
      <c r="A724" s="84">
        <v>709</v>
      </c>
      <c r="B724" s="84">
        <f t="shared" ca="1" si="33"/>
        <v>0.18334945173013284</v>
      </c>
      <c r="C724" s="84">
        <f t="shared" ca="1" si="33"/>
        <v>0.97452094834625502</v>
      </c>
      <c r="D724" s="93" cm="1">
        <f t="array" aca="1" ref="D724" ca="1">_xlfn.SWITCH($B$4,"Normal MLE",EXP(_xlfn.NORM.INV(B724,LN($C$9),$E$9/$C$9)),"Uniforme",$B$9+($D$9-$B$9)*B724,"Triangular",IF(B724&lt;=($C$9-$B$9)/($D$9-$B$9),$B$9+SQRT(B724*($D$9-$B$9)*($C$9-$B$9)),$D$9-SQRT((1-B724)*($D$9-$B$9)*($D$9-$C$9))),"PERT",_xlfn.BETA.INV(B724,1+$B$6*($C$9-$B$9)/($D$9-$B$9),1+$B$6*($D$9-$C$9)/($D$9-$B$9),$B$9,$D$9))</f>
        <v>1.8277230092733709</v>
      </c>
      <c r="E724" s="94" cm="1">
        <f t="array" aca="1" ref="E724" ca="1">_xlfn.SWITCH($B$4,"Normal MLE",EXP(_xlfn.NORM.INV(C724,LN($C$10),$E$10/$C$10)),"Uniforme",$B$10+($D$10-$B$10)*C724,"Triangular",IF(C724&lt;=($C$10-$B$10)/($D$10-$B$10),$B$10+SQRT(C724*($D$10-$B$10)*($C$10-$B$10)),$D$10-SQRT((1-C724)*($D$10-$B$10)*($D$10-$C$10))),"PERT",_xlfn.BETA.INV(C724,1+$B$6*($C$10-$B$10)/($D$10-$B$10),1+$B$6*($D$10-$C$10)/($D$10-$B$10),$B$10,$D$10))</f>
        <v>5584.6611874994505</v>
      </c>
      <c r="F724" s="88">
        <f t="shared" ca="1" si="34"/>
        <v>0.58078773422254915</v>
      </c>
      <c r="G724" s="89">
        <f t="shared" ca="1" si="35"/>
        <v>1.4419939167377655E-4</v>
      </c>
    </row>
    <row r="725" spans="1:7" x14ac:dyDescent="0.35">
      <c r="A725" s="84">
        <v>710</v>
      </c>
      <c r="B725" s="84">
        <f t="shared" ca="1" si="33"/>
        <v>0.25985573588993571</v>
      </c>
      <c r="C725" s="84">
        <f t="shared" ca="1" si="33"/>
        <v>0.67491017724032554</v>
      </c>
      <c r="D725" s="93" cm="1">
        <f t="array" aca="1" ref="D725" ca="1">_xlfn.SWITCH($B$4,"Normal MLE",EXP(_xlfn.NORM.INV(B725,LN($C$9),$E$9/$C$9)),"Uniforme",$B$9+($D$9-$B$9)*B725,"Triangular",IF(B725&lt;=($C$9-$B$9)/($D$9-$B$9),$B$9+SQRT(B725*($D$9-$B$9)*($C$9-$B$9)),$D$9-SQRT((1-B725)*($D$9-$B$9)*($D$9-$C$9))),"PERT",_xlfn.BETA.INV(B725,1+$B$6*($C$9-$B$9)/($D$9-$B$9),1+$B$6*($D$9-$C$9)/($D$9-$B$9),$B$9,$D$9))</f>
        <v>1.8613488239528917</v>
      </c>
      <c r="E725" s="94" cm="1">
        <f t="array" aca="1" ref="E725" ca="1">_xlfn.SWITCH($B$4,"Normal MLE",EXP(_xlfn.NORM.INV(C725,LN($C$10),$E$10/$C$10)),"Uniforme",$B$10+($D$10-$B$10)*C725,"Triangular",IF(C725&lt;=($C$10-$B$10)/($D$10-$B$10),$B$10+SQRT(C725*($D$10-$B$10)*($C$10-$B$10)),$D$10-SQRT((1-C725)*($D$10-$B$10)*($D$10-$C$10))),"PERT",_xlfn.BETA.INV(C725,1+$B$6*($C$10-$B$10)/($D$10-$B$10),1+$B$6*($D$10-$C$10)/($D$10-$B$10),$B$10,$D$10))</f>
        <v>5208.5447913233938</v>
      </c>
      <c r="F725" s="88">
        <f t="shared" ca="1" si="34"/>
        <v>0.54239285666609971</v>
      </c>
      <c r="G725" s="89">
        <f t="shared" ca="1" si="35"/>
        <v>1.5440670722586384E-4</v>
      </c>
    </row>
    <row r="726" spans="1:7" x14ac:dyDescent="0.35">
      <c r="A726" s="84">
        <v>711</v>
      </c>
      <c r="B726" s="84">
        <f t="shared" ca="1" si="33"/>
        <v>0.31468517251598849</v>
      </c>
      <c r="C726" s="84">
        <f t="shared" ca="1" si="33"/>
        <v>0.81078874329454109</v>
      </c>
      <c r="D726" s="93" cm="1">
        <f t="array" aca="1" ref="D726" ca="1">_xlfn.SWITCH($B$4,"Normal MLE",EXP(_xlfn.NORM.INV(B726,LN($C$9),$E$9/$C$9)),"Uniforme",$B$9+($D$9-$B$9)*B726,"Triangular",IF(B726&lt;=($C$9-$B$9)/($D$9-$B$9),$B$9+SQRT(B726*($D$9-$B$9)*($C$9-$B$9)),$D$9-SQRT((1-B726)*($D$9-$B$9)*($D$9-$C$9))),"PERT",_xlfn.BETA.INV(B726,1+$B$6*($C$9-$B$9)/($D$9-$B$9),1+$B$6*($D$9-$C$9)/($D$9-$B$9),$B$9,$D$9))</f>
        <v>1.88259547179327</v>
      </c>
      <c r="E726" s="94" cm="1">
        <f t="array" aca="1" ref="E726" ca="1">_xlfn.SWITCH($B$4,"Normal MLE",EXP(_xlfn.NORM.INV(C726,LN($C$10),$E$10/$C$10)),"Uniforme",$B$10+($D$10-$B$10)*C726,"Triangular",IF(C726&lt;=($C$10-$B$10)/($D$10-$B$10),$B$10+SQRT(C726*($D$10-$B$10)*($C$10-$B$10)),$D$10-SQRT((1-C726)*($D$10-$B$10)*($D$10-$C$10))),"PERT",_xlfn.BETA.INV(C726,1+$B$6*($C$10-$B$10)/($D$10-$B$10),1+$B$6*($D$10-$C$10)/($D$10-$B$10),$B$10,$D$10))</f>
        <v>5313.1470804459796</v>
      </c>
      <c r="F726" s="88">
        <f t="shared" ca="1" si="34"/>
        <v>0.55655375716215327</v>
      </c>
      <c r="G726" s="89">
        <f t="shared" ca="1" si="35"/>
        <v>1.5349543514863297E-4</v>
      </c>
    </row>
    <row r="727" spans="1:7" x14ac:dyDescent="0.35">
      <c r="A727" s="84">
        <v>712</v>
      </c>
      <c r="B727" s="84">
        <f t="shared" ca="1" si="33"/>
        <v>0.38456021979195509</v>
      </c>
      <c r="C727" s="84">
        <f t="shared" ca="1" si="33"/>
        <v>0.49159208697482981</v>
      </c>
      <c r="D727" s="93" cm="1">
        <f t="array" aca="1" ref="D727" ca="1">_xlfn.SWITCH($B$4,"Normal MLE",EXP(_xlfn.NORM.INV(B727,LN($C$9),$E$9/$C$9)),"Uniforme",$B$9+($D$9-$B$9)*B727,"Triangular",IF(B727&lt;=($C$9-$B$9)/($D$9-$B$9),$B$9+SQRT(B727*($D$9-$B$9)*($C$9-$B$9)),$D$9-SQRT((1-B727)*($D$9-$B$9)*($D$9-$C$9))),"PERT",_xlfn.BETA.INV(B727,1+$B$6*($C$9-$B$9)/($D$9-$B$9),1+$B$6*($D$9-$C$9)/($D$9-$B$9),$B$9,$D$9))</f>
        <v>1.9078307254377938</v>
      </c>
      <c r="E727" s="94" cm="1">
        <f t="array" aca="1" ref="E727" ca="1">_xlfn.SWITCH($B$4,"Normal MLE",EXP(_xlfn.NORM.INV(C727,LN($C$10),$E$10/$C$10)),"Uniforme",$B$10+($D$10-$B$10)*C727,"Triangular",IF(C727&lt;=($C$10-$B$10)/($D$10-$B$10),$B$10+SQRT(C727*($D$10-$B$10)*($C$10-$B$10)),$D$10-SQRT((1-C727)*($D$10-$B$10)*($D$10-$C$10))),"PERT",_xlfn.BETA.INV(C727,1+$B$6*($C$10-$B$10)/($D$10-$B$10),1+$B$6*($D$10-$C$10)/($D$10-$B$10),$B$10,$D$10))</f>
        <v>5094.7765394590679</v>
      </c>
      <c r="F727" s="88">
        <f t="shared" ca="1" si="34"/>
        <v>0.53242727697243719</v>
      </c>
      <c r="G727" s="89">
        <f t="shared" ca="1" si="35"/>
        <v>1.6006398497633406E-4</v>
      </c>
    </row>
    <row r="728" spans="1:7" x14ac:dyDescent="0.35">
      <c r="A728" s="84">
        <v>713</v>
      </c>
      <c r="B728" s="84">
        <f t="shared" ca="1" si="33"/>
        <v>0.97498602883438845</v>
      </c>
      <c r="C728" s="84">
        <f t="shared" ca="1" si="33"/>
        <v>3.6662967285202575E-3</v>
      </c>
      <c r="D728" s="93" cm="1">
        <f t="array" aca="1" ref="D728" ca="1">_xlfn.SWITCH($B$4,"Normal MLE",EXP(_xlfn.NORM.INV(B728,LN($C$9),$E$9/$C$9)),"Uniforme",$B$9+($D$9-$B$9)*B728,"Triangular",IF(B728&lt;=($C$9-$B$9)/($D$9-$B$9),$B$9+SQRT(B728*($D$9-$B$9)*($C$9-$B$9)),$D$9-SQRT((1-B728)*($D$9-$B$9)*($D$9-$C$9))),"PERT",_xlfn.BETA.INV(B728,1+$B$6*($C$9-$B$9)/($D$9-$B$9),1+$B$6*($D$9-$C$9)/($D$9-$B$9),$B$9,$D$9))</f>
        <v>2.2358904818825693</v>
      </c>
      <c r="E728" s="94" cm="1">
        <f t="array" aca="1" ref="E728" ca="1">_xlfn.SWITCH($B$4,"Normal MLE",EXP(_xlfn.NORM.INV(C728,LN($C$10),$E$10/$C$10)),"Uniforme",$B$10+($D$10-$B$10)*C728,"Triangular",IF(C728&lt;=($C$10-$B$10)/($D$10-$B$10),$B$10+SQRT(C728*($D$10-$B$10)*($C$10-$B$10)),$D$10-SQRT((1-C728)*($D$10-$B$10)*($D$10-$C$10))),"PERT",_xlfn.BETA.INV(C728,1+$B$6*($C$10-$B$10)/($D$10-$B$10),1+$B$6*($D$10-$C$10)/($D$10-$B$10),$B$10,$D$10))</f>
        <v>4501.5505584473067</v>
      </c>
      <c r="F728" s="88">
        <f t="shared" ca="1" si="34"/>
        <v>0.46399514324731561</v>
      </c>
      <c r="G728" s="89">
        <f t="shared" ca="1" si="35"/>
        <v>1.9915811268372203E-4</v>
      </c>
    </row>
    <row r="729" spans="1:7" x14ac:dyDescent="0.35">
      <c r="A729" s="84">
        <v>714</v>
      </c>
      <c r="B729" s="84">
        <f t="shared" ca="1" si="33"/>
        <v>0.22019728572641473</v>
      </c>
      <c r="C729" s="84">
        <f t="shared" ca="1" si="33"/>
        <v>0.27628379205158093</v>
      </c>
      <c r="D729" s="93" cm="1">
        <f t="array" aca="1" ref="D729" ca="1">_xlfn.SWITCH($B$4,"Normal MLE",EXP(_xlfn.NORM.INV(B729,LN($C$9),$E$9/$C$9)),"Uniforme",$B$9+($D$9-$B$9)*B729,"Triangular",IF(B729&lt;=($C$9-$B$9)/($D$9-$B$9),$B$9+SQRT(B729*($D$9-$B$9)*($C$9-$B$9)),$D$9-SQRT((1-B729)*($D$9-$B$9)*($D$9-$C$9))),"PERT",_xlfn.BETA.INV(B729,1+$B$6*($C$9-$B$9)/($D$9-$B$9),1+$B$6*($D$9-$C$9)/($D$9-$B$9),$B$9,$D$9))</f>
        <v>1.8446807664778515</v>
      </c>
      <c r="E729" s="94" cm="1">
        <f t="array" aca="1" ref="E729" ca="1">_xlfn.SWITCH($B$4,"Normal MLE",EXP(_xlfn.NORM.INV(C729,LN($C$10),$E$10/$C$10)),"Uniforme",$B$10+($D$10-$B$10)*C729,"Triangular",IF(C729&lt;=($C$10-$B$10)/($D$10-$B$10),$B$10+SQRT(C729*($D$10-$B$10)*($C$10-$B$10)),$D$10-SQRT((1-C729)*($D$10-$B$10)*($D$10-$C$10))),"PERT",_xlfn.BETA.INV(C729,1+$B$6*($C$10-$B$10)/($D$10-$B$10),1+$B$6*($D$10-$C$10)/($D$10-$B$10),$B$10,$D$10))</f>
        <v>4960.7607194281254</v>
      </c>
      <c r="F729" s="88">
        <f t="shared" ca="1" si="34"/>
        <v>0.51054814158133643</v>
      </c>
      <c r="G729" s="89">
        <f t="shared" ca="1" si="35"/>
        <v>1.582857727905038E-4</v>
      </c>
    </row>
    <row r="730" spans="1:7" x14ac:dyDescent="0.35">
      <c r="A730" s="84">
        <v>715</v>
      </c>
      <c r="B730" s="84">
        <f t="shared" ca="1" si="33"/>
        <v>0.5832081736193705</v>
      </c>
      <c r="C730" s="84">
        <f t="shared" ca="1" si="33"/>
        <v>0.20154626333217596</v>
      </c>
      <c r="D730" s="93" cm="1">
        <f t="array" aca="1" ref="D730" ca="1">_xlfn.SWITCH($B$4,"Normal MLE",EXP(_xlfn.NORM.INV(B730,LN($C$9),$E$9/$C$9)),"Uniforme",$B$9+($D$9-$B$9)*B730,"Triangular",IF(B730&lt;=($C$9-$B$9)/($D$9-$B$9),$B$9+SQRT(B730*($D$9-$B$9)*($C$9-$B$9)),$D$9-SQRT((1-B730)*($D$9-$B$9)*($D$9-$C$9))),"PERT",_xlfn.BETA.INV(B730,1+$B$6*($C$9-$B$9)/($D$9-$B$9),1+$B$6*($D$9-$C$9)/($D$9-$B$9),$B$9,$D$9))</f>
        <v>1.976707219089048</v>
      </c>
      <c r="E730" s="94" cm="1">
        <f t="array" aca="1" ref="E730" ca="1">_xlfn.SWITCH($B$4,"Normal MLE",EXP(_xlfn.NORM.INV(C730,LN($C$10),$E$10/$C$10)),"Uniforme",$B$10+($D$10-$B$10)*C730,"Triangular",IF(C730&lt;=($C$10-$B$10)/($D$10-$B$10),$B$10+SQRT(C730*($D$10-$B$10)*($C$10-$B$10)),$D$10-SQRT((1-C730)*($D$10-$B$10)*($D$10-$C$10))),"PERT",_xlfn.BETA.INV(C730,1+$B$6*($C$10-$B$10)/($D$10-$B$10),1+$B$6*($D$10-$C$10)/($D$10-$B$10),$B$10,$D$10))</f>
        <v>4905.1652399564373</v>
      </c>
      <c r="F730" s="88">
        <f t="shared" ca="1" si="34"/>
        <v>0.51265428632662358</v>
      </c>
      <c r="G730" s="89">
        <f t="shared" ca="1" si="35"/>
        <v>1.6927126548361534E-4</v>
      </c>
    </row>
    <row r="731" spans="1:7" x14ac:dyDescent="0.35">
      <c r="A731" s="84">
        <v>716</v>
      </c>
      <c r="B731" s="84">
        <f t="shared" ca="1" si="33"/>
        <v>0.59811601962620076</v>
      </c>
      <c r="C731" s="84">
        <f t="shared" ca="1" si="33"/>
        <v>8.5163151144568294E-2</v>
      </c>
      <c r="D731" s="93" cm="1">
        <f t="array" aca="1" ref="D731" ca="1">_xlfn.SWITCH($B$4,"Normal MLE",EXP(_xlfn.NORM.INV(B731,LN($C$9),$E$9/$C$9)),"Uniforme",$B$9+($D$9-$B$9)*B731,"Triangular",IF(B731&lt;=($C$9-$B$9)/($D$9-$B$9),$B$9+SQRT(B731*($D$9-$B$9)*($C$9-$B$9)),$D$9-SQRT((1-B731)*($D$9-$B$9)*($D$9-$C$9))),"PERT",_xlfn.BETA.INV(B731,1+$B$6*($C$9-$B$9)/($D$9-$B$9),1+$B$6*($D$9-$C$9)/($D$9-$B$9),$B$9,$D$9))</f>
        <v>1.9820549351973014</v>
      </c>
      <c r="E731" s="94" cm="1">
        <f t="array" aca="1" ref="E731" ca="1">_xlfn.SWITCH($B$4,"Normal MLE",EXP(_xlfn.NORM.INV(C731,LN($C$10),$E$10/$C$10)),"Uniforme",$B$10+($D$10-$B$10)*C731,"Triangular",IF(C731&lt;=($C$10-$B$10)/($D$10-$B$10),$B$10+SQRT(C731*($D$10-$B$10)*($C$10-$B$10)),$D$10-SQRT((1-C731)*($D$10-$B$10)*($D$10-$C$10))),"PERT",_xlfn.BETA.INV(C731,1+$B$6*($C$10-$B$10)/($D$10-$B$10),1+$B$6*($D$10-$C$10)/($D$10-$B$10),$B$10,$D$10))</f>
        <v>4784.5445003545574</v>
      </c>
      <c r="F731" s="88">
        <f t="shared" ca="1" si="34"/>
        <v>0.495995639351966</v>
      </c>
      <c r="G731" s="89">
        <f t="shared" ca="1" si="35"/>
        <v>1.7233286912488136E-4</v>
      </c>
    </row>
    <row r="732" spans="1:7" x14ac:dyDescent="0.35">
      <c r="A732" s="84">
        <v>717</v>
      </c>
      <c r="B732" s="84">
        <f t="shared" ca="1" si="33"/>
        <v>0.25659539966508838</v>
      </c>
      <c r="C732" s="84">
        <f t="shared" ca="1" si="33"/>
        <v>0.11486816028629365</v>
      </c>
      <c r="D732" s="93" cm="1">
        <f t="array" aca="1" ref="D732" ca="1">_xlfn.SWITCH($B$4,"Normal MLE",EXP(_xlfn.NORM.INV(B732,LN($C$9),$E$9/$C$9)),"Uniforme",$B$9+($D$9-$B$9)*B732,"Triangular",IF(B732&lt;=($C$9-$B$9)/($D$9-$B$9),$B$9+SQRT(B732*($D$9-$B$9)*($C$9-$B$9)),$D$9-SQRT((1-B732)*($D$9-$B$9)*($D$9-$C$9))),"PERT",_xlfn.BETA.INV(B732,1+$B$6*($C$9-$B$9)/($D$9-$B$9),1+$B$6*($D$9-$C$9)/($D$9-$B$9),$B$9,$D$9))</f>
        <v>1.8600271159951085</v>
      </c>
      <c r="E732" s="94" cm="1">
        <f t="array" aca="1" ref="E732" ca="1">_xlfn.SWITCH($B$4,"Normal MLE",EXP(_xlfn.NORM.INV(C732,LN($C$10),$E$10/$C$10)),"Uniforme",$B$10+($D$10-$B$10)*C732,"Triangular",IF(C732&lt;=($C$10-$B$10)/($D$10-$B$10),$B$10+SQRT(C732*($D$10-$B$10)*($C$10-$B$10)),$D$10-SQRT((1-C732)*($D$10-$B$10)*($D$10-$C$10))),"PERT",_xlfn.BETA.INV(C732,1+$B$6*($C$10-$B$10)/($D$10-$B$10),1+$B$6*($D$10-$C$10)/($D$10-$B$10),$B$10,$D$10))</f>
        <v>4822.5707490734467</v>
      </c>
      <c r="F732" s="88">
        <f t="shared" ca="1" si="34"/>
        <v>0.49351322444875723</v>
      </c>
      <c r="G732" s="89">
        <f t="shared" ca="1" si="35"/>
        <v>1.6206500624687883E-4</v>
      </c>
    </row>
    <row r="733" spans="1:7" x14ac:dyDescent="0.35">
      <c r="A733" s="84">
        <v>718</v>
      </c>
      <c r="B733" s="84">
        <f t="shared" ca="1" si="33"/>
        <v>0.29870228752027594</v>
      </c>
      <c r="C733" s="84">
        <f t="shared" ca="1" si="33"/>
        <v>0.74800144785636768</v>
      </c>
      <c r="D733" s="93" cm="1">
        <f t="array" aca="1" ref="D733" ca="1">_xlfn.SWITCH($B$4,"Normal MLE",EXP(_xlfn.NORM.INV(B733,LN($C$9),$E$9/$C$9)),"Uniforme",$B$9+($D$9-$B$9)*B733,"Triangular",IF(B733&lt;=($C$9-$B$9)/($D$9-$B$9),$B$9+SQRT(B733*($D$9-$B$9)*($C$9-$B$9)),$D$9-SQRT((1-B733)*($D$9-$B$9)*($D$9-$C$9))),"PERT",_xlfn.BETA.INV(B733,1+$B$6*($C$9-$B$9)/($D$9-$B$9),1+$B$6*($D$9-$C$9)/($D$9-$B$9),$B$9,$D$9))</f>
        <v>1.876570054531443</v>
      </c>
      <c r="E733" s="94" cm="1">
        <f t="array" aca="1" ref="E733" ca="1">_xlfn.SWITCH($B$4,"Normal MLE",EXP(_xlfn.NORM.INV(C733,LN($C$10),$E$10/$C$10)),"Uniforme",$B$10+($D$10-$B$10)*C733,"Triangular",IF(C733&lt;=($C$10-$B$10)/($D$10-$B$10),$B$10+SQRT(C733*($D$10-$B$10)*($C$10-$B$10)),$D$10-SQRT((1-C733)*($D$10-$B$10)*($D$10-$C$10))),"PERT",_xlfn.BETA.INV(C733,1+$B$6*($C$10-$B$10)/($D$10-$B$10),1+$B$6*($D$10-$C$10)/($D$10-$B$10),$B$10,$D$10))</f>
        <v>5260.8440292751711</v>
      </c>
      <c r="F733" s="88">
        <f t="shared" ca="1" si="34"/>
        <v>0.54991373011606826</v>
      </c>
      <c r="G733" s="89">
        <f t="shared" ca="1" si="35"/>
        <v>1.542751878190008E-4</v>
      </c>
    </row>
    <row r="734" spans="1:7" x14ac:dyDescent="0.35">
      <c r="A734" s="84">
        <v>719</v>
      </c>
      <c r="B734" s="84">
        <f t="shared" ca="1" si="33"/>
        <v>7.3833393045745987E-2</v>
      </c>
      <c r="C734" s="84">
        <f t="shared" ca="1" si="33"/>
        <v>0.84996773377348322</v>
      </c>
      <c r="D734" s="93" cm="1">
        <f t="array" aca="1" ref="D734" ca="1">_xlfn.SWITCH($B$4,"Normal MLE",EXP(_xlfn.NORM.INV(B734,LN($C$9),$E$9/$C$9)),"Uniforme",$B$9+($D$9-$B$9)*B734,"Triangular",IF(B734&lt;=($C$9-$B$9)/($D$9-$B$9),$B$9+SQRT(B734*($D$9-$B$9)*($C$9-$B$9)),$D$9-SQRT((1-B734)*($D$9-$B$9)*($D$9-$C$9))),"PERT",_xlfn.BETA.INV(B734,1+$B$6*($C$9-$B$9)/($D$9-$B$9),1+$B$6*($D$9-$C$9)/($D$9-$B$9),$B$9,$D$9))</f>
        <v>1.7588881745598697</v>
      </c>
      <c r="E734" s="94" cm="1">
        <f t="array" aca="1" ref="E734" ca="1">_xlfn.SWITCH($B$4,"Normal MLE",EXP(_xlfn.NORM.INV(C734,LN($C$10),$E$10/$C$10)),"Uniforme",$B$10+($D$10-$B$10)*C734,"Triangular",IF(C734&lt;=($C$10-$B$10)/($D$10-$B$10),$B$10+SQRT(C734*($D$10-$B$10)*($C$10-$B$10)),$D$10-SQRT((1-C734)*($D$10-$B$10)*($D$10-$C$10))),"PERT",_xlfn.BETA.INV(C734,1+$B$6*($C$10-$B$10)/($D$10-$B$10),1+$B$6*($D$10-$C$10)/($D$10-$B$10),$B$10,$D$10))</f>
        <v>5351.7300096070721</v>
      </c>
      <c r="F734" s="88">
        <f t="shared" ca="1" si="34"/>
        <v>0.54921708592356722</v>
      </c>
      <c r="G734" s="89">
        <f t="shared" ca="1" si="35"/>
        <v>1.4472336458657149E-4</v>
      </c>
    </row>
    <row r="735" spans="1:7" x14ac:dyDescent="0.35">
      <c r="A735" s="84">
        <v>720</v>
      </c>
      <c r="B735" s="84">
        <f t="shared" ca="1" si="33"/>
        <v>0.69355483170387311</v>
      </c>
      <c r="C735" s="84">
        <f t="shared" ca="1" si="33"/>
        <v>0.64643573002340404</v>
      </c>
      <c r="D735" s="93" cm="1">
        <f t="array" aca="1" ref="D735" ca="1">_xlfn.SWITCH($B$4,"Normal MLE",EXP(_xlfn.NORM.INV(B735,LN($C$9),$E$9/$C$9)),"Uniforme",$B$9+($D$9-$B$9)*B735,"Triangular",IF(B735&lt;=($C$9-$B$9)/($D$9-$B$9),$B$9+SQRT(B735*($D$9-$B$9)*($C$9-$B$9)),$D$9-SQRT((1-B735)*($D$9-$B$9)*($D$9-$C$9))),"PERT",_xlfn.BETA.INV(B735,1+$B$6*($C$9-$B$9)/($D$9-$B$9),1+$B$6*($D$9-$C$9)/($D$9-$B$9),$B$9,$D$9))</f>
        <v>2.018320327292213</v>
      </c>
      <c r="E735" s="94" cm="1">
        <f t="array" aca="1" ref="E735" ca="1">_xlfn.SWITCH($B$4,"Normal MLE",EXP(_xlfn.NORM.INV(C735,LN($C$10),$E$10/$C$10)),"Uniforme",$B$10+($D$10-$B$10)*C735,"Triangular",IF(C735&lt;=($C$10-$B$10)/($D$10-$B$10),$B$10+SQRT(C735*($D$10-$B$10)*($C$10-$B$10)),$D$10-SQRT((1-C735)*($D$10-$B$10)*($D$10-$C$10))),"PERT",_xlfn.BETA.INV(C735,1+$B$6*($C$10-$B$10)/($D$10-$B$10),1+$B$6*($D$10-$C$10)/($D$10-$B$10),$B$10,$D$10))</f>
        <v>5189.7226837623475</v>
      </c>
      <c r="F735" s="88">
        <f t="shared" ca="1" si="34"/>
        <v>0.55364326011449783</v>
      </c>
      <c r="G735" s="89">
        <f t="shared" ca="1" si="35"/>
        <v>1.6516577543996714E-4</v>
      </c>
    </row>
    <row r="736" spans="1:7" x14ac:dyDescent="0.35">
      <c r="A736" s="84">
        <v>721</v>
      </c>
      <c r="B736" s="84">
        <f t="shared" ca="1" si="33"/>
        <v>0.66775840293881616</v>
      </c>
      <c r="C736" s="84">
        <f t="shared" ca="1" si="33"/>
        <v>0.4562059725880353</v>
      </c>
      <c r="D736" s="93" cm="1">
        <f t="array" aca="1" ref="D736" ca="1">_xlfn.SWITCH($B$4,"Normal MLE",EXP(_xlfn.NORM.INV(B736,LN($C$9),$E$9/$C$9)),"Uniforme",$B$9+($D$9-$B$9)*B736,"Triangular",IF(B736&lt;=($C$9-$B$9)/($D$9-$B$9),$B$9+SQRT(B736*($D$9-$B$9)*($C$9-$B$9)),$D$9-SQRT((1-B736)*($D$9-$B$9)*($D$9-$C$9))),"PERT",_xlfn.BETA.INV(B736,1+$B$6*($C$9-$B$9)/($D$9-$B$9),1+$B$6*($D$9-$C$9)/($D$9-$B$9),$B$9,$D$9))</f>
        <v>2.0080817968333404</v>
      </c>
      <c r="E736" s="94" cm="1">
        <f t="array" aca="1" ref="E736" ca="1">_xlfn.SWITCH($B$4,"Normal MLE",EXP(_xlfn.NORM.INV(C736,LN($C$10),$E$10/$C$10)),"Uniforme",$B$10+($D$10-$B$10)*C736,"Triangular",IF(C736&lt;=($C$10-$B$10)/($D$10-$B$10),$B$10+SQRT(C736*($D$10-$B$10)*($C$10-$B$10)),$D$10-SQRT((1-C736)*($D$10-$B$10)*($D$10-$C$10))),"PERT",_xlfn.BETA.INV(C736,1+$B$6*($C$10-$B$10)/($D$10-$B$10),1+$B$6*($D$10-$C$10)/($D$10-$B$10),$B$10,$D$10))</f>
        <v>5073.7388507168926</v>
      </c>
      <c r="F736" s="88">
        <f t="shared" ca="1" si="34"/>
        <v>0.53776203996132876</v>
      </c>
      <c r="G736" s="89">
        <f t="shared" ca="1" si="35"/>
        <v>1.6747142715499162E-4</v>
      </c>
    </row>
    <row r="737" spans="1:7" x14ac:dyDescent="0.35">
      <c r="A737" s="84">
        <v>722</v>
      </c>
      <c r="B737" s="84">
        <f t="shared" ca="1" si="33"/>
        <v>0.30230519221248164</v>
      </c>
      <c r="C737" s="84">
        <f t="shared" ca="1" si="33"/>
        <v>0.96466335072575427</v>
      </c>
      <c r="D737" s="93" cm="1">
        <f t="array" aca="1" ref="D737" ca="1">_xlfn.SWITCH($B$4,"Normal MLE",EXP(_xlfn.NORM.INV(B737,LN($C$9),$E$9/$C$9)),"Uniforme",$B$9+($D$9-$B$9)*B737,"Triangular",IF(B737&lt;=($C$9-$B$9)/($D$9-$B$9),$B$9+SQRT(B737*($D$9-$B$9)*($C$9-$B$9)),$D$9-SQRT((1-B737)*($D$9-$B$9)*($D$9-$C$9))),"PERT",_xlfn.BETA.INV(B737,1+$B$6*($C$9-$B$9)/($D$9-$B$9),1+$B$6*($D$9-$C$9)/($D$9-$B$9),$B$9,$D$9))</f>
        <v>1.8779388761128899</v>
      </c>
      <c r="E737" s="94" cm="1">
        <f t="array" aca="1" ref="E737" ca="1">_xlfn.SWITCH($B$4,"Normal MLE",EXP(_xlfn.NORM.INV(C737,LN($C$10),$E$10/$C$10)),"Uniforme",$B$10+($D$10-$B$10)*C737,"Triangular",IF(C737&lt;=($C$10-$B$10)/($D$10-$B$10),$B$10+SQRT(C737*($D$10-$B$10)*($C$10-$B$10)),$D$10-SQRT((1-C737)*($D$10-$B$10)*($D$10-$C$10))),"PERT",_xlfn.BETA.INV(C737,1+$B$6*($C$10-$B$10)/($D$10-$B$10),1+$B$6*($D$10-$C$10)/($D$10-$B$10),$B$10,$D$10))</f>
        <v>5547.2963269877655</v>
      </c>
      <c r="F737" s="88">
        <f t="shared" ca="1" si="34"/>
        <v>0.58209669848012224</v>
      </c>
      <c r="G737" s="89">
        <f t="shared" ca="1" si="35"/>
        <v>1.4787989619102044E-4</v>
      </c>
    </row>
    <row r="738" spans="1:7" x14ac:dyDescent="0.35">
      <c r="A738" s="84">
        <v>723</v>
      </c>
      <c r="B738" s="84">
        <f t="shared" ca="1" si="33"/>
        <v>1.7399620462085652E-2</v>
      </c>
      <c r="C738" s="84">
        <f t="shared" ca="1" si="33"/>
        <v>0.58709585087595684</v>
      </c>
      <c r="D738" s="93" cm="1">
        <f t="array" aca="1" ref="D738" ca="1">_xlfn.SWITCH($B$4,"Normal MLE",EXP(_xlfn.NORM.INV(B738,LN($C$9),$E$9/$C$9)),"Uniforme",$B$9+($D$9-$B$9)*B738,"Triangular",IF(B738&lt;=($C$9-$B$9)/($D$9-$B$9),$B$9+SQRT(B738*($D$9-$B$9)*($C$9-$B$9)),$D$9-SQRT((1-B738)*($D$9-$B$9)*($D$9-$C$9))),"PERT",_xlfn.BETA.INV(B738,1+$B$6*($C$9-$B$9)/($D$9-$B$9),1+$B$6*($D$9-$C$9)/($D$9-$B$9),$B$9,$D$9))</f>
        <v>1.678672515804444</v>
      </c>
      <c r="E738" s="94" cm="1">
        <f t="array" aca="1" ref="E738" ca="1">_xlfn.SWITCH($B$4,"Normal MLE",EXP(_xlfn.NORM.INV(C738,LN($C$10),$E$10/$C$10)),"Uniforme",$B$10+($D$10-$B$10)*C738,"Triangular",IF(C738&lt;=($C$10-$B$10)/($D$10-$B$10),$B$10+SQRT(C738*($D$10-$B$10)*($C$10-$B$10)),$D$10-SQRT((1-C738)*($D$10-$B$10)*($D$10-$C$10))),"PERT",_xlfn.BETA.INV(C738,1+$B$6*($C$10-$B$10)/($D$10-$B$10),1+$B$6*($D$10-$C$10)/($D$10-$B$10),$B$10,$D$10))</f>
        <v>5152.2726834741961</v>
      </c>
      <c r="F738" s="88">
        <f t="shared" ca="1" si="34"/>
        <v>0.52006282329331477</v>
      </c>
      <c r="G738" s="89">
        <f t="shared" ca="1" si="35"/>
        <v>1.4269556466665057E-4</v>
      </c>
    </row>
    <row r="739" spans="1:7" x14ac:dyDescent="0.35">
      <c r="A739" s="84">
        <v>724</v>
      </c>
      <c r="B739" s="84">
        <f t="shared" ca="1" si="33"/>
        <v>6.5772412199525898E-2</v>
      </c>
      <c r="C739" s="84">
        <f t="shared" ca="1" si="33"/>
        <v>0.17110215060999179</v>
      </c>
      <c r="D739" s="93" cm="1">
        <f t="array" aca="1" ref="D739" ca="1">_xlfn.SWITCH($B$4,"Normal MLE",EXP(_xlfn.NORM.INV(B739,LN($C$9),$E$9/$C$9)),"Uniforme",$B$9+($D$9-$B$9)*B739,"Triangular",IF(B739&lt;=($C$9-$B$9)/($D$9-$B$9),$B$9+SQRT(B739*($D$9-$B$9)*($C$9-$B$9)),$D$9-SQRT((1-B739)*($D$9-$B$9)*($D$9-$C$9))),"PERT",_xlfn.BETA.INV(B739,1+$B$6*($C$9-$B$9)/($D$9-$B$9),1+$B$6*($D$9-$C$9)/($D$9-$B$9),$B$9,$D$9))</f>
        <v>1.7514456466501673</v>
      </c>
      <c r="E739" s="94" cm="1">
        <f t="array" aca="1" ref="E739" ca="1">_xlfn.SWITCH($B$4,"Normal MLE",EXP(_xlfn.NORM.INV(C739,LN($C$10),$E$10/$C$10)),"Uniforme",$B$10+($D$10-$B$10)*C739,"Triangular",IF(C739&lt;=($C$10-$B$10)/($D$10-$B$10),$B$10+SQRT(C739*($D$10-$B$10)*($C$10-$B$10)),$D$10-SQRT((1-C739)*($D$10-$B$10)*($D$10-$C$10))),"PERT",_xlfn.BETA.INV(C739,1+$B$6*($C$10-$B$10)/($D$10-$B$10),1+$B$6*($D$10-$C$10)/($D$10-$B$10),$B$10,$D$10))</f>
        <v>4879.2789831567407</v>
      </c>
      <c r="F739" s="88">
        <f t="shared" ca="1" si="34"/>
        <v>0.49357206877387771</v>
      </c>
      <c r="G739" s="89">
        <f t="shared" ca="1" si="35"/>
        <v>1.5259668223302042E-4</v>
      </c>
    </row>
    <row r="740" spans="1:7" x14ac:dyDescent="0.35">
      <c r="A740" s="84">
        <v>725</v>
      </c>
      <c r="B740" s="84">
        <f t="shared" ca="1" si="33"/>
        <v>0.91534149875536641</v>
      </c>
      <c r="C740" s="84">
        <f t="shared" ca="1" si="33"/>
        <v>0.8351035548620459</v>
      </c>
      <c r="D740" s="93" cm="1">
        <f t="array" aca="1" ref="D740" ca="1">_xlfn.SWITCH($B$4,"Normal MLE",EXP(_xlfn.NORM.INV(B740,LN($C$9),$E$9/$C$9)),"Uniforme",$B$9+($D$9-$B$9)*B740,"Triangular",IF(B740&lt;=($C$9-$B$9)/($D$9-$B$9),$B$9+SQRT(B740*($D$9-$B$9)*($C$9-$B$9)),$D$9-SQRT((1-B740)*($D$9-$B$9)*($D$9-$C$9))),"PERT",_xlfn.BETA.INV(B740,1+$B$6*($C$9-$B$9)/($D$9-$B$9),1+$B$6*($D$9-$C$9)/($D$9-$B$9),$B$9,$D$9))</f>
        <v>2.145604684633228</v>
      </c>
      <c r="E740" s="94" cm="1">
        <f t="array" aca="1" ref="E740" ca="1">_xlfn.SWITCH($B$4,"Normal MLE",EXP(_xlfn.NORM.INV(C740,LN($C$10),$E$10/$C$10)),"Uniforme",$B$10+($D$10-$B$10)*C740,"Triangular",IF(C740&lt;=($C$10-$B$10)/($D$10-$B$10),$B$10+SQRT(C740*($D$10-$B$10)*($C$10-$B$10)),$D$10-SQRT((1-C740)*($D$10-$B$10)*($D$10-$C$10))),"PERT",_xlfn.BETA.INV(C740,1+$B$6*($C$10-$B$10)/($D$10-$B$10),1+$B$6*($D$10-$C$10)/($D$10-$B$10),$B$10,$D$10))</f>
        <v>5336.3704773971676</v>
      </c>
      <c r="F740" s="88">
        <f t="shared" ca="1" si="34"/>
        <v>0.58346766948586792</v>
      </c>
      <c r="G740" s="89">
        <f t="shared" ca="1" si="35"/>
        <v>1.686191459898366E-4</v>
      </c>
    </row>
    <row r="741" spans="1:7" x14ac:dyDescent="0.35">
      <c r="A741" s="84">
        <v>726</v>
      </c>
      <c r="B741" s="84">
        <f t="shared" ca="1" si="33"/>
        <v>0.64991388428216201</v>
      </c>
      <c r="C741" s="84">
        <f t="shared" ca="1" si="33"/>
        <v>0.7402933242609262</v>
      </c>
      <c r="D741" s="93" cm="1">
        <f t="array" aca="1" ref="D741" ca="1">_xlfn.SWITCH($B$4,"Normal MLE",EXP(_xlfn.NORM.INV(B741,LN($C$9),$E$9/$C$9)),"Uniforme",$B$9+($D$9-$B$9)*B741,"Triangular",IF(B741&lt;=($C$9-$B$9)/($D$9-$B$9),$B$9+SQRT(B741*($D$9-$B$9)*($C$9-$B$9)),$D$9-SQRT((1-B741)*($D$9-$B$9)*($D$9-$C$9))),"PERT",_xlfn.BETA.INV(B741,1+$B$6*($C$9-$B$9)/($D$9-$B$9),1+$B$6*($D$9-$C$9)/($D$9-$B$9),$B$9,$D$9))</f>
        <v>2.0012149330976499</v>
      </c>
      <c r="E741" s="94" cm="1">
        <f t="array" aca="1" ref="E741" ca="1">_xlfn.SWITCH($B$4,"Normal MLE",EXP(_xlfn.NORM.INV(C741,LN($C$10),$E$10/$C$10)),"Uniforme",$B$10+($D$10-$B$10)*C741,"Triangular",IF(C741&lt;=($C$10-$B$10)/($D$10-$B$10),$B$10+SQRT(C741*($D$10-$B$10)*($C$10-$B$10)),$D$10-SQRT((1-C741)*($D$10-$B$10)*($D$10-$C$10))),"PERT",_xlfn.BETA.INV(C741,1+$B$6*($C$10-$B$10)/($D$10-$B$10),1+$B$6*($D$10-$C$10)/($D$10-$B$10),$B$10,$D$10))</f>
        <v>5254.980712690829</v>
      </c>
      <c r="F741" s="88">
        <f t="shared" ca="1" si="34"/>
        <v>0.56034258322938069</v>
      </c>
      <c r="G741" s="89">
        <f t="shared" ca="1" si="35"/>
        <v>1.6237573066069227E-4</v>
      </c>
    </row>
    <row r="742" spans="1:7" x14ac:dyDescent="0.35">
      <c r="A742" s="84">
        <v>727</v>
      </c>
      <c r="B742" s="84">
        <f t="shared" ca="1" si="33"/>
        <v>0.54530267275475064</v>
      </c>
      <c r="C742" s="84">
        <f t="shared" ca="1" si="33"/>
        <v>0.70878913823862233</v>
      </c>
      <c r="D742" s="93" cm="1">
        <f t="array" aca="1" ref="D742" ca="1">_xlfn.SWITCH($B$4,"Normal MLE",EXP(_xlfn.NORM.INV(B742,LN($C$9),$E$9/$C$9)),"Uniforme",$B$9+($D$9-$B$9)*B742,"Triangular",IF(B742&lt;=($C$9-$B$9)/($D$9-$B$9),$B$9+SQRT(B742*($D$9-$B$9)*($C$9-$B$9)),$D$9-SQRT((1-B742)*($D$9-$B$9)*($D$9-$C$9))),"PERT",_xlfn.BETA.INV(B742,1+$B$6*($C$9-$B$9)/($D$9-$B$9),1+$B$6*($D$9-$C$9)/($D$9-$B$9),$B$9,$D$9))</f>
        <v>1.9633469705546533</v>
      </c>
      <c r="E742" s="94" cm="1">
        <f t="array" aca="1" ref="E742" ca="1">_xlfn.SWITCH($B$4,"Normal MLE",EXP(_xlfn.NORM.INV(C742,LN($C$10),$E$10/$C$10)),"Uniforme",$B$10+($D$10-$B$10)*C742,"Triangular",IF(C742&lt;=($C$10-$B$10)/($D$10-$B$10),$B$10+SQRT(C742*($D$10-$B$10)*($C$10-$B$10)),$D$10-SQRT((1-C742)*($D$10-$B$10)*($D$10-$C$10))),"PERT",_xlfn.BETA.INV(C742,1+$B$6*($C$10-$B$10)/($D$10-$B$10),1+$B$6*($D$10-$C$10)/($D$10-$B$10),$B$10,$D$10))</f>
        <v>5231.9472613738844</v>
      </c>
      <c r="F742" s="88">
        <f t="shared" ca="1" si="34"/>
        <v>0.55416526655699561</v>
      </c>
      <c r="G742" s="89">
        <f t="shared" ca="1" si="35"/>
        <v>1.6056227070069211E-4</v>
      </c>
    </row>
    <row r="743" spans="1:7" x14ac:dyDescent="0.35">
      <c r="A743" s="84">
        <v>728</v>
      </c>
      <c r="B743" s="84">
        <f t="shared" ca="1" si="33"/>
        <v>0.93158232356727277</v>
      </c>
      <c r="C743" s="84">
        <f t="shared" ca="1" si="33"/>
        <v>0.35990541112727847</v>
      </c>
      <c r="D743" s="93" cm="1">
        <f t="array" aca="1" ref="D743" ca="1">_xlfn.SWITCH($B$4,"Normal MLE",EXP(_xlfn.NORM.INV(B743,LN($C$9),$E$9/$C$9)),"Uniforme",$B$9+($D$9-$B$9)*B743,"Triangular",IF(B743&lt;=($C$9-$B$9)/($D$9-$B$9),$B$9+SQRT(B743*($D$9-$B$9)*($C$9-$B$9)),$D$9-SQRT((1-B743)*($D$9-$B$9)*($D$9-$C$9))),"PERT",_xlfn.BETA.INV(B743,1+$B$6*($C$9-$B$9)/($D$9-$B$9),1+$B$6*($D$9-$C$9)/($D$9-$B$9),$B$9,$D$9))</f>
        <v>2.1627885858530833</v>
      </c>
      <c r="E743" s="94" cm="1">
        <f t="array" aca="1" ref="E743" ca="1">_xlfn.SWITCH($B$4,"Normal MLE",EXP(_xlfn.NORM.INV(C743,LN($C$10),$E$10/$C$10)),"Uniforme",$B$10+($D$10-$B$10)*C743,"Triangular",IF(C743&lt;=($C$10-$B$10)/($D$10-$B$10),$B$10+SQRT(C743*($D$10-$B$10)*($C$10-$B$10)),$D$10-SQRT((1-C743)*($D$10-$B$10)*($D$10-$C$10))),"PERT",_xlfn.BETA.INV(C743,1+$B$6*($C$10-$B$10)/($D$10-$B$10),1+$B$6*($D$10-$C$10)/($D$10-$B$10),$B$10,$D$10))</f>
        <v>5015.3550646169797</v>
      </c>
      <c r="F743" s="88">
        <f t="shared" ca="1" si="34"/>
        <v>0.54167469372440491</v>
      </c>
      <c r="G743" s="89">
        <f t="shared" ca="1" si="35"/>
        <v>1.795629002050891E-4</v>
      </c>
    </row>
    <row r="744" spans="1:7" x14ac:dyDescent="0.35">
      <c r="A744" s="84">
        <v>729</v>
      </c>
      <c r="B744" s="84">
        <f t="shared" ca="1" si="33"/>
        <v>0.82997844986487535</v>
      </c>
      <c r="C744" s="84">
        <f t="shared" ca="1" si="33"/>
        <v>3.9996433790660979E-2</v>
      </c>
      <c r="D744" s="93" cm="1">
        <f t="array" aca="1" ref="D744" ca="1">_xlfn.SWITCH($B$4,"Normal MLE",EXP(_xlfn.NORM.INV(B744,LN($C$9),$E$9/$C$9)),"Uniforme",$B$9+($D$9-$B$9)*B744,"Triangular",IF(B744&lt;=($C$9-$B$9)/($D$9-$B$9),$B$9+SQRT(B744*($D$9-$B$9)*($C$9-$B$9)),$D$9-SQRT((1-B744)*($D$9-$B$9)*($D$9-$C$9))),"PERT",_xlfn.BETA.INV(B744,1+$B$6*($C$9-$B$9)/($D$9-$B$9),1+$B$6*($D$9-$C$9)/($D$9-$B$9),$B$9,$D$9))</f>
        <v>2.0830279675084693</v>
      </c>
      <c r="E744" s="94" cm="1">
        <f t="array" aca="1" ref="E744" ca="1">_xlfn.SWITCH($B$4,"Normal MLE",EXP(_xlfn.NORM.INV(C744,LN($C$10),$E$10/$C$10)),"Uniforme",$B$10+($D$10-$B$10)*C744,"Triangular",IF(C744&lt;=($C$10-$B$10)/($D$10-$B$10),$B$10+SQRT(C744*($D$10-$B$10)*($C$10-$B$10)),$D$10-SQRT((1-C744)*($D$10-$B$10)*($D$10-$C$10))),"PERT",_xlfn.BETA.INV(C744,1+$B$6*($C$10-$B$10)/($D$10-$B$10),1+$B$6*($D$10-$C$10)/($D$10-$B$10),$B$10,$D$10))</f>
        <v>4700.7766514255354</v>
      </c>
      <c r="F744" s="88">
        <f t="shared" ca="1" si="34"/>
        <v>0.48947102595084968</v>
      </c>
      <c r="G744" s="89">
        <f t="shared" ca="1" si="35"/>
        <v>1.8210496535133177E-4</v>
      </c>
    </row>
    <row r="745" spans="1:7" x14ac:dyDescent="0.35">
      <c r="A745" s="84">
        <v>730</v>
      </c>
      <c r="B745" s="84">
        <f t="shared" ca="1" si="33"/>
        <v>0.80895989153288583</v>
      </c>
      <c r="C745" s="84">
        <f t="shared" ca="1" si="33"/>
        <v>0.15980599331146828</v>
      </c>
      <c r="D745" s="93" cm="1">
        <f t="array" aca="1" ref="D745" ca="1">_xlfn.SWITCH($B$4,"Normal MLE",EXP(_xlfn.NORM.INV(B745,LN($C$9),$E$9/$C$9)),"Uniforme",$B$9+($D$9-$B$9)*B745,"Triangular",IF(B745&lt;=($C$9-$B$9)/($D$9-$B$9),$B$9+SQRT(B745*($D$9-$B$9)*($C$9-$B$9)),$D$9-SQRT((1-B745)*($D$9-$B$9)*($D$9-$C$9))),"PERT",_xlfn.BETA.INV(B745,1+$B$6*($C$9-$B$9)/($D$9-$B$9),1+$B$6*($D$9-$C$9)/($D$9-$B$9),$B$9,$D$9))</f>
        <v>2.0713246062198354</v>
      </c>
      <c r="E745" s="94" cm="1">
        <f t="array" aca="1" ref="E745" ca="1">_xlfn.SWITCH($B$4,"Normal MLE",EXP(_xlfn.NORM.INV(C745,LN($C$10),$E$10/$C$10)),"Uniforme",$B$10+($D$10-$B$10)*C745,"Triangular",IF(C745&lt;=($C$10-$B$10)/($D$10-$B$10),$B$10+SQRT(C745*($D$10-$B$10)*($C$10-$B$10)),$D$10-SQRT((1-C745)*($D$10-$B$10)*($D$10-$C$10))),"PERT",_xlfn.BETA.INV(C745,1+$B$6*($C$10-$B$10)/($D$10-$B$10),1+$B$6*($D$10-$C$10)/($D$10-$B$10),$B$10,$D$10))</f>
        <v>4868.9733058656111</v>
      </c>
      <c r="F745" s="88">
        <f t="shared" ca="1" si="34"/>
        <v>0.5140104483304605</v>
      </c>
      <c r="G745" s="89">
        <f t="shared" ca="1" si="35"/>
        <v>1.7713965972181064E-4</v>
      </c>
    </row>
    <row r="746" spans="1:7" x14ac:dyDescent="0.35">
      <c r="A746" s="84">
        <v>731</v>
      </c>
      <c r="B746" s="84">
        <f t="shared" ca="1" si="33"/>
        <v>0.48987929535895036</v>
      </c>
      <c r="C746" s="84">
        <f t="shared" ca="1" si="33"/>
        <v>0.61258334784922219</v>
      </c>
      <c r="D746" s="93" cm="1">
        <f t="array" aca="1" ref="D746" ca="1">_xlfn.SWITCH($B$4,"Normal MLE",EXP(_xlfn.NORM.INV(B746,LN($C$9),$E$9/$C$9)),"Uniforme",$B$9+($D$9-$B$9)*B746,"Triangular",IF(B746&lt;=($C$9-$B$9)/($D$9-$B$9),$B$9+SQRT(B746*($D$9-$B$9)*($C$9-$B$9)),$D$9-SQRT((1-B746)*($D$9-$B$9)*($D$9-$C$9))),"PERT",_xlfn.BETA.INV(B746,1+$B$6*($C$9-$B$9)/($D$9-$B$9),1+$B$6*($D$9-$C$9)/($D$9-$B$9),$B$9,$D$9))</f>
        <v>1.944199096459345</v>
      </c>
      <c r="E746" s="94" cm="1">
        <f t="array" aca="1" ref="E746" ca="1">_xlfn.SWITCH($B$4,"Normal MLE",EXP(_xlfn.NORM.INV(C746,LN($C$10),$E$10/$C$10)),"Uniforme",$B$10+($D$10-$B$10)*C746,"Triangular",IF(C746&lt;=($C$10-$B$10)/($D$10-$B$10),$B$10+SQRT(C746*($D$10-$B$10)*($C$10-$B$10)),$D$10-SQRT((1-C746)*($D$10-$B$10)*($D$10-$C$10))),"PERT",_xlfn.BETA.INV(C746,1+$B$6*($C$10-$B$10)/($D$10-$B$10),1+$B$6*($D$10-$C$10)/($D$10-$B$10),$B$10,$D$10))</f>
        <v>5168.11565868041</v>
      </c>
      <c r="F746" s="88">
        <f t="shared" ca="1" si="34"/>
        <v>0.54462076907663715</v>
      </c>
      <c r="G746" s="89">
        <f t="shared" ca="1" si="35"/>
        <v>1.6085685375352498E-4</v>
      </c>
    </row>
    <row r="747" spans="1:7" x14ac:dyDescent="0.35">
      <c r="A747" s="84">
        <v>732</v>
      </c>
      <c r="B747" s="84">
        <f t="shared" ca="1" si="33"/>
        <v>2.9159626175785047E-2</v>
      </c>
      <c r="C747" s="84">
        <f t="shared" ca="1" si="33"/>
        <v>3.7150357026384029E-2</v>
      </c>
      <c r="D747" s="93" cm="1">
        <f t="array" aca="1" ref="D747" ca="1">_xlfn.SWITCH($B$4,"Normal MLE",EXP(_xlfn.NORM.INV(B747,LN($C$9),$E$9/$C$9)),"Uniforme",$B$9+($D$9-$B$9)*B747,"Triangular",IF(B747&lt;=($C$9-$B$9)/($D$9-$B$9),$B$9+SQRT(B747*($D$9-$B$9)*($C$9-$B$9)),$D$9-SQRT((1-B747)*($D$9-$B$9)*($D$9-$C$9))),"PERT",_xlfn.BETA.INV(B747,1+$B$6*($C$9-$B$9)/($D$9-$B$9),1+$B$6*($D$9-$C$9)/($D$9-$B$9),$B$9,$D$9))</f>
        <v>1.704568923513927</v>
      </c>
      <c r="E747" s="94" cm="1">
        <f t="array" aca="1" ref="E747" ca="1">_xlfn.SWITCH($B$4,"Normal MLE",EXP(_xlfn.NORM.INV(C747,LN($C$10),$E$10/$C$10)),"Uniforme",$B$10+($D$10-$B$10)*C747,"Triangular",IF(C747&lt;=($C$10-$B$10)/($D$10-$B$10),$B$10+SQRT(C747*($D$10-$B$10)*($C$10-$B$10)),$D$10-SQRT((1-C747)*($D$10-$B$10)*($D$10-$C$10))),"PERT",_xlfn.BETA.INV(C747,1+$B$6*($C$10-$B$10)/($D$10-$B$10),1+$B$6*($D$10-$C$10)/($D$10-$B$10),$B$10,$D$10))</f>
        <v>4693.3386338826303</v>
      </c>
      <c r="F747" s="88">
        <f t="shared" ca="1" si="34"/>
        <v>0.46696899016058513</v>
      </c>
      <c r="G747" s="89">
        <f t="shared" ca="1" si="35"/>
        <v>1.5153334305588248E-4</v>
      </c>
    </row>
    <row r="748" spans="1:7" x14ac:dyDescent="0.35">
      <c r="A748" s="84">
        <v>733</v>
      </c>
      <c r="B748" s="84">
        <f t="shared" ca="1" si="33"/>
        <v>0.8816492691153579</v>
      </c>
      <c r="C748" s="84">
        <f t="shared" ca="1" si="33"/>
        <v>0.89118192341491864</v>
      </c>
      <c r="D748" s="93" cm="1">
        <f t="array" aca="1" ref="D748" ca="1">_xlfn.SWITCH($B$4,"Normal MLE",EXP(_xlfn.NORM.INV(B748,LN($C$9),$E$9/$C$9)),"Uniforme",$B$9+($D$9-$B$9)*B748,"Triangular",IF(B748&lt;=($C$9-$B$9)/($D$9-$B$9),$B$9+SQRT(B748*($D$9-$B$9)*($C$9-$B$9)),$D$9-SQRT((1-B748)*($D$9-$B$9)*($D$9-$C$9))),"PERT",_xlfn.BETA.INV(B748,1+$B$6*($C$9-$B$9)/($D$9-$B$9),1+$B$6*($D$9-$C$9)/($D$9-$B$9),$B$9,$D$9))</f>
        <v>2.1169198797431994</v>
      </c>
      <c r="E748" s="94" cm="1">
        <f t="array" aca="1" ref="E748" ca="1">_xlfn.SWITCH($B$4,"Normal MLE",EXP(_xlfn.NORM.INV(C748,LN($C$10),$E$10/$C$10)),"Uniforme",$B$10+($D$10-$B$10)*C748,"Triangular",IF(C748&lt;=($C$10-$B$10)/($D$10-$B$10),$B$10+SQRT(C748*($D$10-$B$10)*($C$10-$B$10)),$D$10-SQRT((1-C748)*($D$10-$B$10)*($D$10-$C$10))),"PERT",_xlfn.BETA.INV(C748,1+$B$6*($C$10-$B$10)/($D$10-$B$10),1+$B$6*($D$10-$C$10)/($D$10-$B$10),$B$10,$D$10))</f>
        <v>5400.9014354351075</v>
      </c>
      <c r="F748" s="88">
        <f t="shared" ca="1" si="34"/>
        <v>0.58884590258111602</v>
      </c>
      <c r="G748" s="89">
        <f t="shared" ca="1" si="35"/>
        <v>1.6503896163365316E-4</v>
      </c>
    </row>
    <row r="749" spans="1:7" x14ac:dyDescent="0.35">
      <c r="A749" s="84">
        <v>734</v>
      </c>
      <c r="B749" s="84">
        <f t="shared" ca="1" si="33"/>
        <v>0.39795600537991493</v>
      </c>
      <c r="C749" s="84">
        <f t="shared" ca="1" si="33"/>
        <v>0.92674891537699</v>
      </c>
      <c r="D749" s="93" cm="1">
        <f t="array" aca="1" ref="D749" ca="1">_xlfn.SWITCH($B$4,"Normal MLE",EXP(_xlfn.NORM.INV(B749,LN($C$9),$E$9/$C$9)),"Uniforme",$B$9+($D$9-$B$9)*B749,"Triangular",IF(B749&lt;=($C$9-$B$9)/($D$9-$B$9),$B$9+SQRT(B749*($D$9-$B$9)*($C$9-$B$9)),$D$9-SQRT((1-B749)*($D$9-$B$9)*($D$9-$C$9))),"PERT",_xlfn.BETA.INV(B749,1+$B$6*($C$9-$B$9)/($D$9-$B$9),1+$B$6*($D$9-$C$9)/($D$9-$B$9),$B$9,$D$9))</f>
        <v>1.9125231363696742</v>
      </c>
      <c r="E749" s="94" cm="1">
        <f t="array" aca="1" ref="E749" ca="1">_xlfn.SWITCH($B$4,"Normal MLE",EXP(_xlfn.NORM.INV(C749,LN($C$10),$E$10/$C$10)),"Uniforme",$B$10+($D$10-$B$10)*C749,"Triangular",IF(C749&lt;=($C$10-$B$10)/($D$10-$B$10),$B$10+SQRT(C749*($D$10-$B$10)*($C$10-$B$10)),$D$10-SQRT((1-C749)*($D$10-$B$10)*($D$10-$C$10))),"PERT",_xlfn.BETA.INV(C749,1+$B$6*($C$10-$B$10)/($D$10-$B$10),1+$B$6*($D$10-$C$10)/($D$10-$B$10),$B$10,$D$10))</f>
        <v>5456.2640761959874</v>
      </c>
      <c r="F749" s="88">
        <f t="shared" ca="1" si="34"/>
        <v>0.57566157091095072</v>
      </c>
      <c r="G749" s="89">
        <f t="shared" ca="1" si="35"/>
        <v>1.5199809382760953E-4</v>
      </c>
    </row>
    <row r="750" spans="1:7" x14ac:dyDescent="0.35">
      <c r="A750" s="84">
        <v>735</v>
      </c>
      <c r="B750" s="84">
        <f t="shared" ca="1" si="33"/>
        <v>0.61585062817577663</v>
      </c>
      <c r="C750" s="84">
        <f t="shared" ca="1" si="33"/>
        <v>0.94762906379439804</v>
      </c>
      <c r="D750" s="93" cm="1">
        <f t="array" aca="1" ref="D750" ca="1">_xlfn.SWITCH($B$4,"Normal MLE",EXP(_xlfn.NORM.INV(B750,LN($C$9),$E$9/$C$9)),"Uniforme",$B$9+($D$9-$B$9)*B750,"Triangular",IF(B750&lt;=($C$9-$B$9)/($D$9-$B$9),$B$9+SQRT(B750*($D$9-$B$9)*($C$9-$B$9)),$D$9-SQRT((1-B750)*($D$9-$B$9)*($D$9-$C$9))),"PERT",_xlfn.BETA.INV(B750,1+$B$6*($C$9-$B$9)/($D$9-$B$9),1+$B$6*($D$9-$C$9)/($D$9-$B$9),$B$9,$D$9))</f>
        <v>1.9885036330047883</v>
      </c>
      <c r="E750" s="94" cm="1">
        <f t="array" aca="1" ref="E750" ca="1">_xlfn.SWITCH($B$4,"Normal MLE",EXP(_xlfn.NORM.INV(C750,LN($C$10),$E$10/$C$10)),"Uniforme",$B$10+($D$10-$B$10)*C750,"Triangular",IF(C750&lt;=($C$10-$B$10)/($D$10-$B$10),$B$10+SQRT(C750*($D$10-$B$10)*($C$10-$B$10)),$D$10-SQRT((1-C750)*($D$10-$B$10)*($D$10-$C$10))),"PERT",_xlfn.BETA.INV(C750,1+$B$6*($C$10-$B$10)/($D$10-$B$10),1+$B$6*($D$10-$C$10)/($D$10-$B$10),$B$10,$D$10))</f>
        <v>5499.6728532489851</v>
      </c>
      <c r="F750" s="88">
        <f t="shared" ca="1" si="34"/>
        <v>0.58805876627272691</v>
      </c>
      <c r="G750" s="89">
        <f t="shared" ca="1" si="35"/>
        <v>1.5521120743227181E-4</v>
      </c>
    </row>
    <row r="751" spans="1:7" x14ac:dyDescent="0.35">
      <c r="A751" s="84">
        <v>736</v>
      </c>
      <c r="B751" s="84">
        <f t="shared" ca="1" si="33"/>
        <v>0.74564781875595376</v>
      </c>
      <c r="C751" s="84">
        <f t="shared" ca="1" si="33"/>
        <v>0.76380552531007684</v>
      </c>
      <c r="D751" s="93" cm="1">
        <f t="array" aca="1" ref="D751" ca="1">_xlfn.SWITCH($B$4,"Normal MLE",EXP(_xlfn.NORM.INV(B751,LN($C$9),$E$9/$C$9)),"Uniforme",$B$9+($D$9-$B$9)*B751,"Triangular",IF(B751&lt;=($C$9-$B$9)/($D$9-$B$9),$B$9+SQRT(B751*($D$9-$B$9)*($C$9-$B$9)),$D$9-SQRT((1-B751)*($D$9-$B$9)*($D$9-$C$9))),"PERT",_xlfn.BETA.INV(B751,1+$B$6*($C$9-$B$9)/($D$9-$B$9),1+$B$6*($D$9-$C$9)/($D$9-$B$9),$B$9,$D$9))</f>
        <v>2.0404572707281123</v>
      </c>
      <c r="E751" s="94" cm="1">
        <f t="array" aca="1" ref="E751" ca="1">_xlfn.SWITCH($B$4,"Normal MLE",EXP(_xlfn.NORM.INV(C751,LN($C$10),$E$10/$C$10)),"Uniforme",$B$10+($D$10-$B$10)*C751,"Triangular",IF(C751&lt;=($C$10-$B$10)/($D$10-$B$10),$B$10+SQRT(C751*($D$10-$B$10)*($C$10-$B$10)),$D$10-SQRT((1-C751)*($D$10-$B$10)*($D$10-$C$10))),"PERT",_xlfn.BETA.INV(C751,1+$B$6*($C$10-$B$10)/($D$10-$B$10),1+$B$6*($D$10-$C$10)/($D$10-$B$10),$B$10,$D$10))</f>
        <v>5273.1929106710249</v>
      </c>
      <c r="F751" s="88">
        <f t="shared" ca="1" si="34"/>
        <v>0.56608755957842005</v>
      </c>
      <c r="G751" s="89">
        <f t="shared" ca="1" si="35"/>
        <v>1.643116520742822E-4</v>
      </c>
    </row>
    <row r="752" spans="1:7" x14ac:dyDescent="0.35">
      <c r="A752" s="84">
        <v>737</v>
      </c>
      <c r="B752" s="84">
        <f t="shared" ca="1" si="33"/>
        <v>0.13032821200022582</v>
      </c>
      <c r="C752" s="84">
        <f t="shared" ca="1" si="33"/>
        <v>9.3411651784697569E-2</v>
      </c>
      <c r="D752" s="93" cm="1">
        <f t="array" aca="1" ref="D752" ca="1">_xlfn.SWITCH($B$4,"Normal MLE",EXP(_xlfn.NORM.INV(B752,LN($C$9),$E$9/$C$9)),"Uniforme",$B$9+($D$9-$B$9)*B752,"Triangular",IF(B752&lt;=($C$9-$B$9)/($D$9-$B$9),$B$9+SQRT(B752*($D$9-$B$9)*($C$9-$B$9)),$D$9-SQRT((1-B752)*($D$9-$B$9)*($D$9-$C$9))),"PERT",_xlfn.BETA.INV(B752,1+$B$6*($C$9-$B$9)/($D$9-$B$9),1+$B$6*($D$9-$C$9)/($D$9-$B$9),$B$9,$D$9))</f>
        <v>1.7993510232713161</v>
      </c>
      <c r="E752" s="94" cm="1">
        <f t="array" aca="1" ref="E752" ca="1">_xlfn.SWITCH($B$4,"Normal MLE",EXP(_xlfn.NORM.INV(C752,LN($C$10),$E$10/$C$10)),"Uniforme",$B$10+($D$10-$B$10)*C752,"Triangular",IF(C752&lt;=($C$10-$B$10)/($D$10-$B$10),$B$10+SQRT(C752*($D$10-$B$10)*($C$10-$B$10)),$D$10-SQRT((1-C752)*($D$10-$B$10)*($D$10-$C$10))),"PERT",_xlfn.BETA.INV(C752,1+$B$6*($C$10-$B$10)/($D$10-$B$10),1+$B$6*($D$10-$C$10)/($D$10-$B$10),$B$10,$D$10))</f>
        <v>4795.9399068495723</v>
      </c>
      <c r="F752" s="88">
        <f t="shared" ca="1" si="34"/>
        <v>0.48606298287513455</v>
      </c>
      <c r="G752" s="89">
        <f t="shared" ca="1" si="35"/>
        <v>1.5773746803046754E-4</v>
      </c>
    </row>
    <row r="753" spans="1:7" x14ac:dyDescent="0.35">
      <c r="A753" s="84">
        <v>738</v>
      </c>
      <c r="B753" s="84">
        <f t="shared" ca="1" si="33"/>
        <v>0.92452511375210233</v>
      </c>
      <c r="C753" s="84">
        <f t="shared" ca="1" si="33"/>
        <v>0.1414226577794464</v>
      </c>
      <c r="D753" s="93" cm="1">
        <f t="array" aca="1" ref="D753" ca="1">_xlfn.SWITCH($B$4,"Normal MLE",EXP(_xlfn.NORM.INV(B753,LN($C$9),$E$9/$C$9)),"Uniforme",$B$9+($D$9-$B$9)*B753,"Triangular",IF(B753&lt;=($C$9-$B$9)/($D$9-$B$9),$B$9+SQRT(B753*($D$9-$B$9)*($C$9-$B$9)),$D$9-SQRT((1-B753)*($D$9-$B$9)*($D$9-$C$9))),"PERT",_xlfn.BETA.INV(B753,1+$B$6*($C$9-$B$9)/($D$9-$B$9),1+$B$6*($D$9-$C$9)/($D$9-$B$9),$B$9,$D$9))</f>
        <v>2.1549599671226387</v>
      </c>
      <c r="E753" s="94" cm="1">
        <f t="array" aca="1" ref="E753" ca="1">_xlfn.SWITCH($B$4,"Normal MLE",EXP(_xlfn.NORM.INV(C753,LN($C$10),$E$10/$C$10)),"Uniforme",$B$10+($D$10-$B$10)*C753,"Triangular",IF(C753&lt;=($C$10-$B$10)/($D$10-$B$10),$B$10+SQRT(C753*($D$10-$B$10)*($C$10-$B$10)),$D$10-SQRT((1-C753)*($D$10-$B$10)*($D$10-$C$10))),"PERT",_xlfn.BETA.INV(C753,1+$B$6*($C$10-$B$10)/($D$10-$B$10),1+$B$6*($D$10-$C$10)/($D$10-$B$10),$B$10,$D$10))</f>
        <v>4851.1758909840664</v>
      </c>
      <c r="F753" s="88">
        <f t="shared" ca="1" si="34"/>
        <v>0.51693115853251914</v>
      </c>
      <c r="G753" s="89">
        <f t="shared" ca="1" si="35"/>
        <v>1.8376137442153678E-4</v>
      </c>
    </row>
    <row r="754" spans="1:7" x14ac:dyDescent="0.35">
      <c r="A754" s="84">
        <v>739</v>
      </c>
      <c r="B754" s="84">
        <f t="shared" ca="1" si="33"/>
        <v>0.9867710406683895</v>
      </c>
      <c r="C754" s="84">
        <f t="shared" ca="1" si="33"/>
        <v>0.45373955687935963</v>
      </c>
      <c r="D754" s="93" cm="1">
        <f t="array" aca="1" ref="D754" ca="1">_xlfn.SWITCH($B$4,"Normal MLE",EXP(_xlfn.NORM.INV(B754,LN($C$9),$E$9/$C$9)),"Uniforme",$B$9+($D$9-$B$9)*B754,"Triangular",IF(B754&lt;=($C$9-$B$9)/($D$9-$B$9),$B$9+SQRT(B754*($D$9-$B$9)*($C$9-$B$9)),$D$9-SQRT((1-B754)*($D$9-$B$9)*($D$9-$C$9))),"PERT",_xlfn.BETA.INV(B754,1+$B$6*($C$9-$B$9)/($D$9-$B$9),1+$B$6*($D$9-$C$9)/($D$9-$B$9),$B$9,$D$9))</f>
        <v>2.2771562715704246</v>
      </c>
      <c r="E754" s="94" cm="1">
        <f t="array" aca="1" ref="E754" ca="1">_xlfn.SWITCH($B$4,"Normal MLE",EXP(_xlfn.NORM.INV(C754,LN($C$10),$E$10/$C$10)),"Uniforme",$B$10+($D$10-$B$10)*C754,"Triangular",IF(C754&lt;=($C$10-$B$10)/($D$10-$B$10),$B$10+SQRT(C754*($D$10-$B$10)*($C$10-$B$10)),$D$10-SQRT((1-C754)*($D$10-$B$10)*($D$10-$C$10))),"PERT",_xlfn.BETA.INV(C754,1+$B$6*($C$10-$B$10)/($D$10-$B$10),1+$B$6*($D$10-$C$10)/($D$10-$B$10),$B$10,$D$10))</f>
        <v>5072.2700145509525</v>
      </c>
      <c r="F754" s="88">
        <f t="shared" ca="1" si="34"/>
        <v>0.55862563064627802</v>
      </c>
      <c r="G754" s="89">
        <f t="shared" ca="1" si="35"/>
        <v>1.8517501995926058E-4</v>
      </c>
    </row>
    <row r="755" spans="1:7" x14ac:dyDescent="0.35">
      <c r="A755" s="84">
        <v>740</v>
      </c>
      <c r="B755" s="84">
        <f t="shared" ca="1" si="33"/>
        <v>6.796390545735731E-2</v>
      </c>
      <c r="C755" s="84">
        <f t="shared" ca="1" si="33"/>
        <v>0.31006141471752702</v>
      </c>
      <c r="D755" s="93" cm="1">
        <f t="array" aca="1" ref="D755" ca="1">_xlfn.SWITCH($B$4,"Normal MLE",EXP(_xlfn.NORM.INV(B755,LN($C$9),$E$9/$C$9)),"Uniforme",$B$9+($D$9-$B$9)*B755,"Triangular",IF(B755&lt;=($C$9-$B$9)/($D$9-$B$9),$B$9+SQRT(B755*($D$9-$B$9)*($C$9-$B$9)),$D$9-SQRT((1-B755)*($D$9-$B$9)*($D$9-$C$9))),"PERT",_xlfn.BETA.INV(B755,1+$B$6*($C$9-$B$9)/($D$9-$B$9),1+$B$6*($D$9-$C$9)/($D$9-$B$9),$B$9,$D$9))</f>
        <v>1.7535324494385203</v>
      </c>
      <c r="E755" s="94" cm="1">
        <f t="array" aca="1" ref="E755" ca="1">_xlfn.SWITCH($B$4,"Normal MLE",EXP(_xlfn.NORM.INV(C755,LN($C$10),$E$10/$C$10)),"Uniforme",$B$10+($D$10-$B$10)*C755,"Triangular",IF(C755&lt;=($C$10-$B$10)/($D$10-$B$10),$B$10+SQRT(C755*($D$10-$B$10)*($C$10-$B$10)),$D$10-SQRT((1-C755)*($D$10-$B$10)*($D$10-$C$10))),"PERT",_xlfn.BETA.INV(C755,1+$B$6*($C$10-$B$10)/($D$10-$B$10),1+$B$6*($D$10-$C$10)/($D$10-$B$10),$B$10,$D$10))</f>
        <v>4983.4910831737379</v>
      </c>
      <c r="F755" s="88">
        <f t="shared" ca="1" si="34"/>
        <v>0.50655760369999181</v>
      </c>
      <c r="G755" s="89">
        <f t="shared" ca="1" si="35"/>
        <v>1.5103111671363386E-4</v>
      </c>
    </row>
    <row r="756" spans="1:7" x14ac:dyDescent="0.35">
      <c r="A756" s="84">
        <v>741</v>
      </c>
      <c r="B756" s="84">
        <f t="shared" ca="1" si="33"/>
        <v>0.18808912841472858</v>
      </c>
      <c r="C756" s="84">
        <f t="shared" ca="1" si="33"/>
        <v>8.0379303203646835E-2</v>
      </c>
      <c r="D756" s="93" cm="1">
        <f t="array" aca="1" ref="D756" ca="1">_xlfn.SWITCH($B$4,"Normal MLE",EXP(_xlfn.NORM.INV(B756,LN($C$9),$E$9/$C$9)),"Uniforme",$B$9+($D$9-$B$9)*B756,"Triangular",IF(B756&lt;=($C$9-$B$9)/($D$9-$B$9),$B$9+SQRT(B756*($D$9-$B$9)*($C$9-$B$9)),$D$9-SQRT((1-B756)*($D$9-$B$9)*($D$9-$C$9))),"PERT",_xlfn.BETA.INV(B756,1+$B$6*($C$9-$B$9)/($D$9-$B$9),1+$B$6*($D$9-$C$9)/($D$9-$B$9),$B$9,$D$9))</f>
        <v>1.8300043738938561</v>
      </c>
      <c r="E756" s="94" cm="1">
        <f t="array" aca="1" ref="E756" ca="1">_xlfn.SWITCH($B$4,"Normal MLE",EXP(_xlfn.NORM.INV(C756,LN($C$10),$E$10/$C$10)),"Uniforme",$B$10+($D$10-$B$10)*C756,"Triangular",IF(C756&lt;=($C$10-$B$10)/($D$10-$B$10),$B$10+SQRT(C756*($D$10-$B$10)*($C$10-$B$10)),$D$10-SQRT((1-C756)*($D$10-$B$10)*($D$10-$C$10))),"PERT",_xlfn.BETA.INV(C756,1+$B$6*($C$10-$B$10)/($D$10-$B$10),1+$B$6*($D$10-$C$10)/($D$10-$B$10),$B$10,$D$10))</f>
        <v>4777.5655083031561</v>
      </c>
      <c r="F756" s="88">
        <f t="shared" ca="1" si="34"/>
        <v>0.48555028385842808</v>
      </c>
      <c r="G756" s="89">
        <f t="shared" ca="1" si="35"/>
        <v>1.6048986981031049E-4</v>
      </c>
    </row>
    <row r="757" spans="1:7" x14ac:dyDescent="0.35">
      <c r="A757" s="84">
        <v>742</v>
      </c>
      <c r="B757" s="84">
        <f t="shared" ca="1" si="33"/>
        <v>0.468604704048177</v>
      </c>
      <c r="C757" s="84">
        <f t="shared" ca="1" si="33"/>
        <v>0.24424058897670575</v>
      </c>
      <c r="D757" s="93" cm="1">
        <f t="array" aca="1" ref="D757" ca="1">_xlfn.SWITCH($B$4,"Normal MLE",EXP(_xlfn.NORM.INV(B757,LN($C$9),$E$9/$C$9)),"Uniforme",$B$9+($D$9-$B$9)*B757,"Triangular",IF(B757&lt;=($C$9-$B$9)/($D$9-$B$9),$B$9+SQRT(B757*($D$9-$B$9)*($C$9-$B$9)),$D$9-SQRT((1-B757)*($D$9-$B$9)*($D$9-$C$9))),"PERT",_xlfn.BETA.INV(B757,1+$B$6*($C$9-$B$9)/($D$9-$B$9),1+$B$6*($D$9-$C$9)/($D$9-$B$9),$B$9,$D$9))</f>
        <v>1.9369010166902663</v>
      </c>
      <c r="E757" s="94" cm="1">
        <f t="array" aca="1" ref="E757" ca="1">_xlfn.SWITCH($B$4,"Normal MLE",EXP(_xlfn.NORM.INV(C757,LN($C$10),$E$10/$C$10)),"Uniforme",$B$10+($D$10-$B$10)*C757,"Triangular",IF(C757&lt;=($C$10-$B$10)/($D$10-$B$10),$B$10+SQRT(C757*($D$10-$B$10)*($C$10-$B$10)),$D$10-SQRT((1-C757)*($D$10-$B$10)*($D$10-$C$10))),"PERT",_xlfn.BETA.INV(C757,1+$B$6*($C$10-$B$10)/($D$10-$B$10),1+$B$6*($D$10-$C$10)/($D$10-$B$10),$B$10,$D$10))</f>
        <v>4938.0033538115076</v>
      </c>
      <c r="F757" s="88">
        <f t="shared" ca="1" si="34"/>
        <v>0.51429826179764326</v>
      </c>
      <c r="G757" s="89">
        <f t="shared" ca="1" si="35"/>
        <v>1.6559710018923247E-4</v>
      </c>
    </row>
    <row r="758" spans="1:7" x14ac:dyDescent="0.35">
      <c r="A758" s="84">
        <v>743</v>
      </c>
      <c r="B758" s="84">
        <f t="shared" ca="1" si="33"/>
        <v>0.70860815075544903</v>
      </c>
      <c r="C758" s="84">
        <f t="shared" ca="1" si="33"/>
        <v>1.7281988777672397E-2</v>
      </c>
      <c r="D758" s="93" cm="1">
        <f t="array" aca="1" ref="D758" ca="1">_xlfn.SWITCH($B$4,"Normal MLE",EXP(_xlfn.NORM.INV(B758,LN($C$9),$E$9/$C$9)),"Uniforme",$B$9+($D$9-$B$9)*B758,"Triangular",IF(B758&lt;=($C$9-$B$9)/($D$9-$B$9),$B$9+SQRT(B758*($D$9-$B$9)*($C$9-$B$9)),$D$9-SQRT((1-B758)*($D$9-$B$9)*($D$9-$C$9))),"PERT",_xlfn.BETA.INV(B758,1+$B$6*($C$9-$B$9)/($D$9-$B$9),1+$B$6*($D$9-$C$9)/($D$9-$B$9),$B$9,$D$9))</f>
        <v>2.0244940499496122</v>
      </c>
      <c r="E758" s="94" cm="1">
        <f t="array" aca="1" ref="E758" ca="1">_xlfn.SWITCH($B$4,"Normal MLE",EXP(_xlfn.NORM.INV(C758,LN($C$10),$E$10/$C$10)),"Uniforme",$B$10+($D$10-$B$10)*C758,"Triangular",IF(C758&lt;=($C$10-$B$10)/($D$10-$B$10),$B$10+SQRT(C758*($D$10-$B$10)*($C$10-$B$10)),$D$10-SQRT((1-C758)*($D$10-$B$10)*($D$10-$C$10))),"PERT",_xlfn.BETA.INV(C758,1+$B$6*($C$10-$B$10)/($D$10-$B$10),1+$B$6*($D$10-$C$10)/($D$10-$B$10),$B$10,$D$10))</f>
        <v>4622.1022317310144</v>
      </c>
      <c r="F758" s="88">
        <f t="shared" ca="1" si="34"/>
        <v>0.47412592053157371</v>
      </c>
      <c r="G758" s="89">
        <f t="shared" ca="1" si="35"/>
        <v>1.7908259355399158E-4</v>
      </c>
    </row>
    <row r="759" spans="1:7" x14ac:dyDescent="0.35">
      <c r="A759" s="84">
        <v>744</v>
      </c>
      <c r="B759" s="84">
        <f t="shared" ca="1" si="33"/>
        <v>0.11933278497738842</v>
      </c>
      <c r="C759" s="84">
        <f t="shared" ca="1" si="33"/>
        <v>0.21929320539973096</v>
      </c>
      <c r="D759" s="93" cm="1">
        <f t="array" aca="1" ref="D759" ca="1">_xlfn.SWITCH($B$4,"Normal MLE",EXP(_xlfn.NORM.INV(B759,LN($C$9),$E$9/$C$9)),"Uniforme",$B$9+($D$9-$B$9)*B759,"Triangular",IF(B759&lt;=($C$9-$B$9)/($D$9-$B$9),$B$9+SQRT(B759*($D$9-$B$9)*($C$9-$B$9)),$D$9-SQRT((1-B759)*($D$9-$B$9)*($D$9-$C$9))),"PERT",_xlfn.BETA.INV(B759,1+$B$6*($C$9-$B$9)/($D$9-$B$9),1+$B$6*($D$9-$C$9)/($D$9-$B$9),$B$9,$D$9))</f>
        <v>1.792586370559885</v>
      </c>
      <c r="E759" s="94" cm="1">
        <f t="array" aca="1" ref="E759" ca="1">_xlfn.SWITCH($B$4,"Normal MLE",EXP(_xlfn.NORM.INV(C759,LN($C$10),$E$10/$C$10)),"Uniforme",$B$10+($D$10-$B$10)*C759,"Triangular",IF(C759&lt;=($C$10-$B$10)/($D$10-$B$10),$B$10+SQRT(C759*($D$10-$B$10)*($C$10-$B$10)),$D$10-SQRT((1-C759)*($D$10-$B$10)*($D$10-$C$10))),"PERT",_xlfn.BETA.INV(C759,1+$B$6*($C$10-$B$10)/($D$10-$B$10),1+$B$6*($D$10-$C$10)/($D$10-$B$10),$B$10,$D$10))</f>
        <v>4919.2297401455198</v>
      </c>
      <c r="F759" s="88">
        <f t="shared" ca="1" si="34"/>
        <v>0.50148830941032063</v>
      </c>
      <c r="G759" s="89">
        <f t="shared" ca="1" si="35"/>
        <v>1.5511011695641761E-4</v>
      </c>
    </row>
    <row r="760" spans="1:7" x14ac:dyDescent="0.35">
      <c r="A760" s="84">
        <v>745</v>
      </c>
      <c r="B760" s="84">
        <f t="shared" ca="1" si="33"/>
        <v>0.19212570791333172</v>
      </c>
      <c r="C760" s="84">
        <f t="shared" ca="1" si="33"/>
        <v>0.54387728854283302</v>
      </c>
      <c r="D760" s="93" cm="1">
        <f t="array" aca="1" ref="D760" ca="1">_xlfn.SWITCH($B$4,"Normal MLE",EXP(_xlfn.NORM.INV(B760,LN($C$9),$E$9/$C$9)),"Uniforme",$B$9+($D$9-$B$9)*B760,"Triangular",IF(B760&lt;=($C$9-$B$9)/($D$9-$B$9),$B$9+SQRT(B760*($D$9-$B$9)*($C$9-$B$9)),$D$9-SQRT((1-B760)*($D$9-$B$9)*($D$9-$C$9))),"PERT",_xlfn.BETA.INV(B760,1+$B$6*($C$9-$B$9)/($D$9-$B$9),1+$B$6*($D$9-$C$9)/($D$9-$B$9),$B$9,$D$9))</f>
        <v>1.8319216773619362</v>
      </c>
      <c r="E760" s="94" cm="1">
        <f t="array" aca="1" ref="E760" ca="1">_xlfn.SWITCH($B$4,"Normal MLE",EXP(_xlfn.NORM.INV(C760,LN($C$10),$E$10/$C$10)),"Uniforme",$B$10+($D$10-$B$10)*C760,"Triangular",IF(C760&lt;=($C$10-$B$10)/($D$10-$B$10),$B$10+SQRT(C760*($D$10-$B$10)*($C$10-$B$10)),$D$10-SQRT((1-C760)*($D$10-$B$10)*($D$10-$C$10))),"PERT",_xlfn.BETA.INV(C760,1+$B$6*($C$10-$B$10)/($D$10-$B$10),1+$B$6*($D$10-$C$10)/($D$10-$B$10),$B$10,$D$10))</f>
        <v>5125.9968154737799</v>
      </c>
      <c r="F760" s="88">
        <f t="shared" ca="1" si="34"/>
        <v>0.53001706667397275</v>
      </c>
      <c r="G760" s="89">
        <f t="shared" ca="1" si="35"/>
        <v>1.5410090925220007E-4</v>
      </c>
    </row>
    <row r="761" spans="1:7" x14ac:dyDescent="0.35">
      <c r="A761" s="84">
        <v>746</v>
      </c>
      <c r="B761" s="84">
        <f t="shared" ca="1" si="33"/>
        <v>0.9668293365264673</v>
      </c>
      <c r="C761" s="84">
        <f t="shared" ca="1" si="33"/>
        <v>0.26927519665557553</v>
      </c>
      <c r="D761" s="93" cm="1">
        <f t="array" aca="1" ref="D761" ca="1">_xlfn.SWITCH($B$4,"Normal MLE",EXP(_xlfn.NORM.INV(B761,LN($C$9),$E$9/$C$9)),"Uniforme",$B$9+($D$9-$B$9)*B761,"Triangular",IF(B761&lt;=($C$9-$B$9)/($D$9-$B$9),$B$9+SQRT(B761*($D$9-$B$9)*($C$9-$B$9)),$D$9-SQRT((1-B761)*($D$9-$B$9)*($D$9-$C$9))),"PERT",_xlfn.BETA.INV(B761,1+$B$6*($C$9-$B$9)/($D$9-$B$9),1+$B$6*($D$9-$C$9)/($D$9-$B$9),$B$9,$D$9))</f>
        <v>2.2165118058733984</v>
      </c>
      <c r="E761" s="94" cm="1">
        <f t="array" aca="1" ref="E761" ca="1">_xlfn.SWITCH($B$4,"Normal MLE",EXP(_xlfn.NORM.INV(C761,LN($C$10),$E$10/$C$10)),"Uniforme",$B$10+($D$10-$B$10)*C761,"Triangular",IF(C761&lt;=($C$10-$B$10)/($D$10-$B$10),$B$10+SQRT(C761*($D$10-$B$10)*($C$10-$B$10)),$D$10-SQRT((1-C761)*($D$10-$B$10)*($D$10-$C$10))),"PERT",_xlfn.BETA.INV(C761,1+$B$6*($C$10-$B$10)/($D$10-$B$10),1+$B$6*($D$10-$C$10)/($D$10-$B$10),$B$10,$D$10))</f>
        <v>4955.8946940991364</v>
      </c>
      <c r="F761" s="88">
        <f t="shared" ca="1" si="34"/>
        <v>0.53691850973857136</v>
      </c>
      <c r="G761" s="89">
        <f t="shared" ca="1" si="35"/>
        <v>1.8503131628247208E-4</v>
      </c>
    </row>
    <row r="762" spans="1:7" x14ac:dyDescent="0.35">
      <c r="A762" s="84">
        <v>747</v>
      </c>
      <c r="B762" s="84">
        <f t="shared" ca="1" si="33"/>
        <v>0.4012785914425735</v>
      </c>
      <c r="C762" s="84">
        <f t="shared" ca="1" si="33"/>
        <v>0.96631442085512076</v>
      </c>
      <c r="D762" s="93" cm="1">
        <f t="array" aca="1" ref="D762" ca="1">_xlfn.SWITCH($B$4,"Normal MLE",EXP(_xlfn.NORM.INV(B762,LN($C$9),$E$9/$C$9)),"Uniforme",$B$9+($D$9-$B$9)*B762,"Triangular",IF(B762&lt;=($C$9-$B$9)/($D$9-$B$9),$B$9+SQRT(B762*($D$9-$B$9)*($C$9-$B$9)),$D$9-SQRT((1-B762)*($D$9-$B$9)*($D$9-$C$9))),"PERT",_xlfn.BETA.INV(B762,1+$B$6*($C$9-$B$9)/($D$9-$B$9),1+$B$6*($D$9-$C$9)/($D$9-$B$9),$B$9,$D$9))</f>
        <v>1.9136820350671797</v>
      </c>
      <c r="E762" s="94" cm="1">
        <f t="array" aca="1" ref="E762" ca="1">_xlfn.SWITCH($B$4,"Normal MLE",EXP(_xlfn.NORM.INV(C762,LN($C$10),$E$10/$C$10)),"Uniforme",$B$10+($D$10-$B$10)*C762,"Triangular",IF(C762&lt;=($C$10-$B$10)/($D$10-$B$10),$B$10+SQRT(C762*($D$10-$B$10)*($C$10-$B$10)),$D$10-SQRT((1-C762)*($D$10-$B$10)*($D$10-$C$10))),"PERT",_xlfn.BETA.INV(C762,1+$B$6*($C$10-$B$10)/($D$10-$B$10),1+$B$6*($D$10-$C$10)/($D$10-$B$10),$B$10,$D$10))</f>
        <v>5552.8798452088704</v>
      </c>
      <c r="F762" s="88">
        <f t="shared" ca="1" si="34"/>
        <v>0.58637138356022633</v>
      </c>
      <c r="G762" s="89">
        <f t="shared" ca="1" si="35"/>
        <v>1.4974857402968983E-4</v>
      </c>
    </row>
    <row r="763" spans="1:7" x14ac:dyDescent="0.35">
      <c r="A763" s="84">
        <v>748</v>
      </c>
      <c r="B763" s="84">
        <f t="shared" ca="1" si="33"/>
        <v>0.73363117846732151</v>
      </c>
      <c r="C763" s="84">
        <f t="shared" ca="1" si="33"/>
        <v>0.93892556865077403</v>
      </c>
      <c r="D763" s="93" cm="1">
        <f t="array" aca="1" ref="D763" ca="1">_xlfn.SWITCH($B$4,"Normal MLE",EXP(_xlfn.NORM.INV(B763,LN($C$9),$E$9/$C$9)),"Uniforme",$B$9+($D$9-$B$9)*B763,"Triangular",IF(B763&lt;=($C$9-$B$9)/($D$9-$B$9),$B$9+SQRT(B763*($D$9-$B$9)*($C$9-$B$9)),$D$9-SQRT((1-B763)*($D$9-$B$9)*($D$9-$C$9))),"PERT",_xlfn.BETA.INV(B763,1+$B$6*($C$9-$B$9)/($D$9-$B$9),1+$B$6*($D$9-$C$9)/($D$9-$B$9),$B$9,$D$9))</f>
        <v>2.0351442908949111</v>
      </c>
      <c r="E763" s="94" cm="1">
        <f t="array" aca="1" ref="E763" ca="1">_xlfn.SWITCH($B$4,"Normal MLE",EXP(_xlfn.NORM.INV(C763,LN($C$10),$E$10/$C$10)),"Uniforme",$B$10+($D$10-$B$10)*C763,"Triangular",IF(C763&lt;=($C$10-$B$10)/($D$10-$B$10),$B$10+SQRT(C763*($D$10-$B$10)*($C$10-$B$10)),$D$10-SQRT((1-C763)*($D$10-$B$10)*($D$10-$C$10))),"PERT",_xlfn.BETA.INV(C763,1+$B$6*($C$10-$B$10)/($D$10-$B$10),1+$B$6*($D$10-$C$10)/($D$10-$B$10),$B$10,$D$10))</f>
        <v>5480.13702529703</v>
      </c>
      <c r="F763" s="88">
        <f t="shared" ca="1" si="34"/>
        <v>0.59042988339635394</v>
      </c>
      <c r="G763" s="89">
        <f t="shared" ca="1" si="35"/>
        <v>1.5828339729679621E-4</v>
      </c>
    </row>
    <row r="764" spans="1:7" x14ac:dyDescent="0.35">
      <c r="A764" s="84">
        <v>749</v>
      </c>
      <c r="B764" s="84">
        <f t="shared" ca="1" si="33"/>
        <v>0.43567077390419506</v>
      </c>
      <c r="C764" s="84">
        <f t="shared" ca="1" si="33"/>
        <v>0.60419597469631681</v>
      </c>
      <c r="D764" s="93" cm="1">
        <f t="array" aca="1" ref="D764" ca="1">_xlfn.SWITCH($B$4,"Normal MLE",EXP(_xlfn.NORM.INV(B764,LN($C$9),$E$9/$C$9)),"Uniforme",$B$9+($D$9-$B$9)*B764,"Triangular",IF(B764&lt;=($C$9-$B$9)/($D$9-$B$9),$B$9+SQRT(B764*($D$9-$B$9)*($C$9-$B$9)),$D$9-SQRT((1-B764)*($D$9-$B$9)*($D$9-$C$9))),"PERT",_xlfn.BETA.INV(B764,1+$B$6*($C$9-$B$9)/($D$9-$B$9),1+$B$6*($D$9-$C$9)/($D$9-$B$9),$B$9,$D$9))</f>
        <v>1.925589213655619</v>
      </c>
      <c r="E764" s="94" cm="1">
        <f t="array" aca="1" ref="E764" ca="1">_xlfn.SWITCH($B$4,"Normal MLE",EXP(_xlfn.NORM.INV(C764,LN($C$10),$E$10/$C$10)),"Uniforme",$B$10+($D$10-$B$10)*C764,"Triangular",IF(C764&lt;=($C$10-$B$10)/($D$10-$B$10),$B$10+SQRT(C764*($D$10-$B$10)*($C$10-$B$10)),$D$10-SQRT((1-C764)*($D$10-$B$10)*($D$10-$C$10))),"PERT",_xlfn.BETA.INV(C764,1+$B$6*($C$10-$B$10)/($D$10-$B$10),1+$B$6*($D$10-$C$10)/($D$10-$B$10),$B$10,$D$10))</f>
        <v>5162.8670134160893</v>
      </c>
      <c r="F764" s="88">
        <f t="shared" ca="1" si="34"/>
        <v>0.54239232101280666</v>
      </c>
      <c r="G764" s="89">
        <f t="shared" ca="1" si="35"/>
        <v>1.59735817631601E-4</v>
      </c>
    </row>
    <row r="765" spans="1:7" x14ac:dyDescent="0.35">
      <c r="A765" s="84">
        <v>750</v>
      </c>
      <c r="B765" s="84">
        <f t="shared" ca="1" si="33"/>
        <v>0.22488591516393264</v>
      </c>
      <c r="C765" s="84">
        <f t="shared" ca="1" si="33"/>
        <v>0.13686818120148025</v>
      </c>
      <c r="D765" s="93" cm="1">
        <f t="array" aca="1" ref="D765" ca="1">_xlfn.SWITCH($B$4,"Normal MLE",EXP(_xlfn.NORM.INV(B765,LN($C$9),$E$9/$C$9)),"Uniforme",$B$9+($D$9-$B$9)*B765,"Triangular",IF(B765&lt;=($C$9-$B$9)/($D$9-$B$9),$B$9+SQRT(B765*($D$9-$B$9)*($C$9-$B$9)),$D$9-SQRT((1-B765)*($D$9-$B$9)*($D$9-$C$9))),"PERT",_xlfn.BETA.INV(B765,1+$B$6*($C$9-$B$9)/($D$9-$B$9),1+$B$6*($D$9-$C$9)/($D$9-$B$9),$B$9,$D$9))</f>
        <v>1.8467254585324575</v>
      </c>
      <c r="E765" s="94" cm="1">
        <f t="array" aca="1" ref="E765" ca="1">_xlfn.SWITCH($B$4,"Normal MLE",EXP(_xlfn.NORM.INV(C765,LN($C$10),$E$10/$C$10)),"Uniforme",$B$10+($D$10-$B$10)*C765,"Triangular",IF(C765&lt;=($C$10-$B$10)/($D$10-$B$10),$B$10+SQRT(C765*($D$10-$B$10)*($C$10-$B$10)),$D$10-SQRT((1-C765)*($D$10-$B$10)*($D$10-$C$10))),"PERT",_xlfn.BETA.INV(C765,1+$B$6*($C$10-$B$10)/($D$10-$B$10),1+$B$6*($D$10-$C$10)/($D$10-$B$10),$B$10,$D$10))</f>
        <v>4846.5392306234326</v>
      </c>
      <c r="F765" s="88">
        <f t="shared" ca="1" si="34"/>
        <v>0.49583489111216666</v>
      </c>
      <c r="G765" s="89">
        <f t="shared" ca="1" si="35"/>
        <v>1.6058860006143628E-4</v>
      </c>
    </row>
    <row r="766" spans="1:7" x14ac:dyDescent="0.35">
      <c r="A766" s="84">
        <v>751</v>
      </c>
      <c r="B766" s="84">
        <f t="shared" ca="1" si="33"/>
        <v>0.38150996861236652</v>
      </c>
      <c r="C766" s="84">
        <f t="shared" ca="1" si="33"/>
        <v>0.92143120056146466</v>
      </c>
      <c r="D766" s="93" cm="1">
        <f t="array" aca="1" ref="D766" ca="1">_xlfn.SWITCH($B$4,"Normal MLE",EXP(_xlfn.NORM.INV(B766,LN($C$9),$E$9/$C$9)),"Uniforme",$B$9+($D$9-$B$9)*B766,"Triangular",IF(B766&lt;=($C$9-$B$9)/($D$9-$B$9),$B$9+SQRT(B766*($D$9-$B$9)*($C$9-$B$9)),$D$9-SQRT((1-B766)*($D$9-$B$9)*($D$9-$C$9))),"PERT",_xlfn.BETA.INV(B766,1+$B$6*($C$9-$B$9)/($D$9-$B$9),1+$B$6*($D$9-$C$9)/($D$9-$B$9),$B$9,$D$9))</f>
        <v>1.9067573326252809</v>
      </c>
      <c r="E766" s="94" cm="1">
        <f t="array" aca="1" ref="E766" ca="1">_xlfn.SWITCH($B$4,"Normal MLE",EXP(_xlfn.NORM.INV(C766,LN($C$10),$E$10/$C$10)),"Uniforme",$B$10+($D$10-$B$10)*C766,"Triangular",IF(C766&lt;=($C$10-$B$10)/($D$10-$B$10),$B$10+SQRT(C766*($D$10-$B$10)*($C$10-$B$10)),$D$10-SQRT((1-C766)*($D$10-$B$10)*($D$10-$C$10))),"PERT",_xlfn.BETA.INV(C766,1+$B$6*($C$10-$B$10)/($D$10-$B$10),1+$B$6*($D$10-$C$10)/($D$10-$B$10),$B$10,$D$10))</f>
        <v>5446.8185184501608</v>
      </c>
      <c r="F766" s="88">
        <f t="shared" ca="1" si="34"/>
        <v>0.57404039363349957</v>
      </c>
      <c r="G766" s="89">
        <f t="shared" ca="1" si="35"/>
        <v>1.5188479801318193E-4</v>
      </c>
    </row>
    <row r="767" spans="1:7" x14ac:dyDescent="0.35">
      <c r="A767" s="84">
        <v>752</v>
      </c>
      <c r="B767" s="84">
        <f t="shared" ca="1" si="33"/>
        <v>0.9848322103857835</v>
      </c>
      <c r="C767" s="84">
        <f t="shared" ca="1" si="33"/>
        <v>0.84779708830574119</v>
      </c>
      <c r="D767" s="93" cm="1">
        <f t="array" aca="1" ref="D767" ca="1">_xlfn.SWITCH($B$4,"Normal MLE",EXP(_xlfn.NORM.INV(B767,LN($C$9),$E$9/$C$9)),"Uniforme",$B$9+($D$9-$B$9)*B767,"Triangular",IF(B767&lt;=($C$9-$B$9)/($D$9-$B$9),$B$9+SQRT(B767*($D$9-$B$9)*($C$9-$B$9)),$D$9-SQRT((1-B767)*($D$9-$B$9)*($D$9-$C$9))),"PERT",_xlfn.BETA.INV(B767,1+$B$6*($C$9-$B$9)/($D$9-$B$9),1+$B$6*($D$9-$C$9)/($D$9-$B$9),$B$9,$D$9))</f>
        <v>2.2685545846431499</v>
      </c>
      <c r="E767" s="94" cm="1">
        <f t="array" aca="1" ref="E767" ca="1">_xlfn.SWITCH($B$4,"Normal MLE",EXP(_xlfn.NORM.INV(C767,LN($C$10),$E$10/$C$10)),"Uniforme",$B$10+($D$10-$B$10)*C767,"Triangular",IF(C767&lt;=($C$10-$B$10)/($D$10-$B$10),$B$10+SQRT(C767*($D$10-$B$10)*($C$10-$B$10)),$D$10-SQRT((1-C767)*($D$10-$B$10)*($D$10-$C$10))),"PERT",_xlfn.BETA.INV(C767,1+$B$6*($C$10-$B$10)/($D$10-$B$10),1+$B$6*($D$10-$C$10)/($D$10-$B$10),$B$10,$D$10))</f>
        <v>5349.4234296238228</v>
      </c>
      <c r="F767" s="88">
        <f t="shared" ca="1" si="34"/>
        <v>0.59622778741009053</v>
      </c>
      <c r="G767" s="89">
        <f t="shared" ca="1" si="35"/>
        <v>1.7486515613221852E-4</v>
      </c>
    </row>
    <row r="768" spans="1:7" x14ac:dyDescent="0.35">
      <c r="A768" s="84">
        <v>753</v>
      </c>
      <c r="B768" s="84">
        <f t="shared" ca="1" si="33"/>
        <v>0.43535737359715665</v>
      </c>
      <c r="C768" s="84">
        <f t="shared" ca="1" si="33"/>
        <v>0.70624056880040853</v>
      </c>
      <c r="D768" s="93" cm="1">
        <f t="array" aca="1" ref="D768" ca="1">_xlfn.SWITCH($B$4,"Normal MLE",EXP(_xlfn.NORM.INV(B768,LN($C$9),$E$9/$C$9)),"Uniforme",$B$9+($D$9-$B$9)*B768,"Triangular",IF(B768&lt;=($C$9-$B$9)/($D$9-$B$9),$B$9+SQRT(B768*($D$9-$B$9)*($C$9-$B$9)),$D$9-SQRT((1-B768)*($D$9-$B$9)*($D$9-$C$9))),"PERT",_xlfn.BETA.INV(B768,1+$B$6*($C$9-$B$9)/($D$9-$B$9),1+$B$6*($D$9-$C$9)/($D$9-$B$9),$B$9,$D$9))</f>
        <v>1.9254812799042607</v>
      </c>
      <c r="E768" s="94" cm="1">
        <f t="array" aca="1" ref="E768" ca="1">_xlfn.SWITCH($B$4,"Normal MLE",EXP(_xlfn.NORM.INV(C768,LN($C$10),$E$10/$C$10)),"Uniforme",$B$10+($D$10-$B$10)*C768,"Triangular",IF(C768&lt;=($C$10-$B$10)/($D$10-$B$10),$B$10+SQRT(C768*($D$10-$B$10)*($C$10-$B$10)),$D$10-SQRT((1-C768)*($D$10-$B$10)*($D$10-$C$10))),"PERT",_xlfn.BETA.INV(C768,1+$B$6*($C$10-$B$10)/($D$10-$B$10),1+$B$6*($D$10-$C$10)/($D$10-$B$10),$B$10,$D$10))</f>
        <v>5230.1420932581123</v>
      </c>
      <c r="F768" s="88">
        <f t="shared" ca="1" si="34"/>
        <v>0.55061440766274927</v>
      </c>
      <c r="G768" s="89">
        <f t="shared" ca="1" si="35"/>
        <v>1.5816043568756468E-4</v>
      </c>
    </row>
    <row r="769" spans="1:7" x14ac:dyDescent="0.35">
      <c r="A769" s="84">
        <v>754</v>
      </c>
      <c r="B769" s="84">
        <f t="shared" ca="1" si="33"/>
        <v>3.8272825194737625E-2</v>
      </c>
      <c r="C769" s="84">
        <f t="shared" ca="1" si="33"/>
        <v>0.14392591190770565</v>
      </c>
      <c r="D769" s="93" cm="1">
        <f t="array" aca="1" ref="D769" ca="1">_xlfn.SWITCH($B$4,"Normal MLE",EXP(_xlfn.NORM.INV(B769,LN($C$9),$E$9/$C$9)),"Uniforme",$B$9+($D$9-$B$9)*B769,"Triangular",IF(B769&lt;=($C$9-$B$9)/($D$9-$B$9),$B$9+SQRT(B769*($D$9-$B$9)*($C$9-$B$9)),$D$9-SQRT((1-B769)*($D$9-$B$9)*($D$9-$C$9))),"PERT",_xlfn.BETA.INV(B769,1+$B$6*($C$9-$B$9)/($D$9-$B$9),1+$B$6*($D$9-$C$9)/($D$9-$B$9),$B$9,$D$9))</f>
        <v>1.7193004691712392</v>
      </c>
      <c r="E769" s="94" cm="1">
        <f t="array" aca="1" ref="E769" ca="1">_xlfn.SWITCH($B$4,"Normal MLE",EXP(_xlfn.NORM.INV(C769,LN($C$10),$E$10/$C$10)),"Uniforme",$B$10+($D$10-$B$10)*C769,"Triangular",IF(C769&lt;=($C$10-$B$10)/($D$10-$B$10),$B$10+SQRT(C769*($D$10-$B$10)*($C$10-$B$10)),$D$10-SQRT((1-C769)*($D$10-$B$10)*($D$10-$C$10))),"PERT",_xlfn.BETA.INV(C769,1+$B$6*($C$10-$B$10)/($D$10-$B$10),1+$B$6*($D$10-$C$10)/($D$10-$B$10),$B$10,$D$10))</f>
        <v>4853.6831246786105</v>
      </c>
      <c r="F769" s="88">
        <f t="shared" ca="1" si="34"/>
        <v>0.48818249956512005</v>
      </c>
      <c r="G769" s="89">
        <f t="shared" ca="1" si="35"/>
        <v>1.5046417517676681E-4</v>
      </c>
    </row>
    <row r="770" spans="1:7" x14ac:dyDescent="0.35">
      <c r="A770" s="84">
        <v>755</v>
      </c>
      <c r="B770" s="84">
        <f t="shared" ca="1" si="33"/>
        <v>0.97960347839612183</v>
      </c>
      <c r="C770" s="84">
        <f t="shared" ca="1" si="33"/>
        <v>0.75903395909737359</v>
      </c>
      <c r="D770" s="93" cm="1">
        <f t="array" aca="1" ref="D770" ca="1">_xlfn.SWITCH($B$4,"Normal MLE",EXP(_xlfn.NORM.INV(B770,LN($C$9),$E$9/$C$9)),"Uniforme",$B$9+($D$9-$B$9)*B770,"Triangular",IF(B770&lt;=($C$9-$B$9)/($D$9-$B$9),$B$9+SQRT(B770*($D$9-$B$9)*($C$9-$B$9)),$D$9-SQRT((1-B770)*($D$9-$B$9)*($D$9-$C$9))),"PERT",_xlfn.BETA.INV(B770,1+$B$6*($C$9-$B$9)/($D$9-$B$9),1+$B$6*($D$9-$C$9)/($D$9-$B$9),$B$9,$D$9))</f>
        <v>2.2494568280037281</v>
      </c>
      <c r="E770" s="94" cm="1">
        <f t="array" aca="1" ref="E770" ca="1">_xlfn.SWITCH($B$4,"Normal MLE",EXP(_xlfn.NORM.INV(C770,LN($C$10),$E$10/$C$10)),"Uniforme",$B$10+($D$10-$B$10)*C770,"Triangular",IF(C770&lt;=($C$10-$B$10)/($D$10-$B$10),$B$10+SQRT(C770*($D$10-$B$10)*($C$10-$B$10)),$D$10-SQRT((1-C770)*($D$10-$B$10)*($D$10-$C$10))),"PERT",_xlfn.BETA.INV(C770,1+$B$6*($C$10-$B$10)/($D$10-$B$10),1+$B$6*($D$10-$C$10)/($D$10-$B$10),$B$10,$D$10))</f>
        <v>5269.4155779892399</v>
      </c>
      <c r="F770" s="88">
        <f t="shared" ca="1" si="34"/>
        <v>0.58394948377082434</v>
      </c>
      <c r="G770" s="89">
        <f t="shared" ca="1" si="35"/>
        <v>1.7665561041373804E-4</v>
      </c>
    </row>
    <row r="771" spans="1:7" x14ac:dyDescent="0.35">
      <c r="A771" s="84">
        <v>756</v>
      </c>
      <c r="B771" s="84">
        <f t="shared" ca="1" si="33"/>
        <v>0.14757714123922505</v>
      </c>
      <c r="C771" s="84">
        <f t="shared" ca="1" si="33"/>
        <v>0.97251322093566106</v>
      </c>
      <c r="D771" s="93" cm="1">
        <f t="array" aca="1" ref="D771" ca="1">_xlfn.SWITCH($B$4,"Normal MLE",EXP(_xlfn.NORM.INV(B771,LN($C$9),$E$9/$C$9)),"Uniforme",$B$9+($D$9-$B$9)*B771,"Triangular",IF(B771&lt;=($C$9-$B$9)/($D$9-$B$9),$B$9+SQRT(B771*($D$9-$B$9)*($C$9-$B$9)),$D$9-SQRT((1-B771)*($D$9-$B$9)*($D$9-$C$9))),"PERT",_xlfn.BETA.INV(B771,1+$B$6*($C$9-$B$9)/($D$9-$B$9),1+$B$6*($D$9-$C$9)/($D$9-$B$9),$B$9,$D$9))</f>
        <v>1.8092563968521582</v>
      </c>
      <c r="E771" s="94" cm="1">
        <f t="array" aca="1" ref="E771" ca="1">_xlfn.SWITCH($B$4,"Normal MLE",EXP(_xlfn.NORM.INV(C771,LN($C$10),$E$10/$C$10)),"Uniforme",$B$10+($D$10-$B$10)*C771,"Triangular",IF(C771&lt;=($C$10-$B$10)/($D$10-$B$10),$B$10+SQRT(C771*($D$10-$B$10)*($C$10-$B$10)),$D$10-SQRT((1-C771)*($D$10-$B$10)*($D$10-$C$10))),"PERT",_xlfn.BETA.INV(C771,1+$B$6*($C$10-$B$10)/($D$10-$B$10),1+$B$6*($D$10-$C$10)/($D$10-$B$10),$B$10,$D$10))</f>
        <v>5576.1573635912391</v>
      </c>
      <c r="F771" s="88">
        <f t="shared" ca="1" si="34"/>
        <v>0.57796704076794903</v>
      </c>
      <c r="G771" s="89">
        <f t="shared" ca="1" si="35"/>
        <v>1.4332193976069943E-4</v>
      </c>
    </row>
    <row r="772" spans="1:7" x14ac:dyDescent="0.35">
      <c r="A772" s="84">
        <v>757</v>
      </c>
      <c r="B772" s="84">
        <f t="shared" ca="1" si="33"/>
        <v>0.11806879191718789</v>
      </c>
      <c r="C772" s="84">
        <f t="shared" ca="1" si="33"/>
        <v>0.69590815933569194</v>
      </c>
      <c r="D772" s="93" cm="1">
        <f t="array" aca="1" ref="D772" ca="1">_xlfn.SWITCH($B$4,"Normal MLE",EXP(_xlfn.NORM.INV(B772,LN($C$9),$E$9/$C$9)),"Uniforme",$B$9+($D$9-$B$9)*B772,"Triangular",IF(B772&lt;=($C$9-$B$9)/($D$9-$B$9),$B$9+SQRT(B772*($D$9-$B$9)*($C$9-$B$9)),$D$9-SQRT((1-B772)*($D$9-$B$9)*($D$9-$C$9))),"PERT",_xlfn.BETA.INV(B772,1+$B$6*($C$9-$B$9)/($D$9-$B$9),1+$B$6*($D$9-$C$9)/($D$9-$B$9),$B$9,$D$9))</f>
        <v>1.7917827681052823</v>
      </c>
      <c r="E772" s="94" cm="1">
        <f t="array" aca="1" ref="E772" ca="1">_xlfn.SWITCH($B$4,"Normal MLE",EXP(_xlfn.NORM.INV(C772,LN($C$10),$E$10/$C$10)),"Uniforme",$B$10+($D$10-$B$10)*C772,"Triangular",IF(C772&lt;=($C$10-$B$10)/($D$10-$B$10),$B$10+SQRT(C772*($D$10-$B$10)*($C$10-$B$10)),$D$10-SQRT((1-C772)*($D$10-$B$10)*($D$10-$C$10))),"PERT",_xlfn.BETA.INV(C772,1+$B$6*($C$10-$B$10)/($D$10-$B$10),1+$B$6*($D$10-$C$10)/($D$10-$B$10),$B$10,$D$10))</f>
        <v>5222.9023464860384</v>
      </c>
      <c r="F772" s="88">
        <f t="shared" ca="1" si="34"/>
        <v>0.53792382006701922</v>
      </c>
      <c r="G772" s="89">
        <f t="shared" ca="1" si="35"/>
        <v>1.4940484321487331E-4</v>
      </c>
    </row>
    <row r="773" spans="1:7" x14ac:dyDescent="0.35">
      <c r="A773" s="84">
        <v>758</v>
      </c>
      <c r="B773" s="84">
        <f t="shared" ca="1" si="33"/>
        <v>0.99616278880436271</v>
      </c>
      <c r="C773" s="84">
        <f t="shared" ca="1" si="33"/>
        <v>0.53443693282544524</v>
      </c>
      <c r="D773" s="93" cm="1">
        <f t="array" aca="1" ref="D773" ca="1">_xlfn.SWITCH($B$4,"Normal MLE",EXP(_xlfn.NORM.INV(B773,LN($C$9),$E$9/$C$9)),"Uniforme",$B$9+($D$9-$B$9)*B773,"Triangular",IF(B773&lt;=($C$9-$B$9)/($D$9-$B$9),$B$9+SQRT(B773*($D$9-$B$9)*($C$9-$B$9)),$D$9-SQRT((1-B773)*($D$9-$B$9)*($D$9-$C$9))),"PERT",_xlfn.BETA.INV(B773,1+$B$6*($C$9-$B$9)/($D$9-$B$9),1+$B$6*($D$9-$C$9)/($D$9-$B$9),$B$9,$D$9))</f>
        <v>2.3499166544739194</v>
      </c>
      <c r="E773" s="94" cm="1">
        <f t="array" aca="1" ref="E773" ca="1">_xlfn.SWITCH($B$4,"Normal MLE",EXP(_xlfn.NORM.INV(C773,LN($C$10),$E$10/$C$10)),"Uniforme",$B$10+($D$10-$B$10)*C773,"Triangular",IF(C773&lt;=($C$10-$B$10)/($D$10-$B$10),$B$10+SQRT(C773*($D$10-$B$10)*($C$10-$B$10)),$D$10-SQRT((1-C773)*($D$10-$B$10)*($D$10-$C$10))),"PERT",_xlfn.BETA.INV(C773,1+$B$6*($C$10-$B$10)/($D$10-$B$10),1+$B$6*($D$10-$C$10)/($D$10-$B$10),$B$10,$D$10))</f>
        <v>5120.3279169398702</v>
      </c>
      <c r="F773" s="88">
        <f t="shared" ca="1" si="34"/>
        <v>0.57134743327342274</v>
      </c>
      <c r="G773" s="89">
        <f t="shared" ca="1" si="35"/>
        <v>1.8788533985285202E-4</v>
      </c>
    </row>
    <row r="774" spans="1:7" x14ac:dyDescent="0.35">
      <c r="A774" s="84">
        <v>759</v>
      </c>
      <c r="B774" s="84">
        <f t="shared" ca="1" si="33"/>
        <v>0.63488437223232563</v>
      </c>
      <c r="C774" s="84">
        <f t="shared" ca="1" si="33"/>
        <v>0.73526361254689321</v>
      </c>
      <c r="D774" s="93" cm="1">
        <f t="array" aca="1" ref="D774" ca="1">_xlfn.SWITCH($B$4,"Normal MLE",EXP(_xlfn.NORM.INV(B774,LN($C$9),$E$9/$C$9)),"Uniforme",$B$9+($D$9-$B$9)*B774,"Triangular",IF(B774&lt;=($C$9-$B$9)/($D$9-$B$9),$B$9+SQRT(B774*($D$9-$B$9)*($C$9-$B$9)),$D$9-SQRT((1-B774)*($D$9-$B$9)*($D$9-$C$9))),"PERT",_xlfn.BETA.INV(B774,1+$B$6*($C$9-$B$9)/($D$9-$B$9),1+$B$6*($D$9-$C$9)/($D$9-$B$9),$B$9,$D$9))</f>
        <v>1.9955479343741749</v>
      </c>
      <c r="E774" s="94" cm="1">
        <f t="array" aca="1" ref="E774" ca="1">_xlfn.SWITCH($B$4,"Normal MLE",EXP(_xlfn.NORM.INV(C774,LN($C$10),$E$10/$C$10)),"Uniforme",$B$10+($D$10-$B$10)*C774,"Triangular",IF(C774&lt;=($C$10-$B$10)/($D$10-$B$10),$B$10+SQRT(C774*($D$10-$B$10)*($C$10-$B$10)),$D$10-SQRT((1-C774)*($D$10-$B$10)*($D$10-$C$10))),"PERT",_xlfn.BETA.INV(C774,1+$B$6*($C$10-$B$10)/($D$10-$B$10),1+$B$6*($D$10-$C$10)/($D$10-$B$10),$B$10,$D$10))</f>
        <v>5251.2066798633041</v>
      </c>
      <c r="F774" s="88">
        <f t="shared" ca="1" si="34"/>
        <v>0.55937477198108843</v>
      </c>
      <c r="G774" s="89">
        <f t="shared" ca="1" si="35"/>
        <v>1.6211867210735365E-4</v>
      </c>
    </row>
    <row r="775" spans="1:7" x14ac:dyDescent="0.35">
      <c r="A775" s="84">
        <v>760</v>
      </c>
      <c r="B775" s="84">
        <f t="shared" ca="1" si="33"/>
        <v>0.35931180148959208</v>
      </c>
      <c r="C775" s="84">
        <f t="shared" ca="1" si="33"/>
        <v>0.54661664138314869</v>
      </c>
      <c r="D775" s="93" cm="1">
        <f t="array" aca="1" ref="D775" ca="1">_xlfn.SWITCH($B$4,"Normal MLE",EXP(_xlfn.NORM.INV(B775,LN($C$9),$E$9/$C$9)),"Uniforme",$B$9+($D$9-$B$9)*B775,"Triangular",IF(B775&lt;=($C$9-$B$9)/($D$9-$B$9),$B$9+SQRT(B775*($D$9-$B$9)*($C$9-$B$9)),$D$9-SQRT((1-B775)*($D$9-$B$9)*($D$9-$C$9))),"PERT",_xlfn.BETA.INV(B775,1+$B$6*($C$9-$B$9)/($D$9-$B$9),1+$B$6*($D$9-$C$9)/($D$9-$B$9),$B$9,$D$9))</f>
        <v>1.8988808908134762</v>
      </c>
      <c r="E775" s="94" cm="1">
        <f t="array" aca="1" ref="E775" ca="1">_xlfn.SWITCH($B$4,"Normal MLE",EXP(_xlfn.NORM.INV(C775,LN($C$10),$E$10/$C$10)),"Uniforme",$B$10+($D$10-$B$10)*C775,"Triangular",IF(C775&lt;=($C$10-$B$10)/($D$10-$B$10),$B$10+SQRT(C775*($D$10-$B$10)*($C$10-$B$10)),$D$10-SQRT((1-C775)*($D$10-$B$10)*($D$10-$C$10))),"PERT",_xlfn.BETA.INV(C775,1+$B$6*($C$10-$B$10)/($D$10-$B$10),1+$B$6*($D$10-$C$10)/($D$10-$B$10),$B$10,$D$10))</f>
        <v>5127.6456058693711</v>
      </c>
      <c r="F775" s="88">
        <f t="shared" ca="1" si="34"/>
        <v>0.53579241883930195</v>
      </c>
      <c r="G775" s="89">
        <f t="shared" ca="1" si="35"/>
        <v>1.5871748841434803E-4</v>
      </c>
    </row>
    <row r="776" spans="1:7" x14ac:dyDescent="0.35">
      <c r="A776" s="84">
        <v>761</v>
      </c>
      <c r="B776" s="84">
        <f t="shared" ca="1" si="33"/>
        <v>0.84238642413412423</v>
      </c>
      <c r="C776" s="84">
        <f t="shared" ca="1" si="33"/>
        <v>0.37054652719802506</v>
      </c>
      <c r="D776" s="93" cm="1">
        <f t="array" aca="1" ref="D776" ca="1">_xlfn.SWITCH($B$4,"Normal MLE",EXP(_xlfn.NORM.INV(B776,LN($C$9),$E$9/$C$9)),"Uniforme",$B$9+($D$9-$B$9)*B776,"Triangular",IF(B776&lt;=($C$9-$B$9)/($D$9-$B$9),$B$9+SQRT(B776*($D$9-$B$9)*($C$9-$B$9)),$D$9-SQRT((1-B776)*($D$9-$B$9)*($D$9-$C$9))),"PERT",_xlfn.BETA.INV(B776,1+$B$6*($C$9-$B$9)/($D$9-$B$9),1+$B$6*($D$9-$C$9)/($D$9-$B$9),$B$9,$D$9))</f>
        <v>2.0904096545836106</v>
      </c>
      <c r="E776" s="94" cm="1">
        <f t="array" aca="1" ref="E776" ca="1">_xlfn.SWITCH($B$4,"Normal MLE",EXP(_xlfn.NORM.INV(C776,LN($C$10),$E$10/$C$10)),"Uniforme",$B$10+($D$10-$B$10)*C776,"Triangular",IF(C776&lt;=($C$10-$B$10)/($D$10-$B$10),$B$10+SQRT(C776*($D$10-$B$10)*($C$10-$B$10)),$D$10-SQRT((1-C776)*($D$10-$B$10)*($D$10-$C$10))),"PERT",_xlfn.BETA.INV(C776,1+$B$6*($C$10-$B$10)/($D$10-$B$10),1+$B$6*($D$10-$C$10)/($D$10-$B$10),$B$10,$D$10))</f>
        <v>5021.9655097067516</v>
      </c>
      <c r="F776" s="88">
        <f t="shared" ca="1" si="34"/>
        <v>0.53713990708588866</v>
      </c>
      <c r="G776" s="89">
        <f t="shared" ca="1" si="35"/>
        <v>1.7446071440753354E-4</v>
      </c>
    </row>
    <row r="777" spans="1:7" x14ac:dyDescent="0.35">
      <c r="A777" s="84">
        <v>762</v>
      </c>
      <c r="B777" s="84">
        <f t="shared" ca="1" si="33"/>
        <v>0.16345299627816479</v>
      </c>
      <c r="C777" s="84">
        <f t="shared" ca="1" si="33"/>
        <v>7.945311194972049E-2</v>
      </c>
      <c r="D777" s="93" cm="1">
        <f t="array" aca="1" ref="D777" ca="1">_xlfn.SWITCH($B$4,"Normal MLE",EXP(_xlfn.NORM.INV(B777,LN($C$9),$E$9/$C$9)),"Uniforme",$B$9+($D$9-$B$9)*B777,"Triangular",IF(B777&lt;=($C$9-$B$9)/($D$9-$B$9),$B$9+SQRT(B777*($D$9-$B$9)*($C$9-$B$9)),$D$9-SQRT((1-B777)*($D$9-$B$9)*($D$9-$C$9))),"PERT",_xlfn.BETA.INV(B777,1+$B$6*($C$9-$B$9)/($D$9-$B$9),1+$B$6*($D$9-$C$9)/($D$9-$B$9),$B$9,$D$9))</f>
        <v>1.8177509260825737</v>
      </c>
      <c r="E777" s="94" cm="1">
        <f t="array" aca="1" ref="E777" ca="1">_xlfn.SWITCH($B$4,"Normal MLE",EXP(_xlfn.NORM.INV(C777,LN($C$10),$E$10/$C$10)),"Uniforme",$B$10+($D$10-$B$10)*C777,"Triangular",IF(C777&lt;=($C$10-$B$10)/($D$10-$B$10),$B$10+SQRT(C777*($D$10-$B$10)*($C$10-$B$10)),$D$10-SQRT((1-C777)*($D$10-$B$10)*($D$10-$C$10))),"PERT",_xlfn.BETA.INV(C777,1+$B$6*($C$10-$B$10)/($D$10-$B$10),1+$B$6*($D$10-$C$10)/($D$10-$B$10),$B$10,$D$10))</f>
        <v>4776.1795415929837</v>
      </c>
      <c r="F777" s="88">
        <f t="shared" ca="1" si="34"/>
        <v>0.48460135100679019</v>
      </c>
      <c r="G777" s="89">
        <f t="shared" ca="1" si="35"/>
        <v>1.5953450937523895E-4</v>
      </c>
    </row>
    <row r="778" spans="1:7" x14ac:dyDescent="0.35">
      <c r="A778" s="84">
        <v>763</v>
      </c>
      <c r="B778" s="84">
        <f t="shared" ca="1" si="33"/>
        <v>0.67892256971412634</v>
      </c>
      <c r="C778" s="84">
        <f t="shared" ca="1" si="33"/>
        <v>0.94022248019593802</v>
      </c>
      <c r="D778" s="93" cm="1">
        <f t="array" aca="1" ref="D778" ca="1">_xlfn.SWITCH($B$4,"Normal MLE",EXP(_xlfn.NORM.INV(B778,LN($C$9),$E$9/$C$9)),"Uniforme",$B$9+($D$9-$B$9)*B778,"Triangular",IF(B778&lt;=($C$9-$B$9)/($D$9-$B$9),$B$9+SQRT(B778*($D$9-$B$9)*($C$9-$B$9)),$D$9-SQRT((1-B778)*($D$9-$B$9)*($D$9-$C$9))),"PERT",_xlfn.BETA.INV(B778,1+$B$6*($C$9-$B$9)/($D$9-$B$9),1+$B$6*($D$9-$C$9)/($D$9-$B$9),$B$9,$D$9))</f>
        <v>2.0124640329473626</v>
      </c>
      <c r="E778" s="94" cm="1">
        <f t="array" aca="1" ref="E778" ca="1">_xlfn.SWITCH($B$4,"Normal MLE",EXP(_xlfn.NORM.INV(C778,LN($C$10),$E$10/$C$10)),"Uniforme",$B$10+($D$10-$B$10)*C778,"Triangular",IF(C778&lt;=($C$10-$B$10)/($D$10-$B$10),$B$10+SQRT(C778*($D$10-$B$10)*($C$10-$B$10)),$D$10-SQRT((1-C778)*($D$10-$B$10)*($D$10-$C$10))),"PERT",_xlfn.BETA.INV(C778,1+$B$6*($C$10-$B$10)/($D$10-$B$10),1+$B$6*($D$10-$C$10)/($D$10-$B$10),$B$10,$D$10))</f>
        <v>5482.8988496837956</v>
      </c>
      <c r="F778" s="88">
        <f t="shared" ca="1" si="34"/>
        <v>0.58852114207846451</v>
      </c>
      <c r="G778" s="89">
        <f t="shared" ca="1" si="35"/>
        <v>1.5697220811978357E-4</v>
      </c>
    </row>
    <row r="779" spans="1:7" x14ac:dyDescent="0.35">
      <c r="A779" s="84">
        <v>764</v>
      </c>
      <c r="B779" s="84">
        <f t="shared" ca="1" si="33"/>
        <v>0.12755634435743202</v>
      </c>
      <c r="C779" s="84">
        <f t="shared" ca="1" si="33"/>
        <v>0.92972266275307769</v>
      </c>
      <c r="D779" s="93" cm="1">
        <f t="array" aca="1" ref="D779" ca="1">_xlfn.SWITCH($B$4,"Normal MLE",EXP(_xlfn.NORM.INV(B779,LN($C$9),$E$9/$C$9)),"Uniforme",$B$9+($D$9-$B$9)*B779,"Triangular",IF(B779&lt;=($C$9-$B$9)/($D$9-$B$9),$B$9+SQRT(B779*($D$9-$B$9)*($C$9-$B$9)),$D$9-SQRT((1-B779)*($D$9-$B$9)*($D$9-$C$9))),"PERT",_xlfn.BETA.INV(B779,1+$B$6*($C$9-$B$9)/($D$9-$B$9),1+$B$6*($D$9-$C$9)/($D$9-$B$9),$B$9,$D$9))</f>
        <v>1.797682062307921</v>
      </c>
      <c r="E779" s="94" cm="1">
        <f t="array" aca="1" ref="E779" ca="1">_xlfn.SWITCH($B$4,"Normal MLE",EXP(_xlfn.NORM.INV(C779,LN($C$10),$E$10/$C$10)),"Uniforme",$B$10+($D$10-$B$10)*C779,"Triangular",IF(C779&lt;=($C$10-$B$10)/($D$10-$B$10),$B$10+SQRT(C779*($D$10-$B$10)*($C$10-$B$10)),$D$10-SQRT((1-C779)*($D$10-$B$10)*($D$10-$C$10))),"PERT",_xlfn.BETA.INV(C779,1+$B$6*($C$10-$B$10)/($D$10-$B$10),1+$B$6*($D$10-$C$10)/($D$10-$B$10),$B$10,$D$10))</f>
        <v>5461.7843521238919</v>
      </c>
      <c r="F779" s="88">
        <f t="shared" ca="1" si="34"/>
        <v>0.56482406906284155</v>
      </c>
      <c r="G779" s="89">
        <f t="shared" ca="1" si="35"/>
        <v>1.4500582322707808E-4</v>
      </c>
    </row>
    <row r="780" spans="1:7" x14ac:dyDescent="0.35">
      <c r="A780" s="84">
        <v>765</v>
      </c>
      <c r="B780" s="84">
        <f t="shared" ca="1" si="33"/>
        <v>0.69322761032593117</v>
      </c>
      <c r="C780" s="84">
        <f t="shared" ca="1" si="33"/>
        <v>0.20257165314611969</v>
      </c>
      <c r="D780" s="93" cm="1">
        <f t="array" aca="1" ref="D780" ca="1">_xlfn.SWITCH($B$4,"Normal MLE",EXP(_xlfn.NORM.INV(B780,LN($C$9),$E$9/$C$9)),"Uniforme",$B$9+($D$9-$B$9)*B780,"Triangular",IF(B780&lt;=($C$9-$B$9)/($D$9-$B$9),$B$9+SQRT(B780*($D$9-$B$9)*($C$9-$B$9)),$D$9-SQRT((1-B780)*($D$9-$B$9)*($D$9-$C$9))),"PERT",_xlfn.BETA.INV(B780,1+$B$6*($C$9-$B$9)/($D$9-$B$9),1+$B$6*($D$9-$C$9)/($D$9-$B$9),$B$9,$D$9))</f>
        <v>2.018187867258777</v>
      </c>
      <c r="E780" s="94" cm="1">
        <f t="array" aca="1" ref="E780" ca="1">_xlfn.SWITCH($B$4,"Normal MLE",EXP(_xlfn.NORM.INV(C780,LN($C$10),$E$10/$C$10)),"Uniforme",$B$10+($D$10-$B$10)*C780,"Triangular",IF(C780&lt;=($C$10-$B$10)/($D$10-$B$10),$B$10+SQRT(C780*($D$10-$B$10)*($C$10-$B$10)),$D$10-SQRT((1-C780)*($D$10-$B$10)*($D$10-$C$10))),"PERT",_xlfn.BETA.INV(C780,1+$B$6*($C$10-$B$10)/($D$10-$B$10),1+$B$6*($D$10-$C$10)/($D$10-$B$10),$B$10,$D$10))</f>
        <v>4905.9962112325702</v>
      </c>
      <c r="F780" s="88">
        <f t="shared" ca="1" si="34"/>
        <v>0.51566540270634931</v>
      </c>
      <c r="G780" s="89">
        <f t="shared" ca="1" si="35"/>
        <v>1.7231476506912821E-4</v>
      </c>
    </row>
    <row r="781" spans="1:7" x14ac:dyDescent="0.35">
      <c r="A781" s="84">
        <v>766</v>
      </c>
      <c r="B781" s="84">
        <f t="shared" ca="1" si="33"/>
        <v>0.79667150189949765</v>
      </c>
      <c r="C781" s="84">
        <f t="shared" ca="1" si="33"/>
        <v>0.67822479458661056</v>
      </c>
      <c r="D781" s="93" cm="1">
        <f t="array" aca="1" ref="D781" ca="1">_xlfn.SWITCH($B$4,"Normal MLE",EXP(_xlfn.NORM.INV(B781,LN($C$9),$E$9/$C$9)),"Uniforme",$B$9+($D$9-$B$9)*B781,"Triangular",IF(B781&lt;=($C$9-$B$9)/($D$9-$B$9),$B$9+SQRT(B781*($D$9-$B$9)*($C$9-$B$9)),$D$9-SQRT((1-B781)*($D$9-$B$9)*($D$9-$C$9))),"PERT",_xlfn.BETA.INV(B781,1+$B$6*($C$9-$B$9)/($D$9-$B$9),1+$B$6*($D$9-$C$9)/($D$9-$B$9),$B$9,$D$9))</f>
        <v>2.0648760725626927</v>
      </c>
      <c r="E781" s="94" cm="1">
        <f t="array" aca="1" ref="E781" ca="1">_xlfn.SWITCH($B$4,"Normal MLE",EXP(_xlfn.NORM.INV(C781,LN($C$10),$E$10/$C$10)),"Uniforme",$B$10+($D$10-$B$10)*C781,"Triangular",IF(C781&lt;=($C$10-$B$10)/($D$10-$B$10),$B$10+SQRT(C781*($D$10-$B$10)*($C$10-$B$10)),$D$10-SQRT((1-C781)*($D$10-$B$10)*($D$10-$C$10))),"PERT",_xlfn.BETA.INV(C781,1+$B$6*($C$10-$B$10)/($D$10-$B$10),1+$B$6*($D$10-$C$10)/($D$10-$B$10),$B$10,$D$10))</f>
        <v>5210.7818749579365</v>
      </c>
      <c r="F781" s="88">
        <f t="shared" ca="1" si="34"/>
        <v>0.5603202444161719</v>
      </c>
      <c r="G781" s="89">
        <f t="shared" ca="1" si="35"/>
        <v>1.6754595712442961E-4</v>
      </c>
    </row>
    <row r="782" spans="1:7" x14ac:dyDescent="0.35">
      <c r="A782" s="84">
        <v>767</v>
      </c>
      <c r="B782" s="84">
        <f t="shared" ca="1" si="33"/>
        <v>0.44443826716769441</v>
      </c>
      <c r="C782" s="84">
        <f t="shared" ca="1" si="33"/>
        <v>0.9688481028132101</v>
      </c>
      <c r="D782" s="93" cm="1">
        <f t="array" aca="1" ref="D782" ca="1">_xlfn.SWITCH($B$4,"Normal MLE",EXP(_xlfn.NORM.INV(B782,LN($C$9),$E$9/$C$9)),"Uniforme",$B$9+($D$9-$B$9)*B782,"Triangular",IF(B782&lt;=($C$9-$B$9)/($D$9-$B$9),$B$9+SQRT(B782*($D$9-$B$9)*($C$9-$B$9)),$D$9-SQRT((1-B782)*($D$9-$B$9)*($D$9-$C$9))),"PERT",_xlfn.BETA.INV(B782,1+$B$6*($C$9-$B$9)/($D$9-$B$9),1+$B$6*($D$9-$C$9)/($D$9-$B$9),$B$9,$D$9))</f>
        <v>1.9286057683331244</v>
      </c>
      <c r="E782" s="94" cm="1">
        <f t="array" aca="1" ref="E782" ca="1">_xlfn.SWITCH($B$4,"Normal MLE",EXP(_xlfn.NORM.INV(C782,LN($C$10),$E$10/$C$10)),"Uniforme",$B$10+($D$10-$B$10)*C782,"Triangular",IF(C782&lt;=($C$10-$B$10)/($D$10-$B$10),$B$10+SQRT(C782*($D$10-$B$10)*($C$10-$B$10)),$D$10-SQRT((1-C782)*($D$10-$B$10)*($D$10-$C$10))),"PERT",_xlfn.BETA.INV(C782,1+$B$6*($C$10-$B$10)/($D$10-$B$10),1+$B$6*($D$10-$C$10)/($D$10-$B$10),$B$10,$D$10))</f>
        <v>5561.9150432836241</v>
      </c>
      <c r="F782" s="88">
        <f t="shared" ca="1" si="34"/>
        <v>0.58888037171418961</v>
      </c>
      <c r="G782" s="89">
        <f t="shared" ca="1" si="35"/>
        <v>1.5034982928301477E-4</v>
      </c>
    </row>
    <row r="783" spans="1:7" x14ac:dyDescent="0.35">
      <c r="A783" s="84">
        <v>768</v>
      </c>
      <c r="B783" s="84">
        <f t="shared" ca="1" si="33"/>
        <v>0.61415020340912174</v>
      </c>
      <c r="C783" s="84">
        <f t="shared" ca="1" si="33"/>
        <v>0.22575680655104169</v>
      </c>
      <c r="D783" s="93" cm="1">
        <f t="array" aca="1" ref="D783" ca="1">_xlfn.SWITCH($B$4,"Normal MLE",EXP(_xlfn.NORM.INV(B783,LN($C$9),$E$9/$C$9)),"Uniforme",$B$9+($D$9-$B$9)*B783,"Triangular",IF(B783&lt;=($C$9-$B$9)/($D$9-$B$9),$B$9+SQRT(B783*($D$9-$B$9)*($C$9-$B$9)),$D$9-SQRT((1-B783)*($D$9-$B$9)*($D$9-$C$9))),"PERT",_xlfn.BETA.INV(B783,1+$B$6*($C$9-$B$9)/($D$9-$B$9),1+$B$6*($D$9-$C$9)/($D$9-$B$9),$B$9,$D$9))</f>
        <v>1.9878808145395084</v>
      </c>
      <c r="E783" s="94" cm="1">
        <f t="array" aca="1" ref="E783" ca="1">_xlfn.SWITCH($B$4,"Normal MLE",EXP(_xlfn.NORM.INV(C783,LN($C$10),$E$10/$C$10)),"Uniforme",$B$10+($D$10-$B$10)*C783,"Triangular",IF(C783&lt;=($C$10-$B$10)/($D$10-$B$10),$B$10+SQRT(C783*($D$10-$B$10)*($C$10-$B$10)),$D$10-SQRT((1-C783)*($D$10-$B$10)*($D$10-$C$10))),"PERT",_xlfn.BETA.INV(C783,1+$B$6*($C$10-$B$10)/($D$10-$B$10),1+$B$6*($D$10-$C$10)/($D$10-$B$10),$B$10,$D$10))</f>
        <v>4924.197019916578</v>
      </c>
      <c r="F783" s="88">
        <f t="shared" ca="1" si="34"/>
        <v>0.516066139214717</v>
      </c>
      <c r="G783" s="89">
        <f t="shared" ca="1" si="35"/>
        <v>1.6965978833281654E-4</v>
      </c>
    </row>
    <row r="784" spans="1:7" x14ac:dyDescent="0.35">
      <c r="A784" s="84">
        <v>769</v>
      </c>
      <c r="B784" s="84">
        <f t="shared" ca="1" si="33"/>
        <v>0.10810703171656044</v>
      </c>
      <c r="C784" s="84">
        <f t="shared" ca="1" si="33"/>
        <v>0.82096610909914502</v>
      </c>
      <c r="D784" s="93" cm="1">
        <f t="array" aca="1" ref="D784" ca="1">_xlfn.SWITCH($B$4,"Normal MLE",EXP(_xlfn.NORM.INV(B784,LN($C$9),$E$9/$C$9)),"Uniforme",$B$9+($D$9-$B$9)*B784,"Triangular",IF(B784&lt;=($C$9-$B$9)/($D$9-$B$9),$B$9+SQRT(B784*($D$9-$B$9)*($C$9-$B$9)),$D$9-SQRT((1-B784)*($D$9-$B$9)*($D$9-$C$9))),"PERT",_xlfn.BETA.INV(B784,1+$B$6*($C$9-$B$9)/($D$9-$B$9),1+$B$6*($D$9-$C$9)/($D$9-$B$9),$B$9,$D$9))</f>
        <v>1.7852383915302954</v>
      </c>
      <c r="E784" s="94" cm="1">
        <f t="array" aca="1" ref="E784" ca="1">_xlfn.SWITCH($B$4,"Normal MLE",EXP(_xlfn.NORM.INV(C784,LN($C$10),$E$10/$C$10)),"Uniforme",$B$10+($D$10-$B$10)*C784,"Triangular",IF(C784&lt;=($C$10-$B$10)/($D$10-$B$10),$B$10+SQRT(C784*($D$10-$B$10)*($C$10-$B$10)),$D$10-SQRT((1-C784)*($D$10-$B$10)*($D$10-$C$10))),"PERT",_xlfn.BETA.INV(C784,1+$B$6*($C$10-$B$10)/($D$10-$B$10),1+$B$6*($D$10-$C$10)/($D$10-$B$10),$B$10,$D$10))</f>
        <v>5322.6117126423896</v>
      </c>
      <c r="F784" s="88">
        <f t="shared" ca="1" si="34"/>
        <v>0.54853596776193625</v>
      </c>
      <c r="G784" s="89">
        <f t="shared" ca="1" si="35"/>
        <v>1.4701312283497232E-4</v>
      </c>
    </row>
    <row r="785" spans="1:7" x14ac:dyDescent="0.35">
      <c r="A785" s="84">
        <v>770</v>
      </c>
      <c r="B785" s="84">
        <f t="shared" ref="B785:C848" ca="1" si="36">RAND()</f>
        <v>0.93539591194374172</v>
      </c>
      <c r="C785" s="84">
        <f t="shared" ca="1" si="36"/>
        <v>0.90632376151946548</v>
      </c>
      <c r="D785" s="93" cm="1">
        <f t="array" aca="1" ref="D785" ca="1">_xlfn.SWITCH($B$4,"Normal MLE",EXP(_xlfn.NORM.INV(B785,LN($C$9),$E$9/$C$9)),"Uniforme",$B$9+($D$9-$B$9)*B785,"Triangular",IF(B785&lt;=($C$9-$B$9)/($D$9-$B$9),$B$9+SQRT(B785*($D$9-$B$9)*($C$9-$B$9)),$D$9-SQRT((1-B785)*($D$9-$B$9)*($D$9-$C$9))),"PERT",_xlfn.BETA.INV(B785,1+$B$6*($C$9-$B$9)/($D$9-$B$9),1+$B$6*($D$9-$C$9)/($D$9-$B$9),$B$9,$D$9))</f>
        <v>2.1672941078319892</v>
      </c>
      <c r="E785" s="94" cm="1">
        <f t="array" aca="1" ref="E785" ca="1">_xlfn.SWITCH($B$4,"Normal MLE",EXP(_xlfn.NORM.INV(C785,LN($C$10),$E$10/$C$10)),"Uniforme",$B$10+($D$10-$B$10)*C785,"Triangular",IF(C785&lt;=($C$10-$B$10)/($D$10-$B$10),$B$10+SQRT(C785*($D$10-$B$10)*($C$10-$B$10)),$D$10-SQRT((1-C785)*($D$10-$B$10)*($D$10-$C$10))),"PERT",_xlfn.BETA.INV(C785,1+$B$6*($C$10-$B$10)/($D$10-$B$10),1+$B$6*($D$10-$C$10)/($D$10-$B$10),$B$10,$D$10))</f>
        <v>5422.4613681036581</v>
      </c>
      <c r="F785" s="88">
        <f t="shared" ref="F785:F848" ca="1" si="37">EXP(-POWER($B$12/E785,D785))</f>
        <v>0.5962138931345915</v>
      </c>
      <c r="G785" s="89">
        <f t="shared" ref="G785:G848" ca="1" si="38">(D785/E785)*POWER($B$12/E785,D785-1)*EXP(-POWER($B$12/E785,D785))</f>
        <v>1.6706341184915201E-4</v>
      </c>
    </row>
    <row r="786" spans="1:7" x14ac:dyDescent="0.35">
      <c r="A786" s="84">
        <v>771</v>
      </c>
      <c r="B786" s="84">
        <f t="shared" ca="1" si="36"/>
        <v>0.19226408199372602</v>
      </c>
      <c r="C786" s="84">
        <f t="shared" ca="1" si="36"/>
        <v>0.16248051455364876</v>
      </c>
      <c r="D786" s="93" cm="1">
        <f t="array" aca="1" ref="D786" ca="1">_xlfn.SWITCH($B$4,"Normal MLE",EXP(_xlfn.NORM.INV(B786,LN($C$9),$E$9/$C$9)),"Uniforme",$B$9+($D$9-$B$9)*B786,"Triangular",IF(B786&lt;=($C$9-$B$9)/($D$9-$B$9),$B$9+SQRT(B786*($D$9-$B$9)*($C$9-$B$9)),$D$9-SQRT((1-B786)*($D$9-$B$9)*($D$9-$C$9))),"PERT",_xlfn.BETA.INV(B786,1+$B$6*($C$9-$B$9)/($D$9-$B$9),1+$B$6*($D$9-$C$9)/($D$9-$B$9),$B$9,$D$9))</f>
        <v>1.8319869977985306</v>
      </c>
      <c r="E786" s="94" cm="1">
        <f t="array" aca="1" ref="E786" ca="1">_xlfn.SWITCH($B$4,"Normal MLE",EXP(_xlfn.NORM.INV(C786,LN($C$10),$E$10/$C$10)),"Uniforme",$B$10+($D$10-$B$10)*C786,"Triangular",IF(C786&lt;=($C$10-$B$10)/($D$10-$B$10),$B$10+SQRT(C786*($D$10-$B$10)*($C$10-$B$10)),$D$10-SQRT((1-C786)*($D$10-$B$10)*($D$10-$C$10))),"PERT",_xlfn.BETA.INV(C786,1+$B$6*($C$10-$B$10)/($D$10-$B$10),1+$B$6*($D$10-$C$10)/($D$10-$B$10),$B$10,$D$10))</f>
        <v>4871.4529576382556</v>
      </c>
      <c r="F786" s="88">
        <f t="shared" ca="1" si="37"/>
        <v>0.49811579087319363</v>
      </c>
      <c r="G786" s="89">
        <f t="shared" ca="1" si="38"/>
        <v>1.5899275196376504E-4</v>
      </c>
    </row>
    <row r="787" spans="1:7" x14ac:dyDescent="0.35">
      <c r="A787" s="84">
        <v>772</v>
      </c>
      <c r="B787" s="84">
        <f t="shared" ca="1" si="36"/>
        <v>0.25774430978269558</v>
      </c>
      <c r="C787" s="84">
        <f t="shared" ca="1" si="36"/>
        <v>0.72693145164876682</v>
      </c>
      <c r="D787" s="93" cm="1">
        <f t="array" aca="1" ref="D787" ca="1">_xlfn.SWITCH($B$4,"Normal MLE",EXP(_xlfn.NORM.INV(B787,LN($C$9),$E$9/$C$9)),"Uniforme",$B$9+($D$9-$B$9)*B787,"Triangular",IF(B787&lt;=($C$9-$B$9)/($D$9-$B$9),$B$9+SQRT(B787*($D$9-$B$9)*($C$9-$B$9)),$D$9-SQRT((1-B787)*($D$9-$B$9)*($D$9-$C$9))),"PERT",_xlfn.BETA.INV(B787,1+$B$6*($C$9-$B$9)/($D$9-$B$9),1+$B$6*($D$9-$C$9)/($D$9-$B$9),$B$9,$D$9))</f>
        <v>1.8604937539782056</v>
      </c>
      <c r="E787" s="94" cm="1">
        <f t="array" aca="1" ref="E787" ca="1">_xlfn.SWITCH($B$4,"Normal MLE",EXP(_xlfn.NORM.INV(C787,LN($C$10),$E$10/$C$10)),"Uniforme",$B$10+($D$10-$B$10)*C787,"Triangular",IF(C787&lt;=($C$10-$B$10)/($D$10-$B$10),$B$10+SQRT(C787*($D$10-$B$10)*($C$10-$B$10)),$D$10-SQRT((1-C787)*($D$10-$B$10)*($D$10-$C$10))),"PERT",_xlfn.BETA.INV(C787,1+$B$6*($C$10-$B$10)/($D$10-$B$10),1+$B$6*($D$10-$C$10)/($D$10-$B$10),$B$10,$D$10))</f>
        <v>5245.0396058593415</v>
      </c>
      <c r="F787" s="88">
        <f t="shared" ca="1" si="37"/>
        <v>0.54661787005769114</v>
      </c>
      <c r="G787" s="89">
        <f t="shared" ca="1" si="38"/>
        <v>1.535651998698914E-4</v>
      </c>
    </row>
    <row r="788" spans="1:7" x14ac:dyDescent="0.35">
      <c r="A788" s="84">
        <v>773</v>
      </c>
      <c r="B788" s="84">
        <f t="shared" ca="1" si="36"/>
        <v>0.3482917181618409</v>
      </c>
      <c r="C788" s="84">
        <f t="shared" ca="1" si="36"/>
        <v>0.72735057571215966</v>
      </c>
      <c r="D788" s="93" cm="1">
        <f t="array" aca="1" ref="D788" ca="1">_xlfn.SWITCH($B$4,"Normal MLE",EXP(_xlfn.NORM.INV(B788,LN($C$9),$E$9/$C$9)),"Uniforme",$B$9+($D$9-$B$9)*B788,"Triangular",IF(B788&lt;=($C$9-$B$9)/($D$9-$B$9),$B$9+SQRT(B788*($D$9-$B$9)*($C$9-$B$9)),$D$9-SQRT((1-B788)*($D$9-$B$9)*($D$9-$C$9))),"PERT",_xlfn.BETA.INV(B788,1+$B$6*($C$9-$B$9)/($D$9-$B$9),1+$B$6*($D$9-$C$9)/($D$9-$B$9),$B$9,$D$9))</f>
        <v>1.8949219284909109</v>
      </c>
      <c r="E788" s="94" cm="1">
        <f t="array" aca="1" ref="E788" ca="1">_xlfn.SWITCH($B$4,"Normal MLE",EXP(_xlfn.NORM.INV(C788,LN($C$10),$E$10/$C$10)),"Uniforme",$B$10+($D$10-$B$10)*C788,"Triangular",IF(C788&lt;=($C$10-$B$10)/($D$10-$B$10),$B$10+SQRT(C788*($D$10-$B$10)*($C$10-$B$10)),$D$10-SQRT((1-C788)*($D$10-$B$10)*($D$10-$C$10))),"PERT",_xlfn.BETA.INV(C788,1+$B$6*($C$10-$B$10)/($D$10-$B$10),1+$B$6*($D$10-$C$10)/($D$10-$B$10),$B$10,$D$10))</f>
        <v>5245.3473824921757</v>
      </c>
      <c r="F788" s="88">
        <f t="shared" ca="1" si="37"/>
        <v>0.54972900738728836</v>
      </c>
      <c r="G788" s="89">
        <f t="shared" ca="1" si="38"/>
        <v>1.5581908286222944E-4</v>
      </c>
    </row>
    <row r="789" spans="1:7" x14ac:dyDescent="0.35">
      <c r="A789" s="84">
        <v>774</v>
      </c>
      <c r="B789" s="84">
        <f t="shared" ca="1" si="36"/>
        <v>0.32162741944553264</v>
      </c>
      <c r="C789" s="84">
        <f t="shared" ca="1" si="36"/>
        <v>4.3021757221316848E-2</v>
      </c>
      <c r="D789" s="93" cm="1">
        <f t="array" aca="1" ref="D789" ca="1">_xlfn.SWITCH($B$4,"Normal MLE",EXP(_xlfn.NORM.INV(B789,LN($C$9),$E$9/$C$9)),"Uniforme",$B$9+($D$9-$B$9)*B789,"Triangular",IF(B789&lt;=($C$9-$B$9)/($D$9-$B$9),$B$9+SQRT(B789*($D$9-$B$9)*($C$9-$B$9)),$D$9-SQRT((1-B789)*($D$9-$B$9)*($D$9-$C$9))),"PERT",_xlfn.BETA.INV(B789,1+$B$6*($C$9-$B$9)/($D$9-$B$9),1+$B$6*($D$9-$C$9)/($D$9-$B$9),$B$9,$D$9))</f>
        <v>1.8851771424049135</v>
      </c>
      <c r="E789" s="94" cm="1">
        <f t="array" aca="1" ref="E789" ca="1">_xlfn.SWITCH($B$4,"Normal MLE",EXP(_xlfn.NORM.INV(C789,LN($C$10),$E$10/$C$10)),"Uniforme",$B$10+($D$10-$B$10)*C789,"Triangular",IF(C789&lt;=($C$10-$B$10)/($D$10-$B$10),$B$10+SQRT(C789*($D$10-$B$10)*($C$10-$B$10)),$D$10-SQRT((1-C789)*($D$10-$B$10)*($D$10-$C$10))),"PERT",_xlfn.BETA.INV(C789,1+$B$6*($C$10-$B$10)/($D$10-$B$10),1+$B$6*($D$10-$C$10)/($D$10-$B$10),$B$10,$D$10))</f>
        <v>4708.2373657040016</v>
      </c>
      <c r="F789" s="88">
        <f t="shared" ca="1" si="37"/>
        <v>0.47930644920351861</v>
      </c>
      <c r="G789" s="89">
        <f t="shared" ca="1" si="38"/>
        <v>1.6612614976464624E-4</v>
      </c>
    </row>
    <row r="790" spans="1:7" x14ac:dyDescent="0.35">
      <c r="A790" s="84">
        <v>775</v>
      </c>
      <c r="B790" s="84">
        <f t="shared" ca="1" si="36"/>
        <v>3.7507446192054039E-2</v>
      </c>
      <c r="C790" s="84">
        <f t="shared" ca="1" si="36"/>
        <v>0.99034203962609546</v>
      </c>
      <c r="D790" s="93" cm="1">
        <f t="array" aca="1" ref="D790" ca="1">_xlfn.SWITCH($B$4,"Normal MLE",EXP(_xlfn.NORM.INV(B790,LN($C$9),$E$9/$C$9)),"Uniforme",$B$9+($D$9-$B$9)*B790,"Triangular",IF(B790&lt;=($C$9-$B$9)/($D$9-$B$9),$B$9+SQRT(B790*($D$9-$B$9)*($C$9-$B$9)),$D$9-SQRT((1-B790)*($D$9-$B$9)*($D$9-$C$9))),"PERT",_xlfn.BETA.INV(B790,1+$B$6*($C$9-$B$9)/($D$9-$B$9),1+$B$6*($D$9-$C$9)/($D$9-$B$9),$B$9,$D$9))</f>
        <v>1.7181769523223567</v>
      </c>
      <c r="E790" s="94" cm="1">
        <f t="array" aca="1" ref="E790" ca="1">_xlfn.SWITCH($B$4,"Normal MLE",EXP(_xlfn.NORM.INV(C790,LN($C$10),$E$10/$C$10)),"Uniforme",$B$10+($D$10-$B$10)*C790,"Triangular",IF(C790&lt;=($C$10-$B$10)/($D$10-$B$10),$B$10+SQRT(C790*($D$10-$B$10)*($C$10-$B$10)),$D$10-SQRT((1-C790)*($D$10-$B$10)*($D$10-$C$10))),"PERT",_xlfn.BETA.INV(C790,1+$B$6*($C$10-$B$10)/($D$10-$B$10),1+$B$6*($D$10-$C$10)/($D$10-$B$10),$B$10,$D$10))</f>
        <v>5686.2892919561136</v>
      </c>
      <c r="F790" s="88">
        <f t="shared" ca="1" si="37"/>
        <v>0.57902678161782661</v>
      </c>
      <c r="G790" s="89">
        <f t="shared" ca="1" si="38"/>
        <v>1.3590093481721821E-4</v>
      </c>
    </row>
    <row r="791" spans="1:7" x14ac:dyDescent="0.35">
      <c r="A791" s="84">
        <v>776</v>
      </c>
      <c r="B791" s="84">
        <f t="shared" ca="1" si="36"/>
        <v>0.37167600713063964</v>
      </c>
      <c r="C791" s="84">
        <f t="shared" ca="1" si="36"/>
        <v>0.59293393140945205</v>
      </c>
      <c r="D791" s="93" cm="1">
        <f t="array" aca="1" ref="D791" ca="1">_xlfn.SWITCH($B$4,"Normal MLE",EXP(_xlfn.NORM.INV(B791,LN($C$9),$E$9/$C$9)),"Uniforme",$B$9+($D$9-$B$9)*B791,"Triangular",IF(B791&lt;=($C$9-$B$9)/($D$9-$B$9),$B$9+SQRT(B791*($D$9-$B$9)*($C$9-$B$9)),$D$9-SQRT((1-B791)*($D$9-$B$9)*($D$9-$C$9))),"PERT",_xlfn.BETA.INV(B791,1+$B$6*($C$9-$B$9)/($D$9-$B$9),1+$B$6*($D$9-$C$9)/($D$9-$B$9),$B$9,$D$9))</f>
        <v>1.903282809135511</v>
      </c>
      <c r="E791" s="94" cm="1">
        <f t="array" aca="1" ref="E791" ca="1">_xlfn.SWITCH($B$4,"Normal MLE",EXP(_xlfn.NORM.INV(C791,LN($C$10),$E$10/$C$10)),"Uniforme",$B$10+($D$10-$B$10)*C791,"Triangular",IF(C791&lt;=($C$10-$B$10)/($D$10-$B$10),$B$10+SQRT(C791*($D$10-$B$10)*($C$10-$B$10)),$D$10-SQRT((1-C791)*($D$10-$B$10)*($D$10-$C$10))),"PERT",_xlfn.BETA.INV(C791,1+$B$6*($C$10-$B$10)/($D$10-$B$10),1+$B$6*($D$10-$C$10)/($D$10-$B$10),$B$10,$D$10))</f>
        <v>5155.8746133069089</v>
      </c>
      <c r="F791" s="88">
        <f t="shared" ca="1" si="37"/>
        <v>0.53964312864923636</v>
      </c>
      <c r="G791" s="89">
        <f t="shared" ca="1" si="38"/>
        <v>1.5838994373486911E-4</v>
      </c>
    </row>
    <row r="792" spans="1:7" x14ac:dyDescent="0.35">
      <c r="A792" s="84">
        <v>777</v>
      </c>
      <c r="B792" s="84">
        <f t="shared" ca="1" si="36"/>
        <v>0.1963750232330409</v>
      </c>
      <c r="C792" s="84">
        <f t="shared" ca="1" si="36"/>
        <v>0.80473312352389803</v>
      </c>
      <c r="D792" s="93" cm="1">
        <f t="array" aca="1" ref="D792" ca="1">_xlfn.SWITCH($B$4,"Normal MLE",EXP(_xlfn.NORM.INV(B792,LN($C$9),$E$9/$C$9)),"Uniforme",$B$9+($D$9-$B$9)*B792,"Triangular",IF(B792&lt;=($C$9-$B$9)/($D$9-$B$9),$B$9+SQRT(B792*($D$9-$B$9)*($C$9-$B$9)),$D$9-SQRT((1-B792)*($D$9-$B$9)*($D$9-$C$9))),"PERT",_xlfn.BETA.INV(B792,1+$B$6*($C$9-$B$9)/($D$9-$B$9),1+$B$6*($D$9-$C$9)/($D$9-$B$9),$B$9,$D$9))</f>
        <v>1.8339157117651554</v>
      </c>
      <c r="E792" s="94" cm="1">
        <f t="array" aca="1" ref="E792" ca="1">_xlfn.SWITCH($B$4,"Normal MLE",EXP(_xlfn.NORM.INV(C792,LN($C$10),$E$10/$C$10)),"Uniforme",$B$10+($D$10-$B$10)*C792,"Triangular",IF(C792&lt;=($C$10-$B$10)/($D$10-$B$10),$B$10+SQRT(C792*($D$10-$B$10)*($C$10-$B$10)),$D$10-SQRT((1-C792)*($D$10-$B$10)*($D$10-$C$10))),"PERT",_xlfn.BETA.INV(C792,1+$B$6*($C$10-$B$10)/($D$10-$B$10),1+$B$6*($D$10-$C$10)/($D$10-$B$10),$B$10,$D$10))</f>
        <v>5307.6717807170862</v>
      </c>
      <c r="F792" s="88">
        <f t="shared" ca="1" si="37"/>
        <v>0.55141340811448003</v>
      </c>
      <c r="G792" s="89">
        <f t="shared" ca="1" si="38"/>
        <v>1.5049117622117054E-4</v>
      </c>
    </row>
    <row r="793" spans="1:7" x14ac:dyDescent="0.35">
      <c r="A793" s="84">
        <v>778</v>
      </c>
      <c r="B793" s="84">
        <f t="shared" ca="1" si="36"/>
        <v>0.67520140618585622</v>
      </c>
      <c r="C793" s="84">
        <f t="shared" ca="1" si="36"/>
        <v>0.32627859267382453</v>
      </c>
      <c r="D793" s="93" cm="1">
        <f t="array" aca="1" ref="D793" ca="1">_xlfn.SWITCH($B$4,"Normal MLE",EXP(_xlfn.NORM.INV(B793,LN($C$9),$E$9/$C$9)),"Uniforme",$B$9+($D$9-$B$9)*B793,"Triangular",IF(B793&lt;=($C$9-$B$9)/($D$9-$B$9),$B$9+SQRT(B793*($D$9-$B$9)*($C$9-$B$9)),$D$9-SQRT((1-B793)*($D$9-$B$9)*($D$9-$C$9))),"PERT",_xlfn.BETA.INV(B793,1+$B$6*($C$9-$B$9)/($D$9-$B$9),1+$B$6*($D$9-$C$9)/($D$9-$B$9),$B$9,$D$9))</f>
        <v>2.0109955052450088</v>
      </c>
      <c r="E793" s="94" cm="1">
        <f t="array" aca="1" ref="E793" ca="1">_xlfn.SWITCH($B$4,"Normal MLE",EXP(_xlfn.NORM.INV(C793,LN($C$10),$E$10/$C$10)),"Uniforme",$B$10+($D$10-$B$10)*C793,"Triangular",IF(C793&lt;=($C$10-$B$10)/($D$10-$B$10),$B$10+SQRT(C793*($D$10-$B$10)*($C$10-$B$10)),$D$10-SQRT((1-C793)*($D$10-$B$10)*($D$10-$C$10))),"PERT",_xlfn.BETA.INV(C793,1+$B$6*($C$10-$B$10)/($D$10-$B$10),1+$B$6*($D$10-$C$10)/($D$10-$B$10),$B$10,$D$10))</f>
        <v>4994.0454286762888</v>
      </c>
      <c r="F793" s="88">
        <f t="shared" ca="1" si="37"/>
        <v>0.5273117356205308</v>
      </c>
      <c r="G793" s="89">
        <f t="shared" ca="1" si="38"/>
        <v>1.6965773577966721E-4</v>
      </c>
    </row>
    <row r="794" spans="1:7" x14ac:dyDescent="0.35">
      <c r="A794" s="84">
        <v>779</v>
      </c>
      <c r="B794" s="84">
        <f t="shared" ca="1" si="36"/>
        <v>0.25891976800529348</v>
      </c>
      <c r="C794" s="84">
        <f t="shared" ca="1" si="36"/>
        <v>0.43718819351231508</v>
      </c>
      <c r="D794" s="93" cm="1">
        <f t="array" aca="1" ref="D794" ca="1">_xlfn.SWITCH($B$4,"Normal MLE",EXP(_xlfn.NORM.INV(B794,LN($C$9),$E$9/$C$9)),"Uniforme",$B$9+($D$9-$B$9)*B794,"Triangular",IF(B794&lt;=($C$9-$B$9)/($D$9-$B$9),$B$9+SQRT(B794*($D$9-$B$9)*($C$9-$B$9)),$D$9-SQRT((1-B794)*($D$9-$B$9)*($D$9-$C$9))),"PERT",_xlfn.BETA.INV(B794,1+$B$6*($C$9-$B$9)/($D$9-$B$9),1+$B$6*($D$9-$C$9)/($D$9-$B$9),$B$9,$D$9))</f>
        <v>1.8609701793260967</v>
      </c>
      <c r="E794" s="94" cm="1">
        <f t="array" aca="1" ref="E794" ca="1">_xlfn.SWITCH($B$4,"Normal MLE",EXP(_xlfn.NORM.INV(C794,LN($C$10),$E$10/$C$10)),"Uniforme",$B$10+($D$10-$B$10)*C794,"Triangular",IF(C794&lt;=($C$10-$B$10)/($D$10-$B$10),$B$10+SQRT(C794*($D$10-$B$10)*($C$10-$B$10)),$D$10-SQRT((1-C794)*($D$10-$B$10)*($D$10-$C$10))),"PERT",_xlfn.BETA.INV(C794,1+$B$6*($C$10-$B$10)/($D$10-$B$10),1+$B$6*($D$10-$C$10)/($D$10-$B$10),$B$10,$D$10))</f>
        <v>5062.3937566571012</v>
      </c>
      <c r="F794" s="88">
        <f t="shared" ca="1" si="37"/>
        <v>0.52460752104425334</v>
      </c>
      <c r="G794" s="89">
        <f t="shared" ca="1" si="38"/>
        <v>1.5745057788959295E-4</v>
      </c>
    </row>
    <row r="795" spans="1:7" x14ac:dyDescent="0.35">
      <c r="A795" s="84">
        <v>780</v>
      </c>
      <c r="B795" s="84">
        <f t="shared" ca="1" si="36"/>
        <v>0.59697871903567279</v>
      </c>
      <c r="C795" s="84">
        <f t="shared" ca="1" si="36"/>
        <v>0.84996038539482988</v>
      </c>
      <c r="D795" s="93" cm="1">
        <f t="array" aca="1" ref="D795" ca="1">_xlfn.SWITCH($B$4,"Normal MLE",EXP(_xlfn.NORM.INV(B795,LN($C$9),$E$9/$C$9)),"Uniforme",$B$9+($D$9-$B$9)*B795,"Triangular",IF(B795&lt;=($C$9-$B$9)/($D$9-$B$9),$B$9+SQRT(B795*($D$9-$B$9)*($C$9-$B$9)),$D$9-SQRT((1-B795)*($D$9-$B$9)*($D$9-$C$9))),"PERT",_xlfn.BETA.INV(B795,1+$B$6*($C$9-$B$9)/($D$9-$B$9),1+$B$6*($D$9-$C$9)/($D$9-$B$9),$B$9,$D$9))</f>
        <v>1.9816447525813614</v>
      </c>
      <c r="E795" s="94" cm="1">
        <f t="array" aca="1" ref="E795" ca="1">_xlfn.SWITCH($B$4,"Normal MLE",EXP(_xlfn.NORM.INV(C795,LN($C$10),$E$10/$C$10)),"Uniforme",$B$10+($D$10-$B$10)*C795,"Triangular",IF(C795&lt;=($C$10-$B$10)/($D$10-$B$10),$B$10+SQRT(C795*($D$10-$B$10)*($C$10-$B$10)),$D$10-SQRT((1-C795)*($D$10-$B$10)*($D$10-$C$10))),"PERT",_xlfn.BETA.INV(C795,1+$B$6*($C$10-$B$10)/($D$10-$B$10),1+$B$6*($D$10-$C$10)/($D$10-$B$10),$B$10,$D$10))</f>
        <v>5351.7221619966549</v>
      </c>
      <c r="F795" s="88">
        <f t="shared" ca="1" si="37"/>
        <v>0.57027632757300983</v>
      </c>
      <c r="G795" s="89">
        <f t="shared" ca="1" si="38"/>
        <v>1.5867362339362632E-4</v>
      </c>
    </row>
    <row r="796" spans="1:7" x14ac:dyDescent="0.35">
      <c r="A796" s="84">
        <v>781</v>
      </c>
      <c r="B796" s="84">
        <f t="shared" ca="1" si="36"/>
        <v>0.53504033256951311</v>
      </c>
      <c r="C796" s="84">
        <f t="shared" ca="1" si="36"/>
        <v>0.33711551487917624</v>
      </c>
      <c r="D796" s="93" cm="1">
        <f t="array" aca="1" ref="D796" ca="1">_xlfn.SWITCH($B$4,"Normal MLE",EXP(_xlfn.NORM.INV(B796,LN($C$9),$E$9/$C$9)),"Uniforme",$B$9+($D$9-$B$9)*B796,"Triangular",IF(B796&lt;=($C$9-$B$9)/($D$9-$B$9),$B$9+SQRT(B796*($D$9-$B$9)*($C$9-$B$9)),$D$9-SQRT((1-B796)*($D$9-$B$9)*($D$9-$C$9))),"PERT",_xlfn.BETA.INV(B796,1+$B$6*($C$9-$B$9)/($D$9-$B$9),1+$B$6*($D$9-$C$9)/($D$9-$B$9),$B$9,$D$9))</f>
        <v>1.9597754557845872</v>
      </c>
      <c r="E796" s="94" cm="1">
        <f t="array" aca="1" ref="E796" ca="1">_xlfn.SWITCH($B$4,"Normal MLE",EXP(_xlfn.NORM.INV(C796,LN($C$10),$E$10/$C$10)),"Uniforme",$B$10+($D$10-$B$10)*C796,"Triangular",IF(C796&lt;=($C$10-$B$10)/($D$10-$B$10),$B$10+SQRT(C796*($D$10-$B$10)*($C$10-$B$10)),$D$10-SQRT((1-C796)*($D$10-$B$10)*($D$10-$C$10))),"PERT",_xlfn.BETA.INV(C796,1+$B$6*($C$10-$B$10)/($D$10-$B$10),1+$B$6*($D$10-$C$10)/($D$10-$B$10),$B$10,$D$10))</f>
        <v>5000.9905384958884</v>
      </c>
      <c r="F796" s="88">
        <f t="shared" ca="1" si="37"/>
        <v>0.52438991635791254</v>
      </c>
      <c r="G796" s="89">
        <f t="shared" ca="1" si="38"/>
        <v>1.6584798268690936E-4</v>
      </c>
    </row>
    <row r="797" spans="1:7" x14ac:dyDescent="0.35">
      <c r="A797" s="84">
        <v>782</v>
      </c>
      <c r="B797" s="84">
        <f t="shared" ca="1" si="36"/>
        <v>0.23919231350058112</v>
      </c>
      <c r="C797" s="84">
        <f t="shared" ca="1" si="36"/>
        <v>0.92432715291495815</v>
      </c>
      <c r="D797" s="93" cm="1">
        <f t="array" aca="1" ref="D797" ca="1">_xlfn.SWITCH($B$4,"Normal MLE",EXP(_xlfn.NORM.INV(B797,LN($C$9),$E$9/$C$9)),"Uniforme",$B$9+($D$9-$B$9)*B797,"Triangular",IF(B797&lt;=($C$9-$B$9)/($D$9-$B$9),$B$9+SQRT(B797*($D$9-$B$9)*($C$9-$B$9)),$D$9-SQRT((1-B797)*($D$9-$B$9)*($D$9-$C$9))),"PERT",_xlfn.BETA.INV(B797,1+$B$6*($C$9-$B$9)/($D$9-$B$9),1+$B$6*($D$9-$C$9)/($D$9-$B$9),$B$9,$D$9))</f>
        <v>1.8528336807800023</v>
      </c>
      <c r="E797" s="94" cm="1">
        <f t="array" aca="1" ref="E797" ca="1">_xlfn.SWITCH($B$4,"Normal MLE",EXP(_xlfn.NORM.INV(C797,LN($C$10),$E$10/$C$10)),"Uniforme",$B$10+($D$10-$B$10)*C797,"Triangular",IF(C797&lt;=($C$10-$B$10)/($D$10-$B$10),$B$10+SQRT(C797*($D$10-$B$10)*($C$10-$B$10)),$D$10-SQRT((1-C797)*($D$10-$B$10)*($D$10-$C$10))),"PERT",_xlfn.BETA.INV(C797,1+$B$6*($C$10-$B$10)/($D$10-$B$10),1+$B$6*($D$10-$C$10)/($D$10-$B$10),$B$10,$D$10))</f>
        <v>5451.8977784980452</v>
      </c>
      <c r="F797" s="88">
        <f t="shared" ca="1" si="37"/>
        <v>0.56927040373333004</v>
      </c>
      <c r="G797" s="89">
        <f t="shared" ca="1" si="38"/>
        <v>1.4856335091978427E-4</v>
      </c>
    </row>
    <row r="798" spans="1:7" x14ac:dyDescent="0.35">
      <c r="A798" s="84">
        <v>783</v>
      </c>
      <c r="B798" s="84">
        <f t="shared" ca="1" si="36"/>
        <v>0.49772878870913428</v>
      </c>
      <c r="C798" s="84">
        <f t="shared" ca="1" si="36"/>
        <v>0.65824170160478546</v>
      </c>
      <c r="D798" s="93" cm="1">
        <f t="array" aca="1" ref="D798" ca="1">_xlfn.SWITCH($B$4,"Normal MLE",EXP(_xlfn.NORM.INV(B798,LN($C$9),$E$9/$C$9)),"Uniforme",$B$9+($D$9-$B$9)*B798,"Triangular",IF(B798&lt;=($C$9-$B$9)/($D$9-$B$9),$B$9+SQRT(B798*($D$9-$B$9)*($C$9-$B$9)),$D$9-SQRT((1-B798)*($D$9-$B$9)*($D$9-$C$9))),"PERT",_xlfn.BETA.INV(B798,1+$B$6*($C$9-$B$9)/($D$9-$B$9),1+$B$6*($D$9-$C$9)/($D$9-$B$9),$B$9,$D$9))</f>
        <v>1.9468951308034104</v>
      </c>
      <c r="E798" s="94" cm="1">
        <f t="array" aca="1" ref="E798" ca="1">_xlfn.SWITCH($B$4,"Normal MLE",EXP(_xlfn.NORM.INV(C798,LN($C$10),$E$10/$C$10)),"Uniforme",$B$10+($D$10-$B$10)*C798,"Triangular",IF(C798&lt;=($C$10-$B$10)/($D$10-$B$10),$B$10+SQRT(C798*($D$10-$B$10)*($C$10-$B$10)),$D$10-SQRT((1-C798)*($D$10-$B$10)*($D$10-$C$10))),"PERT",_xlfn.BETA.INV(C798,1+$B$6*($C$10-$B$10)/($D$10-$B$10),1+$B$6*($D$10-$C$10)/($D$10-$B$10),$B$10,$D$10))</f>
        <v>5197.4452722987799</v>
      </c>
      <c r="F798" s="88">
        <f t="shared" ca="1" si="37"/>
        <v>0.54848668189545535</v>
      </c>
      <c r="G798" s="89">
        <f t="shared" ca="1" si="38"/>
        <v>1.603350236468607E-4</v>
      </c>
    </row>
    <row r="799" spans="1:7" x14ac:dyDescent="0.35">
      <c r="A799" s="84">
        <v>784</v>
      </c>
      <c r="B799" s="84">
        <f t="shared" ca="1" si="36"/>
        <v>0.94344689740309184</v>
      </c>
      <c r="C799" s="84">
        <f t="shared" ca="1" si="36"/>
        <v>0.25637686629378098</v>
      </c>
      <c r="D799" s="93" cm="1">
        <f t="array" aca="1" ref="D799" ca="1">_xlfn.SWITCH($B$4,"Normal MLE",EXP(_xlfn.NORM.INV(B799,LN($C$9),$E$9/$C$9)),"Uniforme",$B$9+($D$9-$B$9)*B799,"Triangular",IF(B799&lt;=($C$9-$B$9)/($D$9-$B$9),$B$9+SQRT(B799*($D$9-$B$9)*($C$9-$B$9)),$D$9-SQRT((1-B799)*($D$9-$B$9)*($D$9-$C$9))),"PERT",_xlfn.BETA.INV(B799,1+$B$6*($C$9-$B$9)/($D$9-$B$9),1+$B$6*($D$9-$C$9)/($D$9-$B$9),$B$9,$D$9))</f>
        <v>2.1775672363258676</v>
      </c>
      <c r="E799" s="94" cm="1">
        <f t="array" aca="1" ref="E799" ca="1">_xlfn.SWITCH($B$4,"Normal MLE",EXP(_xlfn.NORM.INV(C799,LN($C$10),$E$10/$C$10)),"Uniforme",$B$10+($D$10-$B$10)*C799,"Triangular",IF(C799&lt;=($C$10-$B$10)/($D$10-$B$10),$B$10+SQRT(C799*($D$10-$B$10)*($C$10-$B$10)),$D$10-SQRT((1-C799)*($D$10-$B$10)*($D$10-$C$10))),"PERT",_xlfn.BETA.INV(C799,1+$B$6*($C$10-$B$10)/($D$10-$B$10),1+$B$6*($D$10-$C$10)/($D$10-$B$10),$B$10,$D$10))</f>
        <v>4946.7822502751369</v>
      </c>
      <c r="F799" s="88">
        <f t="shared" ca="1" si="37"/>
        <v>0.53278416030316333</v>
      </c>
      <c r="G799" s="89">
        <f t="shared" ca="1" si="38"/>
        <v>1.8262256197878828E-4</v>
      </c>
    </row>
    <row r="800" spans="1:7" x14ac:dyDescent="0.35">
      <c r="A800" s="84">
        <v>785</v>
      </c>
      <c r="B800" s="84">
        <f t="shared" ca="1" si="36"/>
        <v>0.38185881548941802</v>
      </c>
      <c r="C800" s="84">
        <f t="shared" ca="1" si="36"/>
        <v>0.32608110194102813</v>
      </c>
      <c r="D800" s="93" cm="1">
        <f t="array" aca="1" ref="D800" ca="1">_xlfn.SWITCH($B$4,"Normal MLE",EXP(_xlfn.NORM.INV(B800,LN($C$9),$E$9/$C$9)),"Uniforme",$B$9+($D$9-$B$9)*B800,"Triangular",IF(B800&lt;=($C$9-$B$9)/($D$9-$B$9),$B$9+SQRT(B800*($D$9-$B$9)*($C$9-$B$9)),$D$9-SQRT((1-B800)*($D$9-$B$9)*($D$9-$C$9))),"PERT",_xlfn.BETA.INV(B800,1+$B$6*($C$9-$B$9)/($D$9-$B$9),1+$B$6*($D$9-$C$9)/($D$9-$B$9),$B$9,$D$9))</f>
        <v>1.906880192080818</v>
      </c>
      <c r="E800" s="94" cm="1">
        <f t="array" aca="1" ref="E800" ca="1">_xlfn.SWITCH($B$4,"Normal MLE",EXP(_xlfn.NORM.INV(C800,LN($C$10),$E$10/$C$10)),"Uniforme",$B$10+($D$10-$B$10)*C800,"Triangular",IF(C800&lt;=($C$10-$B$10)/($D$10-$B$10),$B$10+SQRT(C800*($D$10-$B$10)*($C$10-$B$10)),$D$10-SQRT((1-C800)*($D$10-$B$10)*($D$10-$C$10))),"PERT",_xlfn.BETA.INV(C800,1+$B$6*($C$10-$B$10)/($D$10-$B$10),1+$B$6*($D$10-$C$10)/($D$10-$B$10),$B$10,$D$10))</f>
        <v>4993.9181005852788</v>
      </c>
      <c r="F800" s="88">
        <f t="shared" ca="1" si="37"/>
        <v>0.51946488257019918</v>
      </c>
      <c r="G800" s="89">
        <f t="shared" ca="1" si="38"/>
        <v>1.6219287808278625E-4</v>
      </c>
    </row>
    <row r="801" spans="1:7" x14ac:dyDescent="0.35">
      <c r="A801" s="84">
        <v>786</v>
      </c>
      <c r="B801" s="84">
        <f t="shared" ca="1" si="36"/>
        <v>0.27234241775871215</v>
      </c>
      <c r="C801" s="84">
        <f t="shared" ca="1" si="36"/>
        <v>1.4426256233889712E-2</v>
      </c>
      <c r="D801" s="93" cm="1">
        <f t="array" aca="1" ref="D801" ca="1">_xlfn.SWITCH($B$4,"Normal MLE",EXP(_xlfn.NORM.INV(B801,LN($C$9),$E$9/$C$9)),"Uniforme",$B$9+($D$9-$B$9)*B801,"Triangular",IF(B801&lt;=($C$9-$B$9)/($D$9-$B$9),$B$9+SQRT(B801*($D$9-$B$9)*($C$9-$B$9)),$D$9-SQRT((1-B801)*($D$9-$B$9)*($D$9-$C$9))),"PERT",_xlfn.BETA.INV(B801,1+$B$6*($C$9-$B$9)/($D$9-$B$9),1+$B$6*($D$9-$C$9)/($D$9-$B$9),$B$9,$D$9))</f>
        <v>1.8663424422195405</v>
      </c>
      <c r="E801" s="94" cm="1">
        <f t="array" aca="1" ref="E801" ca="1">_xlfn.SWITCH($B$4,"Normal MLE",EXP(_xlfn.NORM.INV(C801,LN($C$10),$E$10/$C$10)),"Uniforme",$B$10+($D$10-$B$10)*C801,"Triangular",IF(C801&lt;=($C$10-$B$10)/($D$10-$B$10),$B$10+SQRT(C801*($D$10-$B$10)*($C$10-$B$10)),$D$10-SQRT((1-C801)*($D$10-$B$10)*($D$10-$C$10))),"PERT",_xlfn.BETA.INV(C801,1+$B$6*($C$10-$B$10)/($D$10-$B$10),1+$B$6*($D$10-$C$10)/($D$10-$B$10),$B$10,$D$10))</f>
        <v>4606.62783221479</v>
      </c>
      <c r="F801" s="88">
        <f t="shared" ca="1" si="37"/>
        <v>0.46378510983724358</v>
      </c>
      <c r="G801" s="89">
        <f t="shared" ca="1" si="38"/>
        <v>1.662639795289739E-4</v>
      </c>
    </row>
    <row r="802" spans="1:7" x14ac:dyDescent="0.35">
      <c r="A802" s="84">
        <v>787</v>
      </c>
      <c r="B802" s="84">
        <f t="shared" ca="1" si="36"/>
        <v>0.79934884463247635</v>
      </c>
      <c r="C802" s="84">
        <f t="shared" ca="1" si="36"/>
        <v>6.4563185387293665E-2</v>
      </c>
      <c r="D802" s="93" cm="1">
        <f t="array" aca="1" ref="D802" ca="1">_xlfn.SWITCH($B$4,"Normal MLE",EXP(_xlfn.NORM.INV(B802,LN($C$9),$E$9/$C$9)),"Uniforme",$B$9+($D$9-$B$9)*B802,"Triangular",IF(B802&lt;=($C$9-$B$9)/($D$9-$B$9),$B$9+SQRT(B802*($D$9-$B$9)*($C$9-$B$9)),$D$9-SQRT((1-B802)*($D$9-$B$9)*($D$9-$C$9))),"PERT",_xlfn.BETA.INV(B802,1+$B$6*($C$9-$B$9)/($D$9-$B$9),1+$B$6*($D$9-$C$9)/($D$9-$B$9),$B$9,$D$9))</f>
        <v>2.0662588803825543</v>
      </c>
      <c r="E802" s="94" cm="1">
        <f t="array" aca="1" ref="E802" ca="1">_xlfn.SWITCH($B$4,"Normal MLE",EXP(_xlfn.NORM.INV(C802,LN($C$10),$E$10/$C$10)),"Uniforme",$B$10+($D$10-$B$10)*C802,"Triangular",IF(C802&lt;=($C$10-$B$10)/($D$10-$B$10),$B$10+SQRT(C802*($D$10-$B$10)*($C$10-$B$10)),$D$10-SQRT((1-C802)*($D$10-$B$10)*($D$10-$C$10))),"PERT",_xlfn.BETA.INV(C802,1+$B$6*($C$10-$B$10)/($D$10-$B$10),1+$B$6*($D$10-$C$10)/($D$10-$B$10),$B$10,$D$10))</f>
        <v>4752.0600132128802</v>
      </c>
      <c r="F802" s="88">
        <f t="shared" ca="1" si="37"/>
        <v>0.49634476450768222</v>
      </c>
      <c r="G802" s="89">
        <f t="shared" ca="1" si="38"/>
        <v>1.7960016005358849E-4</v>
      </c>
    </row>
    <row r="803" spans="1:7" x14ac:dyDescent="0.35">
      <c r="A803" s="84">
        <v>788</v>
      </c>
      <c r="B803" s="84">
        <f t="shared" ca="1" si="36"/>
        <v>0.60268219875162465</v>
      </c>
      <c r="C803" s="84">
        <f t="shared" ca="1" si="36"/>
        <v>0.48935585834727424</v>
      </c>
      <c r="D803" s="93" cm="1">
        <f t="array" aca="1" ref="D803" ca="1">_xlfn.SWITCH($B$4,"Normal MLE",EXP(_xlfn.NORM.INV(B803,LN($C$9),$E$9/$C$9)),"Uniforme",$B$9+($D$9-$B$9)*B803,"Triangular",IF(B803&lt;=($C$9-$B$9)/($D$9-$B$9),$B$9+SQRT(B803*($D$9-$B$9)*($C$9-$B$9)),$D$9-SQRT((1-B803)*($D$9-$B$9)*($D$9-$C$9))),"PERT",_xlfn.BETA.INV(B803,1+$B$6*($C$9-$B$9)/($D$9-$B$9),1+$B$6*($D$9-$C$9)/($D$9-$B$9),$B$9,$D$9))</f>
        <v>1.9837057047451789</v>
      </c>
      <c r="E803" s="94" cm="1">
        <f t="array" aca="1" ref="E803" ca="1">_xlfn.SWITCH($B$4,"Normal MLE",EXP(_xlfn.NORM.INV(C803,LN($C$10),$E$10/$C$10)),"Uniforme",$B$10+($D$10-$B$10)*C803,"Triangular",IF(C803&lt;=($C$10-$B$10)/($D$10-$B$10),$B$10+SQRT(C803*($D$10-$B$10)*($C$10-$B$10)),$D$10-SQRT((1-C803)*($D$10-$B$10)*($D$10-$C$10))),"PERT",_xlfn.BETA.INV(C803,1+$B$6*($C$10-$B$10)/($D$10-$B$10),1+$B$6*($D$10-$C$10)/($D$10-$B$10),$B$10,$D$10))</f>
        <v>5093.4473949729318</v>
      </c>
      <c r="F803" s="88">
        <f t="shared" ca="1" si="37"/>
        <v>0.53839377050215709</v>
      </c>
      <c r="G803" s="89">
        <f t="shared" ca="1" si="38"/>
        <v>1.6531936395932701E-4</v>
      </c>
    </row>
    <row r="804" spans="1:7" x14ac:dyDescent="0.35">
      <c r="A804" s="84">
        <v>789</v>
      </c>
      <c r="B804" s="84">
        <f t="shared" ca="1" si="36"/>
        <v>1.4277199213211689E-2</v>
      </c>
      <c r="C804" s="84">
        <f t="shared" ca="1" si="36"/>
        <v>0.15942160732420785</v>
      </c>
      <c r="D804" s="93" cm="1">
        <f t="array" aca="1" ref="D804" ca="1">_xlfn.SWITCH($B$4,"Normal MLE",EXP(_xlfn.NORM.INV(B804,LN($C$9),$E$9/$C$9)),"Uniforme",$B$9+($D$9-$B$9)*B804,"Triangular",IF(B804&lt;=($C$9-$B$9)/($D$9-$B$9),$B$9+SQRT(B804*($D$9-$B$9)*($C$9-$B$9)),$D$9-SQRT((1-B804)*($D$9-$B$9)*($D$9-$C$9))),"PERT",_xlfn.BETA.INV(B804,1+$B$6*($C$9-$B$9)/($D$9-$B$9),1+$B$6*($D$9-$C$9)/($D$9-$B$9),$B$9,$D$9))</f>
        <v>1.6693718057621081</v>
      </c>
      <c r="E804" s="94" cm="1">
        <f t="array" aca="1" ref="E804" ca="1">_xlfn.SWITCH($B$4,"Normal MLE",EXP(_xlfn.NORM.INV(C804,LN($C$10),$E$10/$C$10)),"Uniforme",$B$10+($D$10-$B$10)*C804,"Triangular",IF(C804&lt;=($C$10-$B$10)/($D$10-$B$10),$B$10+SQRT(C804*($D$10-$B$10)*($C$10-$B$10)),$D$10-SQRT((1-C804)*($D$10-$B$10)*($D$10-$C$10))),"PERT",_xlfn.BETA.INV(C804,1+$B$6*($C$10-$B$10)/($D$10-$B$10),1+$B$6*($D$10-$C$10)/($D$10-$B$10),$B$10,$D$10))</f>
        <v>4868.6148086397297</v>
      </c>
      <c r="F804" s="88">
        <f t="shared" ca="1" si="37"/>
        <v>0.48659548594690116</v>
      </c>
      <c r="G804" s="89">
        <f t="shared" ca="1" si="38"/>
        <v>1.4628099763184767E-4</v>
      </c>
    </row>
    <row r="805" spans="1:7" x14ac:dyDescent="0.35">
      <c r="A805" s="84">
        <v>790</v>
      </c>
      <c r="B805" s="84">
        <f t="shared" ca="1" si="36"/>
        <v>0.35440525232786069</v>
      </c>
      <c r="C805" s="84">
        <f t="shared" ca="1" si="36"/>
        <v>0.69872825553963103</v>
      </c>
      <c r="D805" s="93" cm="1">
        <f t="array" aca="1" ref="D805" ca="1">_xlfn.SWITCH($B$4,"Normal MLE",EXP(_xlfn.NORM.INV(B805,LN($C$9),$E$9/$C$9)),"Uniforme",$B$9+($D$9-$B$9)*B805,"Triangular",IF(B805&lt;=($C$9-$B$9)/($D$9-$B$9),$B$9+SQRT(B805*($D$9-$B$9)*($C$9-$B$9)),$D$9-SQRT((1-B805)*($D$9-$B$9)*($D$9-$C$9))),"PERT",_xlfn.BETA.INV(B805,1+$B$6*($C$9-$B$9)/($D$9-$B$9),1+$B$6*($D$9-$C$9)/($D$9-$B$9),$B$9,$D$9))</f>
        <v>1.8971226197556617</v>
      </c>
      <c r="E805" s="94" cm="1">
        <f t="array" aca="1" ref="E805" ca="1">_xlfn.SWITCH($B$4,"Normal MLE",EXP(_xlfn.NORM.INV(C805,LN($C$10),$E$10/$C$10)),"Uniforme",$B$10+($D$10-$B$10)*C805,"Triangular",IF(C805&lt;=($C$10-$B$10)/($D$10-$B$10),$B$10+SQRT(C805*($D$10-$B$10)*($C$10-$B$10)),$D$10-SQRT((1-C805)*($D$10-$B$10)*($D$10-$C$10))),"PERT",_xlfn.BETA.INV(C805,1+$B$6*($C$10-$B$10)/($D$10-$B$10),1+$B$6*($D$10-$C$10)/($D$10-$B$10),$B$10,$D$10))</f>
        <v>5224.8661442197836</v>
      </c>
      <c r="F805" s="88">
        <f t="shared" ca="1" si="37"/>
        <v>0.54748086414430597</v>
      </c>
      <c r="G805" s="89">
        <f t="shared" ca="1" si="38"/>
        <v>1.5642614323494876E-4</v>
      </c>
    </row>
    <row r="806" spans="1:7" x14ac:dyDescent="0.35">
      <c r="A806" s="84">
        <v>791</v>
      </c>
      <c r="B806" s="84">
        <f t="shared" ca="1" si="36"/>
        <v>0.62824775631662166</v>
      </c>
      <c r="C806" s="84">
        <f t="shared" ca="1" si="36"/>
        <v>0.10770409265699443</v>
      </c>
      <c r="D806" s="93" cm="1">
        <f t="array" aca="1" ref="D806" ca="1">_xlfn.SWITCH($B$4,"Normal MLE",EXP(_xlfn.NORM.INV(B806,LN($C$9),$E$9/$C$9)),"Uniforme",$B$9+($D$9-$B$9)*B806,"Triangular",IF(B806&lt;=($C$9-$B$9)/($D$9-$B$9),$B$9+SQRT(B806*($D$9-$B$9)*($C$9-$B$9)),$D$9-SQRT((1-B806)*($D$9-$B$9)*($D$9-$C$9))),"PERT",_xlfn.BETA.INV(B806,1+$B$6*($C$9-$B$9)/($D$9-$B$9),1+$B$6*($D$9-$C$9)/($D$9-$B$9),$B$9,$D$9))</f>
        <v>1.9930759544215433</v>
      </c>
      <c r="E806" s="94" cm="1">
        <f t="array" aca="1" ref="E806" ca="1">_xlfn.SWITCH($B$4,"Normal MLE",EXP(_xlfn.NORM.INV(C806,LN($C$10),$E$10/$C$10)),"Uniforme",$B$10+($D$10-$B$10)*C806,"Triangular",IF(C806&lt;=($C$10-$B$10)/($D$10-$B$10),$B$10+SQRT(C806*($D$10-$B$10)*($C$10-$B$10)),$D$10-SQRT((1-C806)*($D$10-$B$10)*($D$10-$C$10))),"PERT",_xlfn.BETA.INV(C806,1+$B$6*($C$10-$B$10)/($D$10-$B$10),1+$B$6*($D$10-$C$10)/($D$10-$B$10),$B$10,$D$10))</f>
        <v>4814.0970268870196</v>
      </c>
      <c r="F806" s="88">
        <f t="shared" ca="1" si="37"/>
        <v>0.50093973663531022</v>
      </c>
      <c r="G806" s="89">
        <f t="shared" ca="1" si="38"/>
        <v>1.7254275129559944E-4</v>
      </c>
    </row>
    <row r="807" spans="1:7" x14ac:dyDescent="0.35">
      <c r="A807" s="84">
        <v>792</v>
      </c>
      <c r="B807" s="84">
        <f t="shared" ca="1" si="36"/>
        <v>0.76974833207602245</v>
      </c>
      <c r="C807" s="84">
        <f t="shared" ca="1" si="36"/>
        <v>6.8930321591246235E-3</v>
      </c>
      <c r="D807" s="93" cm="1">
        <f t="array" aca="1" ref="D807" ca="1">_xlfn.SWITCH($B$4,"Normal MLE",EXP(_xlfn.NORM.INV(B807,LN($C$9),$E$9/$C$9)),"Uniforme",$B$9+($D$9-$B$9)*B807,"Triangular",IF(B807&lt;=($C$9-$B$9)/($D$9-$B$9),$B$9+SQRT(B807*($D$9-$B$9)*($C$9-$B$9)),$D$9-SQRT((1-B807)*($D$9-$B$9)*($D$9-$C$9))),"PERT",_xlfn.BETA.INV(B807,1+$B$6*($C$9-$B$9)/($D$9-$B$9),1+$B$6*($D$9-$C$9)/($D$9-$B$9),$B$9,$D$9))</f>
        <v>2.0515746692098538</v>
      </c>
      <c r="E807" s="94" cm="1">
        <f t="array" aca="1" ref="E807" ca="1">_xlfn.SWITCH($B$4,"Normal MLE",EXP(_xlfn.NORM.INV(C807,LN($C$10),$E$10/$C$10)),"Uniforme",$B$10+($D$10-$B$10)*C807,"Triangular",IF(C807&lt;=($C$10-$B$10)/($D$10-$B$10),$B$10+SQRT(C807*($D$10-$B$10)*($C$10-$B$10)),$D$10-SQRT((1-C807)*($D$10-$B$10)*($D$10-$C$10))),"PERT",_xlfn.BETA.INV(C807,1+$B$6*($C$10-$B$10)/($D$10-$B$10),1+$B$6*($D$10-$C$10)/($D$10-$B$10),$B$10,$D$10))</f>
        <v>4547.5672073108353</v>
      </c>
      <c r="F807" s="88">
        <f t="shared" ca="1" si="37"/>
        <v>0.46367187103395896</v>
      </c>
      <c r="G807" s="89">
        <f t="shared" ca="1" si="38"/>
        <v>1.8277892607718497E-4</v>
      </c>
    </row>
    <row r="808" spans="1:7" x14ac:dyDescent="0.35">
      <c r="A808" s="84">
        <v>793</v>
      </c>
      <c r="B808" s="84">
        <f t="shared" ca="1" si="36"/>
        <v>5.5314721883737983E-3</v>
      </c>
      <c r="C808" s="84">
        <f t="shared" ca="1" si="36"/>
        <v>0.43798527907221418</v>
      </c>
      <c r="D808" s="93" cm="1">
        <f t="array" aca="1" ref="D808" ca="1">_xlfn.SWITCH($B$4,"Normal MLE",EXP(_xlfn.NORM.INV(B808,LN($C$9),$E$9/$C$9)),"Uniforme",$B$9+($D$9-$B$9)*B808,"Triangular",IF(B808&lt;=($C$9-$B$9)/($D$9-$B$9),$B$9+SQRT(B808*($D$9-$B$9)*($C$9-$B$9)),$D$9-SQRT((1-B808)*($D$9-$B$9)*($D$9-$C$9))),"PERT",_xlfn.BETA.INV(B808,1+$B$6*($C$9-$B$9)/($D$9-$B$9),1+$B$6*($D$9-$C$9)/($D$9-$B$9),$B$9,$D$9))</f>
        <v>1.6286015576788819</v>
      </c>
      <c r="E808" s="94" cm="1">
        <f t="array" aca="1" ref="E808" ca="1">_xlfn.SWITCH($B$4,"Normal MLE",EXP(_xlfn.NORM.INV(C808,LN($C$10),$E$10/$C$10)),"Uniforme",$B$10+($D$10-$B$10)*C808,"Triangular",IF(C808&lt;=($C$10-$B$10)/($D$10-$B$10),$B$10+SQRT(C808*($D$10-$B$10)*($C$10-$B$10)),$D$10-SQRT((1-C808)*($D$10-$B$10)*($D$10-$C$10))),"PERT",_xlfn.BETA.INV(C808,1+$B$6*($C$10-$B$10)/($D$10-$B$10),1+$B$6*($D$10-$C$10)/($D$10-$B$10),$B$10,$D$10))</f>
        <v>5062.8703007866834</v>
      </c>
      <c r="F808" s="88">
        <f t="shared" ca="1" si="37"/>
        <v>0.50596221375219108</v>
      </c>
      <c r="G808" s="89">
        <f t="shared" ca="1" si="38"/>
        <v>1.4034826541886166E-4</v>
      </c>
    </row>
    <row r="809" spans="1:7" x14ac:dyDescent="0.35">
      <c r="A809" s="84">
        <v>794</v>
      </c>
      <c r="B809" s="84">
        <f t="shared" ca="1" si="36"/>
        <v>0.32947531468526747</v>
      </c>
      <c r="C809" s="84">
        <f t="shared" ca="1" si="36"/>
        <v>0.64536895331844979</v>
      </c>
      <c r="D809" s="93" cm="1">
        <f t="array" aca="1" ref="D809" ca="1">_xlfn.SWITCH($B$4,"Normal MLE",EXP(_xlfn.NORM.INV(B809,LN($C$9),$E$9/$C$9)),"Uniforme",$B$9+($D$9-$B$9)*B809,"Triangular",IF(B809&lt;=($C$9-$B$9)/($D$9-$B$9),$B$9+SQRT(B809*($D$9-$B$9)*($C$9-$B$9)),$D$9-SQRT((1-B809)*($D$9-$B$9)*($D$9-$C$9))),"PERT",_xlfn.BETA.INV(B809,1+$B$6*($C$9-$B$9)/($D$9-$B$9),1+$B$6*($D$9-$C$9)/($D$9-$B$9),$B$9,$D$9))</f>
        <v>1.8880721039536112</v>
      </c>
      <c r="E809" s="94" cm="1">
        <f t="array" aca="1" ref="E809" ca="1">_xlfn.SWITCH($B$4,"Normal MLE",EXP(_xlfn.NORM.INV(C809,LN($C$10),$E$10/$C$10)),"Uniforme",$B$10+($D$10-$B$10)*C809,"Triangular",IF(C809&lt;=($C$10-$B$10)/($D$10-$B$10),$B$10+SQRT(C809*($D$10-$B$10)*($C$10-$B$10)),$D$10-SQRT((1-C809)*($D$10-$B$10)*($D$10-$C$10))),"PERT",_xlfn.BETA.INV(C809,1+$B$6*($C$10-$B$10)/($D$10-$B$10),1+$B$6*($D$10-$C$10)/($D$10-$B$10),$B$10,$D$10))</f>
        <v>5189.0301015648038</v>
      </c>
      <c r="F809" s="88">
        <f t="shared" ca="1" si="37"/>
        <v>0.54238218705491459</v>
      </c>
      <c r="G809" s="89">
        <f t="shared" ca="1" si="38"/>
        <v>1.5662547080591135E-4</v>
      </c>
    </row>
    <row r="810" spans="1:7" x14ac:dyDescent="0.35">
      <c r="A810" s="84">
        <v>795</v>
      </c>
      <c r="B810" s="84">
        <f t="shared" ca="1" si="36"/>
        <v>0.92622640151857005</v>
      </c>
      <c r="C810" s="84">
        <f t="shared" ca="1" si="36"/>
        <v>0.75031958347532535</v>
      </c>
      <c r="D810" s="93" cm="1">
        <f t="array" aca="1" ref="D810" ca="1">_xlfn.SWITCH($B$4,"Normal MLE",EXP(_xlfn.NORM.INV(B810,LN($C$9),$E$9/$C$9)),"Uniforme",$B$9+($D$9-$B$9)*B810,"Triangular",IF(B810&lt;=($C$9-$B$9)/($D$9-$B$9),$B$9+SQRT(B810*($D$9-$B$9)*($C$9-$B$9)),$D$9-SQRT((1-B810)*($D$9-$B$9)*($D$9-$C$9))),"PERT",_xlfn.BETA.INV(B810,1+$B$6*($C$9-$B$9)/($D$9-$B$9),1+$B$6*($D$9-$C$9)/($D$9-$B$9),$B$9,$D$9))</f>
        <v>2.1567916302767753</v>
      </c>
      <c r="E810" s="94" cm="1">
        <f t="array" aca="1" ref="E810" ca="1">_xlfn.SWITCH($B$4,"Normal MLE",EXP(_xlfn.NORM.INV(C810,LN($C$10),$E$10/$C$10)),"Uniforme",$B$10+($D$10-$B$10)*C810,"Triangular",IF(C810&lt;=($C$10-$B$10)/($D$10-$B$10),$B$10+SQRT(C810*($D$10-$B$10)*($C$10-$B$10)),$D$10-SQRT((1-C810)*($D$10-$B$10)*($D$10-$C$10))),"PERT",_xlfn.BETA.INV(C810,1+$B$6*($C$10-$B$10)/($D$10-$B$10),1+$B$6*($D$10-$C$10)/($D$10-$B$10),$B$10,$D$10))</f>
        <v>5262.6270210148259</v>
      </c>
      <c r="F810" s="88">
        <f t="shared" ca="1" si="37"/>
        <v>0.57499511476508636</v>
      </c>
      <c r="G810" s="89">
        <f t="shared" ca="1" si="38"/>
        <v>1.7157206986315247E-4</v>
      </c>
    </row>
    <row r="811" spans="1:7" x14ac:dyDescent="0.35">
      <c r="A811" s="84">
        <v>796</v>
      </c>
      <c r="B811" s="84">
        <f t="shared" ca="1" si="36"/>
        <v>0.16968702766759836</v>
      </c>
      <c r="C811" s="84">
        <f t="shared" ca="1" si="36"/>
        <v>0.20673989980409324</v>
      </c>
      <c r="D811" s="93" cm="1">
        <f t="array" aca="1" ref="D811" ca="1">_xlfn.SWITCH($B$4,"Normal MLE",EXP(_xlfn.NORM.INV(B811,LN($C$9),$E$9/$C$9)),"Uniforme",$B$9+($D$9-$B$9)*B811,"Triangular",IF(B811&lt;=($C$9-$B$9)/($D$9-$B$9),$B$9+SQRT(B811*($D$9-$B$9)*($C$9-$B$9)),$D$9-SQRT((1-B811)*($D$9-$B$9)*($D$9-$C$9))),"PERT",_xlfn.BETA.INV(B811,1+$B$6*($C$9-$B$9)/($D$9-$B$9),1+$B$6*($D$9-$C$9)/($D$9-$B$9),$B$9,$D$9))</f>
        <v>1.8209490251462288</v>
      </c>
      <c r="E811" s="94" cm="1">
        <f t="array" aca="1" ref="E811" ca="1">_xlfn.SWITCH($B$4,"Normal MLE",EXP(_xlfn.NORM.INV(C811,LN($C$10),$E$10/$C$10)),"Uniforme",$B$10+($D$10-$B$10)*C811,"Triangular",IF(C811&lt;=($C$10-$B$10)/($D$10-$B$10),$B$10+SQRT(C811*($D$10-$B$10)*($C$10-$B$10)),$D$10-SQRT((1-C811)*($D$10-$B$10)*($D$10-$C$10))),"PERT",_xlfn.BETA.INV(C811,1+$B$6*($C$10-$B$10)/($D$10-$B$10),1+$B$6*($D$10-$C$10)/($D$10-$B$10),$B$10,$D$10))</f>
        <v>4909.3499951267659</v>
      </c>
      <c r="F811" s="88">
        <f t="shared" ca="1" si="37"/>
        <v>0.50225163678123663</v>
      </c>
      <c r="G811" s="89">
        <f t="shared" ca="1" si="38"/>
        <v>1.5745637278082608E-4</v>
      </c>
    </row>
    <row r="812" spans="1:7" x14ac:dyDescent="0.35">
      <c r="A812" s="84">
        <v>797</v>
      </c>
      <c r="B812" s="84">
        <f t="shared" ca="1" si="36"/>
        <v>0.79328335876320355</v>
      </c>
      <c r="C812" s="84">
        <f t="shared" ca="1" si="36"/>
        <v>0.45808057156915083</v>
      </c>
      <c r="D812" s="93" cm="1">
        <f t="array" aca="1" ref="D812" ca="1">_xlfn.SWITCH($B$4,"Normal MLE",EXP(_xlfn.NORM.INV(B812,LN($C$9),$E$9/$C$9)),"Uniforme",$B$9+($D$9-$B$9)*B812,"Triangular",IF(B812&lt;=($C$9-$B$9)/($D$9-$B$9),$B$9+SQRT(B812*($D$9-$B$9)*($C$9-$B$9)),$D$9-SQRT((1-B812)*($D$9-$B$9)*($D$9-$C$9))),"PERT",_xlfn.BETA.INV(B812,1+$B$6*($C$9-$B$9)/($D$9-$B$9),1+$B$6*($D$9-$C$9)/($D$9-$B$9),$B$9,$D$9))</f>
        <v>2.0631429332172435</v>
      </c>
      <c r="E812" s="94" cm="1">
        <f t="array" aca="1" ref="E812" ca="1">_xlfn.SWITCH($B$4,"Normal MLE",EXP(_xlfn.NORM.INV(C812,LN($C$10),$E$10/$C$10)),"Uniforme",$B$10+($D$10-$B$10)*C812,"Triangular",IF(C812&lt;=($C$10-$B$10)/($D$10-$B$10),$B$10+SQRT(C812*($D$10-$B$10)*($C$10-$B$10)),$D$10-SQRT((1-C812)*($D$10-$B$10)*($D$10-$C$10))),"PERT",_xlfn.BETA.INV(C812,1+$B$6*($C$10-$B$10)/($D$10-$B$10),1+$B$6*($D$10-$C$10)/($D$10-$B$10),$B$10,$D$10))</f>
        <v>5074.8548486730233</v>
      </c>
      <c r="F812" s="88">
        <f t="shared" ca="1" si="37"/>
        <v>0.54226935877779825</v>
      </c>
      <c r="G812" s="89">
        <f t="shared" ca="1" si="38"/>
        <v>1.7117109935810683E-4</v>
      </c>
    </row>
    <row r="813" spans="1:7" x14ac:dyDescent="0.35">
      <c r="A813" s="84">
        <v>798</v>
      </c>
      <c r="B813" s="84">
        <f t="shared" ca="1" si="36"/>
        <v>0.73421072966835776</v>
      </c>
      <c r="C813" s="84">
        <f t="shared" ca="1" si="36"/>
        <v>0.15322220981623902</v>
      </c>
      <c r="D813" s="93" cm="1">
        <f t="array" aca="1" ref="D813" ca="1">_xlfn.SWITCH($B$4,"Normal MLE",EXP(_xlfn.NORM.INV(B813,LN($C$9),$E$9/$C$9)),"Uniforme",$B$9+($D$9-$B$9)*B813,"Triangular",IF(B813&lt;=($C$9-$B$9)/($D$9-$B$9),$B$9+SQRT(B813*($D$9-$B$9)*($C$9-$B$9)),$D$9-SQRT((1-B813)*($D$9-$B$9)*($D$9-$C$9))),"PERT",_xlfn.BETA.INV(B813,1+$B$6*($C$9-$B$9)/($D$9-$B$9),1+$B$6*($D$9-$C$9)/($D$9-$B$9),$B$9,$D$9))</f>
        <v>2.0353973620517292</v>
      </c>
      <c r="E813" s="94" cm="1">
        <f t="array" aca="1" ref="E813" ca="1">_xlfn.SWITCH($B$4,"Normal MLE",EXP(_xlfn.NORM.INV(C813,LN($C$10),$E$10/$C$10)),"Uniforme",$B$10+($D$10-$B$10)*C813,"Triangular",IF(C813&lt;=($C$10-$B$10)/($D$10-$B$10),$B$10+SQRT(C813*($D$10-$B$10)*($C$10-$B$10)),$D$10-SQRT((1-C813)*($D$10-$B$10)*($D$10-$C$10))),"PERT",_xlfn.BETA.INV(C813,1+$B$6*($C$10-$B$10)/($D$10-$B$10),1+$B$6*($D$10-$C$10)/($D$10-$B$10),$B$10,$D$10))</f>
        <v>4862.7565389828605</v>
      </c>
      <c r="F813" s="88">
        <f t="shared" ca="1" si="37"/>
        <v>0.5106994882851118</v>
      </c>
      <c r="G813" s="89">
        <f t="shared" ca="1" si="38"/>
        <v>1.746252634437117E-4</v>
      </c>
    </row>
    <row r="814" spans="1:7" x14ac:dyDescent="0.35">
      <c r="A814" s="84">
        <v>799</v>
      </c>
      <c r="B814" s="84">
        <f t="shared" ca="1" si="36"/>
        <v>0.59184343235729298</v>
      </c>
      <c r="C814" s="84">
        <f t="shared" ca="1" si="36"/>
        <v>0.81138703757717834</v>
      </c>
      <c r="D814" s="93" cm="1">
        <f t="array" aca="1" ref="D814" ca="1">_xlfn.SWITCH($B$4,"Normal MLE",EXP(_xlfn.NORM.INV(B814,LN($C$9),$E$9/$C$9)),"Uniforme",$B$9+($D$9-$B$9)*B814,"Triangular",IF(B814&lt;=($C$9-$B$9)/($D$9-$B$9),$B$9+SQRT(B814*($D$9-$B$9)*($C$9-$B$9)),$D$9-SQRT((1-B814)*($D$9-$B$9)*($D$9-$C$9))),"PERT",_xlfn.BETA.INV(B814,1+$B$6*($C$9-$B$9)/($D$9-$B$9),1+$B$6*($D$9-$C$9)/($D$9-$B$9),$B$9,$D$9))</f>
        <v>1.9797973215787483</v>
      </c>
      <c r="E814" s="94" cm="1">
        <f t="array" aca="1" ref="E814" ca="1">_xlfn.SWITCH($B$4,"Normal MLE",EXP(_xlfn.NORM.INV(C814,LN($C$10),$E$10/$C$10)),"Uniforme",$B$10+($D$10-$B$10)*C814,"Triangular",IF(C814&lt;=($C$10-$B$10)/($D$10-$B$10),$B$10+SQRT(C814*($D$10-$B$10)*($C$10-$B$10)),$D$10-SQRT((1-C814)*($D$10-$B$10)*($D$10-$C$10))),"PERT",_xlfn.BETA.INV(C814,1+$B$6*($C$10-$B$10)/($D$10-$B$10),1+$B$6*($D$10-$C$10)/($D$10-$B$10),$B$10,$D$10))</f>
        <v>5313.6941503813932</v>
      </c>
      <c r="F814" s="88">
        <f t="shared" ca="1" si="37"/>
        <v>0.56556718897397951</v>
      </c>
      <c r="G814" s="89">
        <f t="shared" ca="1" si="38"/>
        <v>1.5953778280811291E-4</v>
      </c>
    </row>
    <row r="815" spans="1:7" x14ac:dyDescent="0.35">
      <c r="A815" s="84">
        <v>800</v>
      </c>
      <c r="B815" s="84">
        <f t="shared" ca="1" si="36"/>
        <v>0.67318200355236957</v>
      </c>
      <c r="C815" s="84">
        <f t="shared" ca="1" si="36"/>
        <v>0.91166847154475017</v>
      </c>
      <c r="D815" s="93" cm="1">
        <f t="array" aca="1" ref="D815" ca="1">_xlfn.SWITCH($B$4,"Normal MLE",EXP(_xlfn.NORM.INV(B815,LN($C$9),$E$9/$C$9)),"Uniforme",$B$9+($D$9-$B$9)*B815,"Triangular",IF(B815&lt;=($C$9-$B$9)/($D$9-$B$9),$B$9+SQRT(B815*($D$9-$B$9)*($C$9-$B$9)),$D$9-SQRT((1-B815)*($D$9-$B$9)*($D$9-$C$9))),"PERT",_xlfn.BETA.INV(B815,1+$B$6*($C$9-$B$9)/($D$9-$B$9),1+$B$6*($D$9-$C$9)/($D$9-$B$9),$B$9,$D$9))</f>
        <v>2.0102019060437089</v>
      </c>
      <c r="E815" s="94" cm="1">
        <f t="array" aca="1" ref="E815" ca="1">_xlfn.SWITCH($B$4,"Normal MLE",EXP(_xlfn.NORM.INV(C815,LN($C$10),$E$10/$C$10)),"Uniforme",$B$10+($D$10-$B$10)*C815,"Triangular",IF(C815&lt;=($C$10-$B$10)/($D$10-$B$10),$B$10+SQRT(C815*($D$10-$B$10)*($C$10-$B$10)),$D$10-SQRT((1-C815)*($D$10-$B$10)*($D$10-$C$10))),"PERT",_xlfn.BETA.INV(C815,1+$B$6*($C$10-$B$10)/($D$10-$B$10),1+$B$6*($D$10-$C$10)/($D$10-$B$10),$B$10,$D$10))</f>
        <v>5430.7060558171506</v>
      </c>
      <c r="F815" s="88">
        <f t="shared" ca="1" si="37"/>
        <v>0.58227068887933986</v>
      </c>
      <c r="G815" s="89">
        <f t="shared" ca="1" si="38"/>
        <v>1.5825492395827106E-4</v>
      </c>
    </row>
    <row r="816" spans="1:7" x14ac:dyDescent="0.35">
      <c r="A816" s="84">
        <v>801</v>
      </c>
      <c r="B816" s="84">
        <f t="shared" ca="1" si="36"/>
        <v>0.68564160886144598</v>
      </c>
      <c r="C816" s="84">
        <f t="shared" ca="1" si="36"/>
        <v>0.80603352948138896</v>
      </c>
      <c r="D816" s="93" cm="1">
        <f t="array" aca="1" ref="D816" ca="1">_xlfn.SWITCH($B$4,"Normal MLE",EXP(_xlfn.NORM.INV(B816,LN($C$9),$E$9/$C$9)),"Uniforme",$B$9+($D$9-$B$9)*B816,"Triangular",IF(B816&lt;=($C$9-$B$9)/($D$9-$B$9),$B$9+SQRT(B816*($D$9-$B$9)*($C$9-$B$9)),$D$9-SQRT((1-B816)*($D$9-$B$9)*($D$9-$C$9))),"PERT",_xlfn.BETA.INV(B816,1+$B$6*($C$9-$B$9)/($D$9-$B$9),1+$B$6*($D$9-$C$9)/($D$9-$B$9),$B$9,$D$9))</f>
        <v>2.0151365582030571</v>
      </c>
      <c r="E816" s="94" cm="1">
        <f t="array" aca="1" ref="E816" ca="1">_xlfn.SWITCH($B$4,"Normal MLE",EXP(_xlfn.NORM.INV(C816,LN($C$10),$E$10/$C$10)),"Uniforme",$B$10+($D$10-$B$10)*C816,"Triangular",IF(C816&lt;=($C$10-$B$10)/($D$10-$B$10),$B$10+SQRT(C816*($D$10-$B$10)*($C$10-$B$10)),$D$10-SQRT((1-C816)*($D$10-$B$10)*($D$10-$C$10))),"PERT",_xlfn.BETA.INV(C816,1+$B$6*($C$10-$B$10)/($D$10-$B$10),1+$B$6*($D$10-$C$10)/($D$10-$B$10),$B$10,$D$10))</f>
        <v>5308.838251407632</v>
      </c>
      <c r="F816" s="88">
        <f t="shared" ca="1" si="37"/>
        <v>0.5682036207355956</v>
      </c>
      <c r="G816" s="89">
        <f t="shared" ca="1" si="38"/>
        <v>1.6181120873941208E-4</v>
      </c>
    </row>
    <row r="817" spans="1:7" x14ac:dyDescent="0.35">
      <c r="A817" s="84">
        <v>802</v>
      </c>
      <c r="B817" s="84">
        <f t="shared" ca="1" si="36"/>
        <v>0.16835079575002054</v>
      </c>
      <c r="C817" s="84">
        <f t="shared" ca="1" si="36"/>
        <v>0.75847027319385241</v>
      </c>
      <c r="D817" s="93" cm="1">
        <f t="array" aca="1" ref="D817" ca="1">_xlfn.SWITCH($B$4,"Normal MLE",EXP(_xlfn.NORM.INV(B817,LN($C$9),$E$9/$C$9)),"Uniforme",$B$9+($D$9-$B$9)*B817,"Triangular",IF(B817&lt;=($C$9-$B$9)/($D$9-$B$9),$B$9+SQRT(B817*($D$9-$B$9)*($C$9-$B$9)),$D$9-SQRT((1-B817)*($D$9-$B$9)*($D$9-$C$9))),"PERT",_xlfn.BETA.INV(B817,1+$B$6*($C$9-$B$9)/($D$9-$B$9),1+$B$6*($D$9-$C$9)/($D$9-$B$9),$B$9,$D$9))</f>
        <v>1.8202695192313552</v>
      </c>
      <c r="E817" s="94" cm="1">
        <f t="array" aca="1" ref="E817" ca="1">_xlfn.SWITCH($B$4,"Normal MLE",EXP(_xlfn.NORM.INV(C817,LN($C$10),$E$10/$C$10)),"Uniforme",$B$10+($D$10-$B$10)*C817,"Triangular",IF(C817&lt;=($C$10-$B$10)/($D$10-$B$10),$B$10+SQRT(C817*($D$10-$B$10)*($C$10-$B$10)),$D$10-SQRT((1-C817)*($D$10-$B$10)*($D$10-$C$10))),"PERT",_xlfn.BETA.INV(C817,1+$B$6*($C$10-$B$10)/($D$10-$B$10),1+$B$6*($D$10-$C$10)/($D$10-$B$10),$B$10,$D$10))</f>
        <v>5268.9722294426138</v>
      </c>
      <c r="F817" s="88">
        <f t="shared" ca="1" si="37"/>
        <v>0.54575455885785107</v>
      </c>
      <c r="G817" s="89">
        <f t="shared" ca="1" si="38"/>
        <v>1.5040035250929435E-4</v>
      </c>
    </row>
    <row r="818" spans="1:7" x14ac:dyDescent="0.35">
      <c r="A818" s="84">
        <v>803</v>
      </c>
      <c r="B818" s="84">
        <f t="shared" ca="1" si="36"/>
        <v>0.20043243261992572</v>
      </c>
      <c r="C818" s="84">
        <f t="shared" ca="1" si="36"/>
        <v>0.14605976565581247</v>
      </c>
      <c r="D818" s="93" cm="1">
        <f t="array" aca="1" ref="D818" ca="1">_xlfn.SWITCH($B$4,"Normal MLE",EXP(_xlfn.NORM.INV(B818,LN($C$9),$E$9/$C$9)),"Uniforme",$B$9+($D$9-$B$9)*B818,"Triangular",IF(B818&lt;=($C$9-$B$9)/($D$9-$B$9),$B$9+SQRT(B818*($D$9-$B$9)*($C$9-$B$9)),$D$9-SQRT((1-B818)*($D$9-$B$9)*($D$9-$C$9))),"PERT",_xlfn.BETA.INV(B818,1+$B$6*($C$9-$B$9)/($D$9-$B$9),1+$B$6*($D$9-$C$9)/($D$9-$B$9),$B$9,$D$9))</f>
        <v>1.8357974112035795</v>
      </c>
      <c r="E818" s="94" cm="1">
        <f t="array" aca="1" ref="E818" ca="1">_xlfn.SWITCH($B$4,"Normal MLE",EXP(_xlfn.NORM.INV(C818,LN($C$10),$E$10/$C$10)),"Uniforme",$B$10+($D$10-$B$10)*C818,"Triangular",IF(C818&lt;=($C$10-$B$10)/($D$10-$B$10),$B$10+SQRT(C818*($D$10-$B$10)*($C$10-$B$10)),$D$10-SQRT((1-C818)*($D$10-$B$10)*($D$10-$C$10))),"PERT",_xlfn.BETA.INV(C818,1+$B$6*($C$10-$B$10)/($D$10-$B$10),1+$B$6*($D$10-$C$10)/($D$10-$B$10),$B$10,$D$10))</f>
        <v>4855.798249734712</v>
      </c>
      <c r="F818" s="88">
        <f t="shared" ca="1" si="37"/>
        <v>0.49632383317693629</v>
      </c>
      <c r="G818" s="89">
        <f t="shared" ca="1" si="38"/>
        <v>1.5957122158239727E-4</v>
      </c>
    </row>
    <row r="819" spans="1:7" x14ac:dyDescent="0.35">
      <c r="A819" s="84">
        <v>804</v>
      </c>
      <c r="B819" s="84">
        <f t="shared" ca="1" si="36"/>
        <v>1.0714527192929868E-2</v>
      </c>
      <c r="C819" s="84">
        <f t="shared" ca="1" si="36"/>
        <v>0.24545225510708479</v>
      </c>
      <c r="D819" s="93" cm="1">
        <f t="array" aca="1" ref="D819" ca="1">_xlfn.SWITCH($B$4,"Normal MLE",EXP(_xlfn.NORM.INV(B819,LN($C$9),$E$9/$C$9)),"Uniforme",$B$9+($D$9-$B$9)*B819,"Triangular",IF(B819&lt;=($C$9-$B$9)/($D$9-$B$9),$B$9+SQRT(B819*($D$9-$B$9)*($C$9-$B$9)),$D$9-SQRT((1-B819)*($D$9-$B$9)*($D$9-$C$9))),"PERT",_xlfn.BETA.INV(B819,1+$B$6*($C$9-$B$9)/($D$9-$B$9),1+$B$6*($D$9-$C$9)/($D$9-$B$9),$B$9,$D$9))</f>
        <v>1.6564026033245258</v>
      </c>
      <c r="E819" s="94" cm="1">
        <f t="array" aca="1" ref="E819" ca="1">_xlfn.SWITCH($B$4,"Normal MLE",EXP(_xlfn.NORM.INV(C819,LN($C$10),$E$10/$C$10)),"Uniforme",$B$10+($D$10-$B$10)*C819,"Triangular",IF(C819&lt;=($C$10-$B$10)/($D$10-$B$10),$B$10+SQRT(C819*($D$10-$B$10)*($C$10-$B$10)),$D$10-SQRT((1-C819)*($D$10-$B$10)*($D$10-$C$10))),"PERT",_xlfn.BETA.INV(C819,1+$B$6*($C$10-$B$10)/($D$10-$B$10),1+$B$6*($D$10-$C$10)/($D$10-$B$10),$B$10,$D$10))</f>
        <v>4938.8894071009208</v>
      </c>
      <c r="F819" s="88">
        <f t="shared" ca="1" si="37"/>
        <v>0.49400009411202844</v>
      </c>
      <c r="G819" s="89">
        <f t="shared" ca="1" si="38"/>
        <v>1.4426377790681654E-4</v>
      </c>
    </row>
    <row r="820" spans="1:7" x14ac:dyDescent="0.35">
      <c r="A820" s="84">
        <v>805</v>
      </c>
      <c r="B820" s="84">
        <f t="shared" ca="1" si="36"/>
        <v>0.41942805455188359</v>
      </c>
      <c r="C820" s="84">
        <f t="shared" ca="1" si="36"/>
        <v>0.46408992331704468</v>
      </c>
      <c r="D820" s="93" cm="1">
        <f t="array" aca="1" ref="D820" ca="1">_xlfn.SWITCH($B$4,"Normal MLE",EXP(_xlfn.NORM.INV(B820,LN($C$9),$E$9/$C$9)),"Uniforme",$B$9+($D$9-$B$9)*B820,"Triangular",IF(B820&lt;=($C$9-$B$9)/($D$9-$B$9),$B$9+SQRT(B820*($D$9-$B$9)*($C$9-$B$9)),$D$9-SQRT((1-B820)*($D$9-$B$9)*($D$9-$C$9))),"PERT",_xlfn.BETA.INV(B820,1+$B$6*($C$9-$B$9)/($D$9-$B$9),1+$B$6*($D$9-$C$9)/($D$9-$B$9),$B$9,$D$9))</f>
        <v>1.9199832941883808</v>
      </c>
      <c r="E820" s="94" cm="1">
        <f t="array" aca="1" ref="E820" ca="1">_xlfn.SWITCH($B$4,"Normal MLE",EXP(_xlfn.NORM.INV(C820,LN($C$10),$E$10/$C$10)),"Uniforme",$B$10+($D$10-$B$10)*C820,"Triangular",IF(C820&lt;=($C$10-$B$10)/($D$10-$B$10),$B$10+SQRT(C820*($D$10-$B$10)*($C$10-$B$10)),$D$10-SQRT((1-C820)*($D$10-$B$10)*($D$10-$C$10))),"PERT",_xlfn.BETA.INV(C820,1+$B$6*($C$10-$B$10)/($D$10-$B$10),1+$B$6*($D$10-$C$10)/($D$10-$B$10),$B$10,$D$10))</f>
        <v>5078.4304102547785</v>
      </c>
      <c r="F820" s="88">
        <f t="shared" ca="1" si="37"/>
        <v>0.53134265345320442</v>
      </c>
      <c r="G820" s="89">
        <f t="shared" ca="1" si="38"/>
        <v>1.6127550227444643E-4</v>
      </c>
    </row>
    <row r="821" spans="1:7" x14ac:dyDescent="0.35">
      <c r="A821" s="84">
        <v>806</v>
      </c>
      <c r="B821" s="84">
        <f t="shared" ca="1" si="36"/>
        <v>0.4514124170698024</v>
      </c>
      <c r="C821" s="84">
        <f t="shared" ca="1" si="36"/>
        <v>0.46854098923186571</v>
      </c>
      <c r="D821" s="93" cm="1">
        <f t="array" aca="1" ref="D821" ca="1">_xlfn.SWITCH($B$4,"Normal MLE",EXP(_xlfn.NORM.INV(B821,LN($C$9),$E$9/$C$9)),"Uniforme",$B$9+($D$9-$B$9)*B821,"Triangular",IF(B821&lt;=($C$9-$B$9)/($D$9-$B$9),$B$9+SQRT(B821*($D$9-$B$9)*($C$9-$B$9)),$D$9-SQRT((1-B821)*($D$9-$B$9)*($D$9-$C$9))),"PERT",_xlfn.BETA.INV(B821,1+$B$6*($C$9-$B$9)/($D$9-$B$9),1+$B$6*($D$9-$C$9)/($D$9-$B$9),$B$9,$D$9))</f>
        <v>1.9310019181642488</v>
      </c>
      <c r="E821" s="94" cm="1">
        <f t="array" aca="1" ref="E821" ca="1">_xlfn.SWITCH($B$4,"Normal MLE",EXP(_xlfn.NORM.INV(C821,LN($C$10),$E$10/$C$10)),"Uniforme",$B$10+($D$10-$B$10)*C821,"Triangular",IF(C821&lt;=($C$10-$B$10)/($D$10-$B$10),$B$10+SQRT(C821*($D$10-$B$10)*($C$10-$B$10)),$D$10-SQRT((1-C821)*($D$10-$B$10)*($D$10-$C$10))),"PERT",_xlfn.BETA.INV(C821,1+$B$6*($C$10-$B$10)/($D$10-$B$10),1+$B$6*($D$10-$C$10)/($D$10-$B$10),$B$10,$D$10))</f>
        <v>5081.0772269407053</v>
      </c>
      <c r="F821" s="88">
        <f t="shared" ca="1" si="37"/>
        <v>0.53256363733676715</v>
      </c>
      <c r="G821" s="89">
        <f t="shared" ca="1" si="38"/>
        <v>1.6198366699136062E-4</v>
      </c>
    </row>
    <row r="822" spans="1:7" x14ac:dyDescent="0.35">
      <c r="A822" s="84">
        <v>807</v>
      </c>
      <c r="B822" s="84">
        <f t="shared" ca="1" si="36"/>
        <v>0.33945696967061223</v>
      </c>
      <c r="C822" s="84">
        <f t="shared" ca="1" si="36"/>
        <v>0.86727027001317214</v>
      </c>
      <c r="D822" s="93" cm="1">
        <f t="array" aca="1" ref="D822" ca="1">_xlfn.SWITCH($B$4,"Normal MLE",EXP(_xlfn.NORM.INV(B822,LN($C$9),$E$9/$C$9)),"Uniforme",$B$9+($D$9-$B$9)*B822,"Triangular",IF(B822&lt;=($C$9-$B$9)/($D$9-$B$9),$B$9+SQRT(B822*($D$9-$B$9)*($C$9-$B$9)),$D$9-SQRT((1-B822)*($D$9-$B$9)*($D$9-$C$9))),"PERT",_xlfn.BETA.INV(B822,1+$B$6*($C$9-$B$9)/($D$9-$B$9),1+$B$6*($D$9-$C$9)/($D$9-$B$9),$B$9,$D$9))</f>
        <v>1.8917208857206662</v>
      </c>
      <c r="E822" s="94" cm="1">
        <f t="array" aca="1" ref="E822" ca="1">_xlfn.SWITCH($B$4,"Normal MLE",EXP(_xlfn.NORM.INV(C822,LN($C$10),$E$10/$C$10)),"Uniforme",$B$10+($D$10-$B$10)*C822,"Triangular",IF(C822&lt;=($C$10-$B$10)/($D$10-$B$10),$B$10+SQRT(C822*($D$10-$B$10)*($C$10-$B$10)),$D$10-SQRT((1-C822)*($D$10-$B$10)*($D$10-$C$10))),"PERT",_xlfn.BETA.INV(C822,1+$B$6*($C$10-$B$10)/($D$10-$B$10),1+$B$6*($D$10-$C$10)/($D$10-$B$10),$B$10,$D$10))</f>
        <v>5371.0116083775047</v>
      </c>
      <c r="F822" s="88">
        <f t="shared" ca="1" si="37"/>
        <v>0.56404526086396833</v>
      </c>
      <c r="G822" s="89">
        <f t="shared" ca="1" si="38"/>
        <v>1.5274891249828588E-4</v>
      </c>
    </row>
    <row r="823" spans="1:7" x14ac:dyDescent="0.35">
      <c r="A823" s="84">
        <v>808</v>
      </c>
      <c r="B823" s="84">
        <f t="shared" ca="1" si="36"/>
        <v>0.30912649419874316</v>
      </c>
      <c r="C823" s="84">
        <f t="shared" ca="1" si="36"/>
        <v>0.84803029780052208</v>
      </c>
      <c r="D823" s="93" cm="1">
        <f t="array" aca="1" ref="D823" ca="1">_xlfn.SWITCH($B$4,"Normal MLE",EXP(_xlfn.NORM.INV(B823,LN($C$9),$E$9/$C$9)),"Uniforme",$B$9+($D$9-$B$9)*B823,"Triangular",IF(B823&lt;=($C$9-$B$9)/($D$9-$B$9),$B$9+SQRT(B823*($D$9-$B$9)*($C$9-$B$9)),$D$9-SQRT((1-B823)*($D$9-$B$9)*($D$9-$C$9))),"PERT",_xlfn.BETA.INV(B823,1+$B$6*($C$9-$B$9)/($D$9-$B$9),1+$B$6*($D$9-$C$9)/($D$9-$B$9),$B$9,$D$9))</f>
        <v>1.8805133236459517</v>
      </c>
      <c r="E823" s="94" cm="1">
        <f t="array" aca="1" ref="E823" ca="1">_xlfn.SWITCH($B$4,"Normal MLE",EXP(_xlfn.NORM.INV(C823,LN($C$10),$E$10/$C$10)),"Uniforme",$B$10+($D$10-$B$10)*C823,"Triangular",IF(C823&lt;=($C$10-$B$10)/($D$10-$B$10),$B$10+SQRT(C823*($D$10-$B$10)*($C$10-$B$10)),$D$10-SQRT((1-C823)*($D$10-$B$10)*($D$10-$C$10))),"PERT",_xlfn.BETA.INV(C823,1+$B$6*($C$10-$B$10)/($D$10-$B$10),1+$B$6*($D$10-$C$10)/($D$10-$B$10),$B$10,$D$10))</f>
        <v>5349.6701430355515</v>
      </c>
      <c r="F823" s="88">
        <f t="shared" ca="1" si="37"/>
        <v>0.56055221177249459</v>
      </c>
      <c r="G823" s="89">
        <f t="shared" ca="1" si="38"/>
        <v>1.5254068534079288E-4</v>
      </c>
    </row>
    <row r="824" spans="1:7" x14ac:dyDescent="0.35">
      <c r="A824" s="84">
        <v>809</v>
      </c>
      <c r="B824" s="84">
        <f t="shared" ca="1" si="36"/>
        <v>0.91752391420808277</v>
      </c>
      <c r="C824" s="84">
        <f t="shared" ca="1" si="36"/>
        <v>0.70976978019821457</v>
      </c>
      <c r="D824" s="93" cm="1">
        <f t="array" aca="1" ref="D824" ca="1">_xlfn.SWITCH($B$4,"Normal MLE",EXP(_xlfn.NORM.INV(B824,LN($C$9),$E$9/$C$9)),"Uniforme",$B$9+($D$9-$B$9)*B824,"Triangular",IF(B824&lt;=($C$9-$B$9)/($D$9-$B$9),$B$9+SQRT(B824*($D$9-$B$9)*($C$9-$B$9)),$D$9-SQRT((1-B824)*($D$9-$B$9)*($D$9-$C$9))),"PERT",_xlfn.BETA.INV(B824,1+$B$6*($C$9-$B$9)/($D$9-$B$9),1+$B$6*($D$9-$C$9)/($D$9-$B$9),$B$9,$D$9))</f>
        <v>2.1477521254035246</v>
      </c>
      <c r="E824" s="94" cm="1">
        <f t="array" aca="1" ref="E824" ca="1">_xlfn.SWITCH($B$4,"Normal MLE",EXP(_xlfn.NORM.INV(C824,LN($C$10),$E$10/$C$10)),"Uniforme",$B$10+($D$10-$B$10)*C824,"Triangular",IF(C824&lt;=($C$10-$B$10)/($D$10-$B$10),$B$10+SQRT(C824*($D$10-$B$10)*($C$10-$B$10)),$D$10-SQRT((1-C824)*($D$10-$B$10)*($D$10-$C$10))),"PERT",_xlfn.BETA.INV(C824,1+$B$6*($C$10-$B$10)/($D$10-$B$10),1+$B$6*($D$10-$C$10)/($D$10-$B$10),$B$10,$D$10))</f>
        <v>5232.6439832678043</v>
      </c>
      <c r="F824" s="88">
        <f t="shared" ca="1" si="37"/>
        <v>0.57028585325019721</v>
      </c>
      <c r="G824" s="89">
        <f t="shared" ca="1" si="38"/>
        <v>1.7197187755164909E-4</v>
      </c>
    </row>
    <row r="825" spans="1:7" x14ac:dyDescent="0.35">
      <c r="A825" s="84">
        <v>810</v>
      </c>
      <c r="B825" s="84">
        <f t="shared" ca="1" si="36"/>
        <v>0.38467458822330869</v>
      </c>
      <c r="C825" s="84">
        <f t="shared" ca="1" si="36"/>
        <v>0.46164371016067773</v>
      </c>
      <c r="D825" s="93" cm="1">
        <f t="array" aca="1" ref="D825" ca="1">_xlfn.SWITCH($B$4,"Normal MLE",EXP(_xlfn.NORM.INV(B825,LN($C$9),$E$9/$C$9)),"Uniforme",$B$9+($D$9-$B$9)*B825,"Triangular",IF(B825&lt;=($C$9-$B$9)/($D$9-$B$9),$B$9+SQRT(B825*($D$9-$B$9)*($C$9-$B$9)),$D$9-SQRT((1-B825)*($D$9-$B$9)*($D$9-$C$9))),"PERT",_xlfn.BETA.INV(B825,1+$B$6*($C$9-$B$9)/($D$9-$B$9),1+$B$6*($D$9-$C$9)/($D$9-$B$9),$B$9,$D$9))</f>
        <v>1.9078709344165667</v>
      </c>
      <c r="E825" s="94" cm="1">
        <f t="array" aca="1" ref="E825" ca="1">_xlfn.SWITCH($B$4,"Normal MLE",EXP(_xlfn.NORM.INV(C825,LN($C$10),$E$10/$C$10)),"Uniforme",$B$10+($D$10-$B$10)*C825,"Triangular",IF(C825&lt;=($C$10-$B$10)/($D$10-$B$10),$B$10+SQRT(C825*($D$10-$B$10)*($C$10-$B$10)),$D$10-SQRT((1-C825)*($D$10-$B$10)*($D$10-$C$10))),"PERT",_xlfn.BETA.INV(C825,1+$B$6*($C$10-$B$10)/($D$10-$B$10),1+$B$6*($D$10-$C$10)/($D$10-$B$10),$B$10,$D$10))</f>
        <v>5076.9752456174456</v>
      </c>
      <c r="F825" s="88">
        <f t="shared" ca="1" si="37"/>
        <v>0.53018675446191832</v>
      </c>
      <c r="G825" s="89">
        <f t="shared" ca="1" si="38"/>
        <v>1.6046017965972134E-4</v>
      </c>
    </row>
    <row r="826" spans="1:7" x14ac:dyDescent="0.35">
      <c r="A826" s="84">
        <v>811</v>
      </c>
      <c r="B826" s="84">
        <f t="shared" ca="1" si="36"/>
        <v>0.74488634433843637</v>
      </c>
      <c r="C826" s="84">
        <f t="shared" ca="1" si="36"/>
        <v>0.78362694490242657</v>
      </c>
      <c r="D826" s="93" cm="1">
        <f t="array" aca="1" ref="D826" ca="1">_xlfn.SWITCH($B$4,"Normal MLE",EXP(_xlfn.NORM.INV(B826,LN($C$9),$E$9/$C$9)),"Uniforme",$B$9+($D$9-$B$9)*B826,"Triangular",IF(B826&lt;=($C$9-$B$9)/($D$9-$B$9),$B$9+SQRT(B826*($D$9-$B$9)*($C$9-$B$9)),$D$9-SQRT((1-B826)*($D$9-$B$9)*($D$9-$C$9))),"PERT",_xlfn.BETA.INV(B826,1+$B$6*($C$9-$B$9)/($D$9-$B$9),1+$B$6*($D$9-$C$9)/($D$9-$B$9),$B$9,$D$9))</f>
        <v>2.040116372984512</v>
      </c>
      <c r="E826" s="94" cm="1">
        <f t="array" aca="1" ref="E826" ca="1">_xlfn.SWITCH($B$4,"Normal MLE",EXP(_xlfn.NORM.INV(C826,LN($C$10),$E$10/$C$10)),"Uniforme",$B$10+($D$10-$B$10)*C826,"Triangular",IF(C826&lt;=($C$10-$B$10)/($D$10-$B$10),$B$10+SQRT(C826*($D$10-$B$10)*($C$10-$B$10)),$D$10-SQRT((1-C826)*($D$10-$B$10)*($D$10-$C$10))),"PERT",_xlfn.BETA.INV(C826,1+$B$6*($C$10-$B$10)/($D$10-$B$10),1+$B$6*($D$10-$C$10)/($D$10-$B$10),$B$10,$D$10))</f>
        <v>5289.3894536232419</v>
      </c>
      <c r="F826" s="88">
        <f t="shared" ca="1" si="37"/>
        <v>0.56806986861757025</v>
      </c>
      <c r="G826" s="89">
        <f t="shared" ca="1" si="38"/>
        <v>1.6384668287845177E-4</v>
      </c>
    </row>
    <row r="827" spans="1:7" x14ac:dyDescent="0.35">
      <c r="A827" s="84">
        <v>812</v>
      </c>
      <c r="B827" s="84">
        <f t="shared" ca="1" si="36"/>
        <v>0.53678473329068666</v>
      </c>
      <c r="C827" s="84">
        <f t="shared" ca="1" si="36"/>
        <v>0.39730248811733893</v>
      </c>
      <c r="D827" s="93" cm="1">
        <f t="array" aca="1" ref="D827" ca="1">_xlfn.SWITCH($B$4,"Normal MLE",EXP(_xlfn.NORM.INV(B827,LN($C$9),$E$9/$C$9)),"Uniforme",$B$9+($D$9-$B$9)*B827,"Triangular",IF(B827&lt;=($C$9-$B$9)/($D$9-$B$9),$B$9+SQRT(B827*($D$9-$B$9)*($C$9-$B$9)),$D$9-SQRT((1-B827)*($D$9-$B$9)*($D$9-$C$9))),"PERT",_xlfn.BETA.INV(B827,1+$B$6*($C$9-$B$9)/($D$9-$B$9),1+$B$6*($D$9-$C$9)/($D$9-$B$9),$B$9,$D$9))</f>
        <v>1.9603814482174393</v>
      </c>
      <c r="E827" s="94" cm="1">
        <f t="array" aca="1" ref="E827" ca="1">_xlfn.SWITCH($B$4,"Normal MLE",EXP(_xlfn.NORM.INV(C827,LN($C$10),$E$10/$C$10)),"Uniforme",$B$10+($D$10-$B$10)*C827,"Triangular",IF(C827&lt;=($C$10-$B$10)/($D$10-$B$10),$B$10+SQRT(C827*($D$10-$B$10)*($C$10-$B$10)),$D$10-SQRT((1-C827)*($D$10-$B$10)*($D$10-$C$10))),"PERT",_xlfn.BETA.INV(C827,1+$B$6*($C$10-$B$10)/($D$10-$B$10),1+$B$6*($D$10-$C$10)/($D$10-$B$10),$B$10,$D$10))</f>
        <v>5038.3673091346491</v>
      </c>
      <c r="F827" s="88">
        <f t="shared" ca="1" si="37"/>
        <v>0.52936381411428157</v>
      </c>
      <c r="G827" s="89">
        <f t="shared" ca="1" si="38"/>
        <v>1.6502363003715679E-4</v>
      </c>
    </row>
    <row r="828" spans="1:7" x14ac:dyDescent="0.35">
      <c r="A828" s="84">
        <v>813</v>
      </c>
      <c r="B828" s="84">
        <f t="shared" ca="1" si="36"/>
        <v>0.22802412651306136</v>
      </c>
      <c r="C828" s="84">
        <f t="shared" ca="1" si="36"/>
        <v>0.24450227021416615</v>
      </c>
      <c r="D828" s="93" cm="1">
        <f t="array" aca="1" ref="D828" ca="1">_xlfn.SWITCH($B$4,"Normal MLE",EXP(_xlfn.NORM.INV(B828,LN($C$9),$E$9/$C$9)),"Uniforme",$B$9+($D$9-$B$9)*B828,"Triangular",IF(B828&lt;=($C$9-$B$9)/($D$9-$B$9),$B$9+SQRT(B828*($D$9-$B$9)*($C$9-$B$9)),$D$9-SQRT((1-B828)*($D$9-$B$9)*($D$9-$C$9))),"PERT",_xlfn.BETA.INV(B828,1+$B$6*($C$9-$B$9)/($D$9-$B$9),1+$B$6*($D$9-$C$9)/($D$9-$B$9),$B$9,$D$9))</f>
        <v>1.8480817801850866</v>
      </c>
      <c r="E828" s="94" cm="1">
        <f t="array" aca="1" ref="E828" ca="1">_xlfn.SWITCH($B$4,"Normal MLE",EXP(_xlfn.NORM.INV(C828,LN($C$10),$E$10/$C$10)),"Uniforme",$B$10+($D$10-$B$10)*C828,"Triangular",IF(C828&lt;=($C$10-$B$10)/($D$10-$B$10),$B$10+SQRT(C828*($D$10-$B$10)*($C$10-$B$10)),$D$10-SQRT((1-C828)*($D$10-$B$10)*($D$10-$C$10))),"PERT",_xlfn.BETA.INV(C828,1+$B$6*($C$10-$B$10)/($D$10-$B$10),1+$B$6*($D$10-$C$10)/($D$10-$B$10),$B$10,$D$10))</f>
        <v>4938.194899600503</v>
      </c>
      <c r="F828" s="88">
        <f t="shared" ca="1" si="37"/>
        <v>0.5079041358705142</v>
      </c>
      <c r="G828" s="89">
        <f t="shared" ca="1" si="38"/>
        <v>1.58974783103679E-4</v>
      </c>
    </row>
    <row r="829" spans="1:7" x14ac:dyDescent="0.35">
      <c r="A829" s="84">
        <v>814</v>
      </c>
      <c r="B829" s="84">
        <f t="shared" ca="1" si="36"/>
        <v>0.95494788890958748</v>
      </c>
      <c r="C829" s="84">
        <f t="shared" ca="1" si="36"/>
        <v>0.95015939885010137</v>
      </c>
      <c r="D829" s="93" cm="1">
        <f t="array" aca="1" ref="D829" ca="1">_xlfn.SWITCH($B$4,"Normal MLE",EXP(_xlfn.NORM.INV(B829,LN($C$9),$E$9/$C$9)),"Uniforme",$B$9+($D$9-$B$9)*B829,"Triangular",IF(B829&lt;=($C$9-$B$9)/($D$9-$B$9),$B$9+SQRT(B829*($D$9-$B$9)*($C$9-$B$9)),$D$9-SQRT((1-B829)*($D$9-$B$9)*($D$9-$C$9))),"PERT",_xlfn.BETA.INV(B829,1+$B$6*($C$9-$B$9)/($D$9-$B$9),1+$B$6*($D$9-$C$9)/($D$9-$B$9),$B$9,$D$9))</f>
        <v>2.1945721110236249</v>
      </c>
      <c r="E829" s="94" cm="1">
        <f t="array" aca="1" ref="E829" ca="1">_xlfn.SWITCH($B$4,"Normal MLE",EXP(_xlfn.NORM.INV(C829,LN($C$10),$E$10/$C$10)),"Uniforme",$B$10+($D$10-$B$10)*C829,"Triangular",IF(C829&lt;=($C$10-$B$10)/($D$10-$B$10),$B$10+SQRT(C829*($D$10-$B$10)*($C$10-$B$10)),$D$10-SQRT((1-C829)*($D$10-$B$10)*($D$10-$C$10))),"PERT",_xlfn.BETA.INV(C829,1+$B$6*($C$10-$B$10)/($D$10-$B$10),1+$B$6*($D$10-$C$10)/($D$10-$B$10),$B$10,$D$10))</f>
        <v>5505.8476394559966</v>
      </c>
      <c r="F829" s="88">
        <f t="shared" ca="1" si="37"/>
        <v>0.60896839778533207</v>
      </c>
      <c r="G829" s="89">
        <f t="shared" ca="1" si="38"/>
        <v>1.6571300067829578E-4</v>
      </c>
    </row>
    <row r="830" spans="1:7" x14ac:dyDescent="0.35">
      <c r="A830" s="84">
        <v>815</v>
      </c>
      <c r="B830" s="84">
        <f t="shared" ca="1" si="36"/>
        <v>0.13332931526472636</v>
      </c>
      <c r="C830" s="84">
        <f t="shared" ca="1" si="36"/>
        <v>0.9058678815090051</v>
      </c>
      <c r="D830" s="93" cm="1">
        <f t="array" aca="1" ref="D830" ca="1">_xlfn.SWITCH($B$4,"Normal MLE",EXP(_xlfn.NORM.INV(B830,LN($C$9),$E$9/$C$9)),"Uniforme",$B$9+($D$9-$B$9)*B830,"Triangular",IF(B830&lt;=($C$9-$B$9)/($D$9-$B$9),$B$9+SQRT(B830*($D$9-$B$9)*($C$9-$B$9)),$D$9-SQRT((1-B830)*($D$9-$B$9)*($D$9-$C$9))),"PERT",_xlfn.BETA.INV(B830,1+$B$6*($C$9-$B$9)/($D$9-$B$9),1+$B$6*($D$9-$C$9)/($D$9-$B$9),$B$9,$D$9))</f>
        <v>1.8011322597129162</v>
      </c>
      <c r="E830" s="94" cm="1">
        <f t="array" aca="1" ref="E830" ca="1">_xlfn.SWITCH($B$4,"Normal MLE",EXP(_xlfn.NORM.INV(C830,LN($C$10),$E$10/$C$10)),"Uniforme",$B$10+($D$10-$B$10)*C830,"Triangular",IF(C830&lt;=($C$10-$B$10)/($D$10-$B$10),$B$10+SQRT(C830*($D$10-$B$10)*($C$10-$B$10)),$D$10-SQRT((1-C830)*($D$10-$B$10)*($D$10-$C$10))),"PERT",_xlfn.BETA.INV(C830,1+$B$6*($C$10-$B$10)/($D$10-$B$10),1+$B$6*($D$10-$C$10)/($D$10-$B$10),$B$10,$D$10))</f>
        <v>5421.7749726752336</v>
      </c>
      <c r="F830" s="88">
        <f t="shared" ca="1" si="37"/>
        <v>0.56088792357086092</v>
      </c>
      <c r="G830" s="89">
        <f t="shared" ca="1" si="38"/>
        <v>1.4603785903153854E-4</v>
      </c>
    </row>
    <row r="831" spans="1:7" x14ac:dyDescent="0.35">
      <c r="A831" s="84">
        <v>816</v>
      </c>
      <c r="B831" s="84">
        <f t="shared" ca="1" si="36"/>
        <v>5.5514504076333737E-2</v>
      </c>
      <c r="C831" s="84">
        <f t="shared" ca="1" si="36"/>
        <v>0.18593522232428739</v>
      </c>
      <c r="D831" s="93" cm="1">
        <f t="array" aca="1" ref="D831" ca="1">_xlfn.SWITCH($B$4,"Normal MLE",EXP(_xlfn.NORM.INV(B831,LN($C$9),$E$9/$C$9)),"Uniforme",$B$9+($D$9-$B$9)*B831,"Triangular",IF(B831&lt;=($C$9-$B$9)/($D$9-$B$9),$B$9+SQRT(B831*($D$9-$B$9)*($C$9-$B$9)),$D$9-SQRT((1-B831)*($D$9-$B$9)*($D$9-$C$9))),"PERT",_xlfn.BETA.INV(B831,1+$B$6*($C$9-$B$9)/($D$9-$B$9),1+$B$6*($D$9-$C$9)/($D$9-$B$9),$B$9,$D$9))</f>
        <v>1.7409263333340874</v>
      </c>
      <c r="E831" s="94" cm="1">
        <f t="array" aca="1" ref="E831" ca="1">_xlfn.SWITCH($B$4,"Normal MLE",EXP(_xlfn.NORM.INV(C831,LN($C$10),$E$10/$C$10)),"Uniforme",$B$10+($D$10-$B$10)*C831,"Triangular",IF(C831&lt;=($C$10-$B$10)/($D$10-$B$10),$B$10+SQRT(C831*($D$10-$B$10)*($C$10-$B$10)),$D$10-SQRT((1-C831)*($D$10-$B$10)*($D$10-$C$10))),"PERT",_xlfn.BETA.INV(C831,1+$B$6*($C$10-$B$10)/($D$10-$B$10),1+$B$6*($D$10-$C$10)/($D$10-$B$10),$B$10,$D$10))</f>
        <v>4892.202634733193</v>
      </c>
      <c r="F831" s="88">
        <f t="shared" ca="1" si="37"/>
        <v>0.49444817799218743</v>
      </c>
      <c r="G831" s="89">
        <f t="shared" ca="1" si="38"/>
        <v>1.5156776463148681E-4</v>
      </c>
    </row>
    <row r="832" spans="1:7" x14ac:dyDescent="0.35">
      <c r="A832" s="84">
        <v>817</v>
      </c>
      <c r="B832" s="84">
        <f t="shared" ca="1" si="36"/>
        <v>0.733820039505102</v>
      </c>
      <c r="C832" s="84">
        <f t="shared" ca="1" si="36"/>
        <v>0.62793304354441637</v>
      </c>
      <c r="D832" s="93" cm="1">
        <f t="array" aca="1" ref="D832" ca="1">_xlfn.SWITCH($B$4,"Normal MLE",EXP(_xlfn.NORM.INV(B832,LN($C$9),$E$9/$C$9)),"Uniforme",$B$9+($D$9-$B$9)*B832,"Triangular",IF(B832&lt;=($C$9-$B$9)/($D$9-$B$9),$B$9+SQRT(B832*($D$9-$B$9)*($C$9-$B$9)),$D$9-SQRT((1-B832)*($D$9-$B$9)*($D$9-$C$9))),"PERT",_xlfn.BETA.INV(B832,1+$B$6*($C$9-$B$9)/($D$9-$B$9),1+$B$6*($D$9-$C$9)/($D$9-$B$9),$B$9,$D$9))</f>
        <v>2.0352267262568176</v>
      </c>
      <c r="E832" s="94" cm="1">
        <f t="array" aca="1" ref="E832" ca="1">_xlfn.SWITCH($B$4,"Normal MLE",EXP(_xlfn.NORM.INV(C832,LN($C$10),$E$10/$C$10)),"Uniforme",$B$10+($D$10-$B$10)*C832,"Triangular",IF(C832&lt;=($C$10-$B$10)/($D$10-$B$10),$B$10+SQRT(C832*($D$10-$B$10)*($C$10-$B$10)),$D$10-SQRT((1-C832)*($D$10-$B$10)*($D$10-$C$10))),"PERT",_xlfn.BETA.INV(C832,1+$B$6*($C$10-$B$10)/($D$10-$B$10),1+$B$6*($D$10-$C$10)/($D$10-$B$10),$B$10,$D$10))</f>
        <v>5177.8228036279224</v>
      </c>
      <c r="F832" s="88">
        <f t="shared" ca="1" si="37"/>
        <v>0.55355491291884595</v>
      </c>
      <c r="G832" s="89">
        <f t="shared" ca="1" si="38"/>
        <v>1.6656765262879864E-4</v>
      </c>
    </row>
    <row r="833" spans="1:7" x14ac:dyDescent="0.35">
      <c r="A833" s="84">
        <v>818</v>
      </c>
      <c r="B833" s="84">
        <f t="shared" ca="1" si="36"/>
        <v>0.61963185307848512</v>
      </c>
      <c r="C833" s="84">
        <f t="shared" ca="1" si="36"/>
        <v>0.91962834096921764</v>
      </c>
      <c r="D833" s="93" cm="1">
        <f t="array" aca="1" ref="D833" ca="1">_xlfn.SWITCH($B$4,"Normal MLE",EXP(_xlfn.NORM.INV(B833,LN($C$9),$E$9/$C$9)),"Uniforme",$B$9+($D$9-$B$9)*B833,"Triangular",IF(B833&lt;=($C$9-$B$9)/($D$9-$B$9),$B$9+SQRT(B833*($D$9-$B$9)*($C$9-$B$9)),$D$9-SQRT((1-B833)*($D$9-$B$9)*($D$9-$C$9))),"PERT",_xlfn.BETA.INV(B833,1+$B$6*($C$9-$B$9)/($D$9-$B$9),1+$B$6*($D$9-$C$9)/($D$9-$B$9),$B$9,$D$9))</f>
        <v>1.9898922435855351</v>
      </c>
      <c r="E833" s="94" cm="1">
        <f t="array" aca="1" ref="E833" ca="1">_xlfn.SWITCH($B$4,"Normal MLE",EXP(_xlfn.NORM.INV(C833,LN($C$10),$E$10/$C$10)),"Uniforme",$B$10+($D$10-$B$10)*C833,"Triangular",IF(C833&lt;=($C$10-$B$10)/($D$10-$B$10),$B$10+SQRT(C833*($D$10-$B$10)*($C$10-$B$10)),$D$10-SQRT((1-C833)*($D$10-$B$10)*($D$10-$C$10))),"PERT",_xlfn.BETA.INV(C833,1+$B$6*($C$10-$B$10)/($D$10-$B$10),1+$B$6*($D$10-$C$10)/($D$10-$B$10),$B$10,$D$10))</f>
        <v>5443.7300825185475</v>
      </c>
      <c r="F833" s="88">
        <f t="shared" ca="1" si="37"/>
        <v>0.5818159128997622</v>
      </c>
      <c r="G833" s="89">
        <f t="shared" ca="1" si="38"/>
        <v>1.5675982380293973E-4</v>
      </c>
    </row>
    <row r="834" spans="1:7" x14ac:dyDescent="0.35">
      <c r="A834" s="84">
        <v>819</v>
      </c>
      <c r="B834" s="84">
        <f t="shared" ca="1" si="36"/>
        <v>0.95643388358951764</v>
      </c>
      <c r="C834" s="84">
        <f t="shared" ca="1" si="36"/>
        <v>0.87221654065651688</v>
      </c>
      <c r="D834" s="93" cm="1">
        <f t="array" aca="1" ref="D834" ca="1">_xlfn.SWITCH($B$4,"Normal MLE",EXP(_xlfn.NORM.INV(B834,LN($C$9),$E$9/$C$9)),"Uniforme",$B$9+($D$9-$B$9)*B834,"Triangular",IF(B834&lt;=($C$9-$B$9)/($D$9-$B$9),$B$9+SQRT(B834*($D$9-$B$9)*($C$9-$B$9)),$D$9-SQRT((1-B834)*($D$9-$B$9)*($D$9-$C$9))),"PERT",_xlfn.BETA.INV(B834,1+$B$6*($C$9-$B$9)/($D$9-$B$9),1+$B$6*($D$9-$C$9)/($D$9-$B$9),$B$9,$D$9))</f>
        <v>2.1970268075782666</v>
      </c>
      <c r="E834" s="94" cm="1">
        <f t="array" aca="1" ref="E834" ca="1">_xlfn.SWITCH($B$4,"Normal MLE",EXP(_xlfn.NORM.INV(C834,LN($C$10),$E$10/$C$10)),"Uniforme",$B$10+($D$10-$B$10)*C834,"Triangular",IF(C834&lt;=($C$10-$B$10)/($D$10-$B$10),$B$10+SQRT(C834*($D$10-$B$10)*($C$10-$B$10)),$D$10-SQRT((1-C834)*($D$10-$B$10)*($D$10-$C$10))),"PERT",_xlfn.BETA.INV(C834,1+$B$6*($C$10-$B$10)/($D$10-$B$10),1+$B$6*($D$10-$C$10)/($D$10-$B$10),$B$10,$D$10))</f>
        <v>5376.8511982711043</v>
      </c>
      <c r="F834" s="88">
        <f t="shared" ca="1" si="37"/>
        <v>0.59327435704522191</v>
      </c>
      <c r="G834" s="89">
        <f t="shared" ca="1" si="38"/>
        <v>1.7013091750627869E-4</v>
      </c>
    </row>
    <row r="835" spans="1:7" x14ac:dyDescent="0.35">
      <c r="A835" s="84">
        <v>820</v>
      </c>
      <c r="B835" s="84">
        <f t="shared" ca="1" si="36"/>
        <v>0.33126169318888932</v>
      </c>
      <c r="C835" s="84">
        <f t="shared" ca="1" si="36"/>
        <v>0.94006370147171237</v>
      </c>
      <c r="D835" s="93" cm="1">
        <f t="array" aca="1" ref="D835" ca="1">_xlfn.SWITCH($B$4,"Normal MLE",EXP(_xlfn.NORM.INV(B835,LN($C$9),$E$9/$C$9)),"Uniforme",$B$9+($D$9-$B$9)*B835,"Triangular",IF(B835&lt;=($C$9-$B$9)/($D$9-$B$9),$B$9+SQRT(B835*($D$9-$B$9)*($C$9-$B$9)),$D$9-SQRT((1-B835)*($D$9-$B$9)*($D$9-$C$9))),"PERT",_xlfn.BETA.INV(B835,1+$B$6*($C$9-$B$9)/($D$9-$B$9),1+$B$6*($D$9-$C$9)/($D$9-$B$9),$B$9,$D$9))</f>
        <v>1.8887277655733943</v>
      </c>
      <c r="E835" s="94" cm="1">
        <f t="array" aca="1" ref="E835" ca="1">_xlfn.SWITCH($B$4,"Normal MLE",EXP(_xlfn.NORM.INV(C835,LN($C$10),$E$10/$C$10)),"Uniforme",$B$10+($D$10-$B$10)*C835,"Triangular",IF(C835&lt;=($C$10-$B$10)/($D$10-$B$10),$B$10+SQRT(C835*($D$10-$B$10)*($C$10-$B$10)),$D$10-SQRT((1-C835)*($D$10-$B$10)*($D$10-$C$10))),"PERT",_xlfn.BETA.INV(C835,1+$B$6*($C$10-$B$10)/($D$10-$B$10),1+$B$6*($D$10-$C$10)/($D$10-$B$10),$B$10,$D$10))</f>
        <v>5482.558144241505</v>
      </c>
      <c r="F835" s="88">
        <f t="shared" ca="1" si="37"/>
        <v>0.57619934550594643</v>
      </c>
      <c r="G835" s="89">
        <f t="shared" ca="1" si="38"/>
        <v>1.4999313447277153E-4</v>
      </c>
    </row>
    <row r="836" spans="1:7" x14ac:dyDescent="0.35">
      <c r="A836" s="84">
        <v>821</v>
      </c>
      <c r="B836" s="84">
        <f t="shared" ca="1" si="36"/>
        <v>0.82329456212322416</v>
      </c>
      <c r="C836" s="84">
        <f t="shared" ca="1" si="36"/>
        <v>0.98616895874859345</v>
      </c>
      <c r="D836" s="93" cm="1">
        <f t="array" aca="1" ref="D836" ca="1">_xlfn.SWITCH($B$4,"Normal MLE",EXP(_xlfn.NORM.INV(B836,LN($C$9),$E$9/$C$9)),"Uniforme",$B$9+($D$9-$B$9)*B836,"Triangular",IF(B836&lt;=($C$9-$B$9)/($D$9-$B$9),$B$9+SQRT(B836*($D$9-$B$9)*($C$9-$B$9)),$D$9-SQRT((1-B836)*($D$9-$B$9)*($D$9-$C$9))),"PERT",_xlfn.BETA.INV(B836,1+$B$6*($C$9-$B$9)/($D$9-$B$9),1+$B$6*($D$9-$C$9)/($D$9-$B$9),$B$9,$D$9))</f>
        <v>2.0792049669697321</v>
      </c>
      <c r="E836" s="94" cm="1">
        <f t="array" aca="1" ref="E836" ca="1">_xlfn.SWITCH($B$4,"Normal MLE",EXP(_xlfn.NORM.INV(C836,LN($C$10),$E$10/$C$10)),"Uniforme",$B$10+($D$10-$B$10)*C836,"Triangular",IF(C836&lt;=($C$10-$B$10)/($D$10-$B$10),$B$10+SQRT(C836*($D$10-$B$10)*($C$10-$B$10)),$D$10-SQRT((1-C836)*($D$10-$B$10)*($D$10-$C$10))),"PERT",_xlfn.BETA.INV(C836,1+$B$6*($C$10-$B$10)/($D$10-$B$10),1+$B$6*($D$10-$C$10)/($D$10-$B$10),$B$10,$D$10))</f>
        <v>5650.0662108615343</v>
      </c>
      <c r="F836" s="88">
        <f t="shared" ca="1" si="37"/>
        <v>0.61405090321891398</v>
      </c>
      <c r="G836" s="89">
        <f t="shared" ca="1" si="38"/>
        <v>1.556590449959053E-4</v>
      </c>
    </row>
    <row r="837" spans="1:7" x14ac:dyDescent="0.35">
      <c r="A837" s="84">
        <v>822</v>
      </c>
      <c r="B837" s="84">
        <f t="shared" ca="1" si="36"/>
        <v>0.19375344211586643</v>
      </c>
      <c r="C837" s="84">
        <f t="shared" ca="1" si="36"/>
        <v>0.17562655461173227</v>
      </c>
      <c r="D837" s="93" cm="1">
        <f t="array" aca="1" ref="D837" ca="1">_xlfn.SWITCH($B$4,"Normal MLE",EXP(_xlfn.NORM.INV(B837,LN($C$9),$E$9/$C$9)),"Uniforme",$B$9+($D$9-$B$9)*B837,"Triangular",IF(B837&lt;=($C$9-$B$9)/($D$9-$B$9),$B$9+SQRT(B837*($D$9-$B$9)*($C$9-$B$9)),$D$9-SQRT((1-B837)*($D$9-$B$9)*($D$9-$C$9))),"PERT",_xlfn.BETA.INV(B837,1+$B$6*($C$9-$B$9)/($D$9-$B$9),1+$B$6*($D$9-$C$9)/($D$9-$B$9),$B$9,$D$9))</f>
        <v>1.8326883959138058</v>
      </c>
      <c r="E837" s="94" cm="1">
        <f t="array" aca="1" ref="E837" ca="1">_xlfn.SWITCH($B$4,"Normal MLE",EXP(_xlfn.NORM.INV(C837,LN($C$10),$E$10/$C$10)),"Uniforme",$B$10+($D$10-$B$10)*C837,"Triangular",IF(C837&lt;=($C$10-$B$10)/($D$10-$B$10),$B$10+SQRT(C837*($D$10-$B$10)*($C$10-$B$10)),$D$10-SQRT((1-C837)*($D$10-$B$10)*($D$10-$C$10))),"PERT",_xlfn.BETA.INV(C837,1+$B$6*($C$10-$B$10)/($D$10-$B$10),1+$B$6*($D$10-$C$10)/($D$10-$B$10),$B$10,$D$10))</f>
        <v>4883.2898195040398</v>
      </c>
      <c r="F837" s="88">
        <f t="shared" ca="1" si="37"/>
        <v>0.49970669802035245</v>
      </c>
      <c r="G837" s="89">
        <f t="shared" ca="1" si="38"/>
        <v>1.5883154562267433E-4</v>
      </c>
    </row>
    <row r="838" spans="1:7" x14ac:dyDescent="0.35">
      <c r="A838" s="84">
        <v>823</v>
      </c>
      <c r="B838" s="84">
        <f t="shared" ca="1" si="36"/>
        <v>0.91237910355389207</v>
      </c>
      <c r="C838" s="84">
        <f t="shared" ca="1" si="36"/>
        <v>0.17235973001149762</v>
      </c>
      <c r="D838" s="93" cm="1">
        <f t="array" aca="1" ref="D838" ca="1">_xlfn.SWITCH($B$4,"Normal MLE",EXP(_xlfn.NORM.INV(B838,LN($C$9),$E$9/$C$9)),"Uniforme",$B$9+($D$9-$B$9)*B838,"Triangular",IF(B838&lt;=($C$9-$B$9)/($D$9-$B$9),$B$9+SQRT(B838*($D$9-$B$9)*($C$9-$B$9)),$D$9-SQRT((1-B838)*($D$9-$B$9)*($D$9-$C$9))),"PERT",_xlfn.BETA.INV(B838,1+$B$6*($C$9-$B$9)/($D$9-$B$9),1+$B$6*($D$9-$C$9)/($D$9-$B$9),$B$9,$D$9))</f>
        <v>2.1427585064990433</v>
      </c>
      <c r="E838" s="94" cm="1">
        <f t="array" aca="1" ref="E838" ca="1">_xlfn.SWITCH($B$4,"Normal MLE",EXP(_xlfn.NORM.INV(C838,LN($C$10),$E$10/$C$10)),"Uniforme",$B$10+($D$10-$B$10)*C838,"Triangular",IF(C838&lt;=($C$10-$B$10)/($D$10-$B$10),$B$10+SQRT(C838*($D$10-$B$10)*($C$10-$B$10)),$D$10-SQRT((1-C838)*($D$10-$B$10)*($D$10-$C$10))),"PERT",_xlfn.BETA.INV(C838,1+$B$6*($C$10-$B$10)/($D$10-$B$10),1+$B$6*($D$10-$C$10)/($D$10-$B$10),$B$10,$D$10))</f>
        <v>4880.4001951180526</v>
      </c>
      <c r="F838" s="88">
        <f t="shared" ca="1" si="37"/>
        <v>0.52051153244868675</v>
      </c>
      <c r="G838" s="89">
        <f t="shared" ca="1" si="38"/>
        <v>1.8206187837143965E-4</v>
      </c>
    </row>
    <row r="839" spans="1:7" x14ac:dyDescent="0.35">
      <c r="A839" s="84">
        <v>824</v>
      </c>
      <c r="B839" s="84">
        <f t="shared" ca="1" si="36"/>
        <v>0.52513519875847914</v>
      </c>
      <c r="C839" s="84">
        <f t="shared" ca="1" si="36"/>
        <v>0.38205820986595629</v>
      </c>
      <c r="D839" s="93" cm="1">
        <f t="array" aca="1" ref="D839" ca="1">_xlfn.SWITCH($B$4,"Normal MLE",EXP(_xlfn.NORM.INV(B839,LN($C$9),$E$9/$C$9)),"Uniforme",$B$9+($D$9-$B$9)*B839,"Triangular",IF(B839&lt;=($C$9-$B$9)/($D$9-$B$9),$B$9+SQRT(B839*($D$9-$B$9)*($C$9-$B$9)),$D$9-SQRT((1-B839)*($D$9-$B$9)*($D$9-$C$9))),"PERT",_xlfn.BETA.INV(B839,1+$B$6*($C$9-$B$9)/($D$9-$B$9),1+$B$6*($D$9-$C$9)/($D$9-$B$9),$B$9,$D$9))</f>
        <v>1.9563421102880207</v>
      </c>
      <c r="E839" s="94" cm="1">
        <f t="array" aca="1" ref="E839" ca="1">_xlfn.SWITCH($B$4,"Normal MLE",EXP(_xlfn.NORM.INV(C839,LN($C$10),$E$10/$C$10)),"Uniforme",$B$10+($D$10-$B$10)*C839,"Triangular",IF(C839&lt;=($C$10-$B$10)/($D$10-$B$10),$B$10+SQRT(C839*($D$10-$B$10)*($C$10-$B$10)),$D$10-SQRT((1-C839)*($D$10-$B$10)*($D$10-$C$10))),"PERT",_xlfn.BETA.INV(C839,1+$B$6*($C$10-$B$10)/($D$10-$B$10),1+$B$6*($D$10-$C$10)/($D$10-$B$10),$B$10,$D$10))</f>
        <v>5029.0576413121698</v>
      </c>
      <c r="F839" s="88">
        <f t="shared" ca="1" si="37"/>
        <v>0.52783034458488798</v>
      </c>
      <c r="G839" s="89">
        <f t="shared" ca="1" si="38"/>
        <v>1.6495545352950206E-4</v>
      </c>
    </row>
    <row r="840" spans="1:7" x14ac:dyDescent="0.35">
      <c r="A840" s="84">
        <v>825</v>
      </c>
      <c r="B840" s="84">
        <f t="shared" ca="1" si="36"/>
        <v>6.5461628066069699E-2</v>
      </c>
      <c r="C840" s="84">
        <f t="shared" ca="1" si="36"/>
        <v>0.9689106174921559</v>
      </c>
      <c r="D840" s="93" cm="1">
        <f t="array" aca="1" ref="D840" ca="1">_xlfn.SWITCH($B$4,"Normal MLE",EXP(_xlfn.NORM.INV(B840,LN($C$9),$E$9/$C$9)),"Uniforme",$B$9+($D$9-$B$9)*B840,"Triangular",IF(B840&lt;=($C$9-$B$9)/($D$9-$B$9),$B$9+SQRT(B840*($D$9-$B$9)*($C$9-$B$9)),$D$9-SQRT((1-B840)*($D$9-$B$9)*($D$9-$C$9))),"PERT",_xlfn.BETA.INV(B840,1+$B$6*($C$9-$B$9)/($D$9-$B$9),1+$B$6*($D$9-$C$9)/($D$9-$B$9),$B$9,$D$9))</f>
        <v>1.751145571838874</v>
      </c>
      <c r="E840" s="94" cm="1">
        <f t="array" aca="1" ref="E840" ca="1">_xlfn.SWITCH($B$4,"Normal MLE",EXP(_xlfn.NORM.INV(C840,LN($C$10),$E$10/$C$10)),"Uniforme",$B$10+($D$10-$B$10)*C840,"Triangular",IF(C840&lt;=($C$10-$B$10)/($D$10-$B$10),$B$10+SQRT(C840*($D$10-$B$10)*($C$10-$B$10)),$D$10-SQRT((1-C840)*($D$10-$B$10)*($D$10-$C$10))),"PERT",_xlfn.BETA.INV(C840,1+$B$6*($C$10-$B$10)/($D$10-$B$10),1+$B$6*($D$10-$C$10)/($D$10-$B$10),$B$10,$D$10))</f>
        <v>5562.1457284838853</v>
      </c>
      <c r="F840" s="88">
        <f t="shared" ca="1" si="37"/>
        <v>0.57041404863129941</v>
      </c>
      <c r="G840" s="89">
        <f t="shared" ca="1" si="38"/>
        <v>1.4019072947676876E-4</v>
      </c>
    </row>
    <row r="841" spans="1:7" x14ac:dyDescent="0.35">
      <c r="A841" s="84">
        <v>826</v>
      </c>
      <c r="B841" s="84">
        <f t="shared" ca="1" si="36"/>
        <v>0.29116932032029263</v>
      </c>
      <c r="C841" s="84">
        <f t="shared" ca="1" si="36"/>
        <v>0.10909129978992316</v>
      </c>
      <c r="D841" s="93" cm="1">
        <f t="array" aca="1" ref="D841" ca="1">_xlfn.SWITCH($B$4,"Normal MLE",EXP(_xlfn.NORM.INV(B841,LN($C$9),$E$9/$C$9)),"Uniforme",$B$9+($D$9-$B$9)*B841,"Triangular",IF(B841&lt;=($C$9-$B$9)/($D$9-$B$9),$B$9+SQRT(B841*($D$9-$B$9)*($C$9-$B$9)),$D$9-SQRT((1-B841)*($D$9-$B$9)*($D$9-$C$9))),"PERT",_xlfn.BETA.INV(B841,1+$B$6*($C$9-$B$9)/($D$9-$B$9),1+$B$6*($D$9-$C$9)/($D$9-$B$9),$B$9,$D$9))</f>
        <v>1.8736867907700359</v>
      </c>
      <c r="E841" s="94" cm="1">
        <f t="array" aca="1" ref="E841" ca="1">_xlfn.SWITCH($B$4,"Normal MLE",EXP(_xlfn.NORM.INV(C841,LN($C$10),$E$10/$C$10)),"Uniforme",$B$10+($D$10-$B$10)*C841,"Triangular",IF(C841&lt;=($C$10-$B$10)/($D$10-$B$10),$B$10+SQRT(C841*($D$10-$B$10)*($C$10-$B$10)),$D$10-SQRT((1-C841)*($D$10-$B$10)*($D$10-$C$10))),"PERT",_xlfn.BETA.INV(C841,1+$B$6*($C$10-$B$10)/($D$10-$B$10),1+$B$6*($D$10-$C$10)/($D$10-$B$10),$B$10,$D$10))</f>
        <v>4815.7675314914877</v>
      </c>
      <c r="F841" s="88">
        <f t="shared" ca="1" si="37"/>
        <v>0.49348166571481134</v>
      </c>
      <c r="G841" s="89">
        <f t="shared" ca="1" si="38"/>
        <v>1.6325952253506431E-4</v>
      </c>
    </row>
    <row r="842" spans="1:7" x14ac:dyDescent="0.35">
      <c r="A842" s="84">
        <v>827</v>
      </c>
      <c r="B842" s="84">
        <f t="shared" ca="1" si="36"/>
        <v>0.43283074295060675</v>
      </c>
      <c r="C842" s="84">
        <f t="shared" ca="1" si="36"/>
        <v>0.10313730247013397</v>
      </c>
      <c r="D842" s="93" cm="1">
        <f t="array" aca="1" ref="D842" ca="1">_xlfn.SWITCH($B$4,"Normal MLE",EXP(_xlfn.NORM.INV(B842,LN($C$9),$E$9/$C$9)),"Uniforme",$B$9+($D$9-$B$9)*B842,"Triangular",IF(B842&lt;=($C$9-$B$9)/($D$9-$B$9),$B$9+SQRT(B842*($D$9-$B$9)*($C$9-$B$9)),$D$9-SQRT((1-B842)*($D$9-$B$9)*($D$9-$C$9))),"PERT",_xlfn.BETA.INV(B842,1+$B$6*($C$9-$B$9)/($D$9-$B$9),1+$B$6*($D$9-$C$9)/($D$9-$B$9),$B$9,$D$9))</f>
        <v>1.9246108230773276</v>
      </c>
      <c r="E842" s="94" cm="1">
        <f t="array" aca="1" ref="E842" ca="1">_xlfn.SWITCH($B$4,"Normal MLE",EXP(_xlfn.NORM.INV(C842,LN($C$10),$E$10/$C$10)),"Uniforme",$B$10+($D$10-$B$10)*C842,"Triangular",IF(C842&lt;=($C$10-$B$10)/($D$10-$B$10),$B$10+SQRT(C842*($D$10-$B$10)*($C$10-$B$10)),$D$10-SQRT((1-C842)*($D$10-$B$10)*($D$10-$C$10))),"PERT",_xlfn.BETA.INV(C842,1+$B$6*($C$10-$B$10)/($D$10-$B$10),1+$B$6*($D$10-$C$10)/($D$10-$B$10),$B$10,$D$10))</f>
        <v>4808.4896836409016</v>
      </c>
      <c r="F842" s="88">
        <f t="shared" ca="1" si="37"/>
        <v>0.49575913073424832</v>
      </c>
      <c r="G842" s="89">
        <f t="shared" ca="1" si="38"/>
        <v>1.6737227755737384E-4</v>
      </c>
    </row>
    <row r="843" spans="1:7" x14ac:dyDescent="0.35">
      <c r="A843" s="84">
        <v>828</v>
      </c>
      <c r="B843" s="84">
        <f t="shared" ca="1" si="36"/>
        <v>0.57893432344542251</v>
      </c>
      <c r="C843" s="84">
        <f t="shared" ca="1" si="36"/>
        <v>0.32239748287039482</v>
      </c>
      <c r="D843" s="93" cm="1">
        <f t="array" aca="1" ref="D843" ca="1">_xlfn.SWITCH($B$4,"Normal MLE",EXP(_xlfn.NORM.INV(B843,LN($C$9),$E$9/$C$9)),"Uniforme",$B$9+($D$9-$B$9)*B843,"Triangular",IF(B843&lt;=($C$9-$B$9)/($D$9-$B$9),$B$9+SQRT(B843*($D$9-$B$9)*($C$9-$B$9)),$D$9-SQRT((1-B843)*($D$9-$B$9)*($D$9-$C$9))),"PERT",_xlfn.BETA.INV(B843,1+$B$6*($C$9-$B$9)/($D$9-$B$9),1+$B$6*($D$9-$C$9)/($D$9-$B$9),$B$9,$D$9))</f>
        <v>1.975185016142345</v>
      </c>
      <c r="E843" s="94" cm="1">
        <f t="array" aca="1" ref="E843" ca="1">_xlfn.SWITCH($B$4,"Normal MLE",EXP(_xlfn.NORM.INV(C843,LN($C$10),$E$10/$C$10)),"Uniforme",$B$10+($D$10-$B$10)*C843,"Triangular",IF(C843&lt;=($C$10-$B$10)/($D$10-$B$10),$B$10+SQRT(C843*($D$10-$B$10)*($C$10-$B$10)),$D$10-SQRT((1-C843)*($D$10-$B$10)*($D$10-$C$10))),"PERT",_xlfn.BETA.INV(C843,1+$B$6*($C$10-$B$10)/($D$10-$B$10),1+$B$6*($D$10-$C$10)/($D$10-$B$10),$B$10,$D$10))</f>
        <v>4991.5379373899978</v>
      </c>
      <c r="F843" s="88">
        <f t="shared" ca="1" si="37"/>
        <v>0.52428994278819796</v>
      </c>
      <c r="G843" s="89">
        <f t="shared" ca="1" si="38"/>
        <v>1.6716952710721313E-4</v>
      </c>
    </row>
    <row r="844" spans="1:7" x14ac:dyDescent="0.35">
      <c r="A844" s="84">
        <v>829</v>
      </c>
      <c r="B844" s="84">
        <f t="shared" ca="1" si="36"/>
        <v>0.83115577846424049</v>
      </c>
      <c r="C844" s="84">
        <f t="shared" ca="1" si="36"/>
        <v>0.46920010019701242</v>
      </c>
      <c r="D844" s="93" cm="1">
        <f t="array" aca="1" ref="D844" ca="1">_xlfn.SWITCH($B$4,"Normal MLE",EXP(_xlfn.NORM.INV(B844,LN($C$9),$E$9/$C$9)),"Uniforme",$B$9+($D$9-$B$9)*B844,"Triangular",IF(B844&lt;=($C$9-$B$9)/($D$9-$B$9),$B$9+SQRT(B844*($D$9-$B$9)*($C$9-$B$9)),$D$9-SQRT((1-B844)*($D$9-$B$9)*($D$9-$C$9))),"PERT",_xlfn.BETA.INV(B844,1+$B$6*($C$9-$B$9)/($D$9-$B$9),1+$B$6*($D$9-$C$9)/($D$9-$B$9),$B$9,$D$9))</f>
        <v>2.0837119993894411</v>
      </c>
      <c r="E844" s="94" cm="1">
        <f t="array" aca="1" ref="E844" ca="1">_xlfn.SWITCH($B$4,"Normal MLE",EXP(_xlfn.NORM.INV(C844,LN($C$10),$E$10/$C$10)),"Uniforme",$B$10+($D$10-$B$10)*C844,"Triangular",IF(C844&lt;=($C$10-$B$10)/($D$10-$B$10),$B$10+SQRT(C844*($D$10-$B$10)*($C$10-$B$10)),$D$10-SQRT((1-C844)*($D$10-$B$10)*($D$10-$C$10))),"PERT",_xlfn.BETA.INV(C844,1+$B$6*($C$10-$B$10)/($D$10-$B$10),1+$B$6*($D$10-$C$10)/($D$10-$B$10),$B$10,$D$10))</f>
        <v>5081.469076228529</v>
      </c>
      <c r="F844" s="88">
        <f t="shared" ca="1" si="37"/>
        <v>0.54479094894910529</v>
      </c>
      <c r="G844" s="89">
        <f t="shared" ca="1" si="38"/>
        <v>1.7236491304084575E-4</v>
      </c>
    </row>
    <row r="845" spans="1:7" x14ac:dyDescent="0.35">
      <c r="A845" s="84">
        <v>830</v>
      </c>
      <c r="B845" s="84">
        <f t="shared" ca="1" si="36"/>
        <v>0.97601157095335056</v>
      </c>
      <c r="C845" s="84">
        <f t="shared" ca="1" si="36"/>
        <v>0.76162451094001049</v>
      </c>
      <c r="D845" s="93" cm="1">
        <f t="array" aca="1" ref="D845" ca="1">_xlfn.SWITCH($B$4,"Normal MLE",EXP(_xlfn.NORM.INV(B845,LN($C$9),$E$9/$C$9)),"Uniforme",$B$9+($D$9-$B$9)*B845,"Triangular",IF(B845&lt;=($C$9-$B$9)/($D$9-$B$9),$B$9+SQRT(B845*($D$9-$B$9)*($C$9-$B$9)),$D$9-SQRT((1-B845)*($D$9-$B$9)*($D$9-$C$9))),"PERT",_xlfn.BETA.INV(B845,1+$B$6*($C$9-$B$9)/($D$9-$B$9),1+$B$6*($D$9-$C$9)/($D$9-$B$9),$B$9,$D$9))</f>
        <v>2.2387024768218318</v>
      </c>
      <c r="E845" s="94" cm="1">
        <f t="array" aca="1" ref="E845" ca="1">_xlfn.SWITCH($B$4,"Normal MLE",EXP(_xlfn.NORM.INV(C845,LN($C$10),$E$10/$C$10)),"Uniforme",$B$10+($D$10-$B$10)*C845,"Triangular",IF(C845&lt;=($C$10-$B$10)/($D$10-$B$10),$B$10+SQRT(C845*($D$10-$B$10)*($C$10-$B$10)),$D$10-SQRT((1-C845)*($D$10-$B$10)*($D$10-$C$10))),"PERT",_xlfn.BETA.INV(C845,1+$B$6*($C$10-$B$10)/($D$10-$B$10),1+$B$6*($D$10-$C$10)/($D$10-$B$10),$B$10,$D$10))</f>
        <v>5271.4608762510652</v>
      </c>
      <c r="F845" s="88">
        <f t="shared" ca="1" si="37"/>
        <v>0.58329093796525411</v>
      </c>
      <c r="G845" s="89">
        <f t="shared" ca="1" si="38"/>
        <v>1.7598113784254382E-4</v>
      </c>
    </row>
    <row r="846" spans="1:7" x14ac:dyDescent="0.35">
      <c r="A846" s="84">
        <v>831</v>
      </c>
      <c r="B846" s="84">
        <f t="shared" ca="1" si="36"/>
        <v>0.51461201847622895</v>
      </c>
      <c r="C846" s="84">
        <f t="shared" ca="1" si="36"/>
        <v>0.59779492554468106</v>
      </c>
      <c r="D846" s="93" cm="1">
        <f t="array" aca="1" ref="D846" ca="1">_xlfn.SWITCH($B$4,"Normal MLE",EXP(_xlfn.NORM.INV(B846,LN($C$9),$E$9/$C$9)),"Uniforme",$B$9+($D$9-$B$9)*B846,"Triangular",IF(B846&lt;=($C$9-$B$9)/($D$9-$B$9),$B$9+SQRT(B846*($D$9-$B$9)*($C$9-$B$9)),$D$9-SQRT((1-B846)*($D$9-$B$9)*($D$9-$C$9))),"PERT",_xlfn.BETA.INV(B846,1+$B$6*($C$9-$B$9)/($D$9-$B$9),1+$B$6*($D$9-$C$9)/($D$9-$B$9),$B$9,$D$9))</f>
        <v>1.9527069569397861</v>
      </c>
      <c r="E846" s="94" cm="1">
        <f t="array" aca="1" ref="E846" ca="1">_xlfn.SWITCH($B$4,"Normal MLE",EXP(_xlfn.NORM.INV(C846,LN($C$10),$E$10/$C$10)),"Uniforme",$B$10+($D$10-$B$10)*C846,"Triangular",IF(C846&lt;=($C$10-$B$10)/($D$10-$B$10),$B$10+SQRT(C846*($D$10-$B$10)*($C$10-$B$10)),$D$10-SQRT((1-C846)*($D$10-$B$10)*($D$10-$C$10))),"PERT",_xlfn.BETA.INV(C846,1+$B$6*($C$10-$B$10)/($D$10-$B$10),1+$B$6*($D$10-$C$10)/($D$10-$B$10),$B$10,$D$10))</f>
        <v>5158.8853377331325</v>
      </c>
      <c r="F846" s="88">
        <f t="shared" ca="1" si="37"/>
        <v>0.54418683642067356</v>
      </c>
      <c r="G846" s="89">
        <f t="shared" ca="1" si="38"/>
        <v>1.616437931651006E-4</v>
      </c>
    </row>
    <row r="847" spans="1:7" x14ac:dyDescent="0.35">
      <c r="A847" s="84">
        <v>832</v>
      </c>
      <c r="B847" s="84">
        <f t="shared" ca="1" si="36"/>
        <v>0.57281370261451747</v>
      </c>
      <c r="C847" s="84">
        <f t="shared" ca="1" si="36"/>
        <v>9.9453034590411438E-2</v>
      </c>
      <c r="D847" s="93" cm="1">
        <f t="array" aca="1" ref="D847" ca="1">_xlfn.SWITCH($B$4,"Normal MLE",EXP(_xlfn.NORM.INV(B847,LN($C$9),$E$9/$C$9)),"Uniforme",$B$9+($D$9-$B$9)*B847,"Triangular",IF(B847&lt;=($C$9-$B$9)/($D$9-$B$9),$B$9+SQRT(B847*($D$9-$B$9)*($C$9-$B$9)),$D$9-SQRT((1-B847)*($D$9-$B$9)*($D$9-$C$9))),"PERT",_xlfn.BETA.INV(B847,1+$B$6*($C$9-$B$9)/($D$9-$B$9),1+$B$6*($D$9-$C$9)/($D$9-$B$9),$B$9,$D$9))</f>
        <v>1.973012802450103</v>
      </c>
      <c r="E847" s="94" cm="1">
        <f t="array" aca="1" ref="E847" ca="1">_xlfn.SWITCH($B$4,"Normal MLE",EXP(_xlfn.NORM.INV(C847,LN($C$10),$E$10/$C$10)),"Uniforme",$B$10+($D$10-$B$10)*C847,"Triangular",IF(C847&lt;=($C$10-$B$10)/($D$10-$B$10),$B$10+SQRT(C847*($D$10-$B$10)*($C$10-$B$10)),$D$10-SQRT((1-C847)*($D$10-$B$10)*($D$10-$C$10))),"PERT",_xlfn.BETA.INV(C847,1+$B$6*($C$10-$B$10)/($D$10-$B$10),1+$B$6*($D$10-$C$10)/($D$10-$B$10),$B$10,$D$10))</f>
        <v>4803.8380373885093</v>
      </c>
      <c r="F847" s="88">
        <f t="shared" ca="1" si="37"/>
        <v>0.49819180869701474</v>
      </c>
      <c r="G847" s="89">
        <f t="shared" ca="1" si="38"/>
        <v>1.7122059883443454E-4</v>
      </c>
    </row>
    <row r="848" spans="1:7" x14ac:dyDescent="0.35">
      <c r="A848" s="84">
        <v>833</v>
      </c>
      <c r="B848" s="84">
        <f t="shared" ca="1" si="36"/>
        <v>4.7257452880483219E-2</v>
      </c>
      <c r="C848" s="84">
        <f t="shared" ca="1" si="36"/>
        <v>0.48750549814804545</v>
      </c>
      <c r="D848" s="93" cm="1">
        <f t="array" aca="1" ref="D848" ca="1">_xlfn.SWITCH($B$4,"Normal MLE",EXP(_xlfn.NORM.INV(B848,LN($C$9),$E$9/$C$9)),"Uniforme",$B$9+($D$9-$B$9)*B848,"Triangular",IF(B848&lt;=($C$9-$B$9)/($D$9-$B$9),$B$9+SQRT(B848*($D$9-$B$9)*($C$9-$B$9)),$D$9-SQRT((1-B848)*($D$9-$B$9)*($D$9-$C$9))),"PERT",_xlfn.BETA.INV(B848,1+$B$6*($C$9-$B$9)/($D$9-$B$9),1+$B$6*($D$9-$C$9)/($D$9-$B$9),$B$9,$D$9))</f>
        <v>1.7313337126192943</v>
      </c>
      <c r="E848" s="94" cm="1">
        <f t="array" aca="1" ref="E848" ca="1">_xlfn.SWITCH($B$4,"Normal MLE",EXP(_xlfn.NORM.INV(C848,LN($C$10),$E$10/$C$10)),"Uniforme",$B$10+($D$10-$B$10)*C848,"Triangular",IF(C848&lt;=($C$10-$B$10)/($D$10-$B$10),$B$10+SQRT(C848*($D$10-$B$10)*($C$10-$B$10)),$D$10-SQRT((1-C848)*($D$10-$B$10)*($D$10-$C$10))),"PERT",_xlfn.BETA.INV(C848,1+$B$6*($C$10-$B$10)/($D$10-$B$10),1+$B$6*($D$10-$C$10)/($D$10-$B$10),$B$10,$D$10))</f>
        <v>5092.3477122993245</v>
      </c>
      <c r="F848" s="88">
        <f t="shared" ca="1" si="37"/>
        <v>0.51770573173899825</v>
      </c>
      <c r="G848" s="89">
        <f t="shared" ca="1" si="38"/>
        <v>1.4752291159938655E-4</v>
      </c>
    </row>
    <row r="849" spans="1:7" x14ac:dyDescent="0.35">
      <c r="A849" s="84">
        <v>834</v>
      </c>
      <c r="B849" s="84">
        <f t="shared" ref="B849:C912" ca="1" si="39">RAND()</f>
        <v>0.28961771165338934</v>
      </c>
      <c r="C849" s="84">
        <f t="shared" ca="1" si="39"/>
        <v>0.17308245483783802</v>
      </c>
      <c r="D849" s="93" cm="1">
        <f t="array" aca="1" ref="D849" ca="1">_xlfn.SWITCH($B$4,"Normal MLE",EXP(_xlfn.NORM.INV(B849,LN($C$9),$E$9/$C$9)),"Uniforme",$B$9+($D$9-$B$9)*B849,"Triangular",IF(B849&lt;=($C$9-$B$9)/($D$9-$B$9),$B$9+SQRT(B849*($D$9-$B$9)*($C$9-$B$9)),$D$9-SQRT((1-B849)*($D$9-$B$9)*($D$9-$C$9))),"PERT",_xlfn.BETA.INV(B849,1+$B$6*($C$9-$B$9)/($D$9-$B$9),1+$B$6*($D$9-$C$9)/($D$9-$B$9),$B$9,$D$9))</f>
        <v>1.8730891842375359</v>
      </c>
      <c r="E849" s="94" cm="1">
        <f t="array" aca="1" ref="E849" ca="1">_xlfn.SWITCH($B$4,"Normal MLE",EXP(_xlfn.NORM.INV(C849,LN($C$10),$E$10/$C$10)),"Uniforme",$B$10+($D$10-$B$10)*C849,"Triangular",IF(C849&lt;=($C$10-$B$10)/($D$10-$B$10),$B$10+SQRT(C849*($D$10-$B$10)*($C$10-$B$10)),$D$10-SQRT((1-C849)*($D$10-$B$10)*($D$10-$C$10))),"PERT",_xlfn.BETA.INV(C849,1+$B$6*($C$10-$B$10)/($D$10-$B$10),1+$B$6*($D$10-$C$10)/($D$10-$B$10),$B$10,$D$10))</f>
        <v>4881.0423054735838</v>
      </c>
      <c r="F849" s="88">
        <f t="shared" ref="F849:F912" ca="1" si="40">EXP(-POWER($B$12/E849,D849))</f>
        <v>0.50219945319526871</v>
      </c>
      <c r="G849" s="89">
        <f t="shared" ref="G849:G912" ca="1" si="41">(D849/E849)*POWER($B$12/E849,D849-1)*EXP(-POWER($B$12/E849,D849))</f>
        <v>1.6197250796412917E-4</v>
      </c>
    </row>
    <row r="850" spans="1:7" x14ac:dyDescent="0.35">
      <c r="A850" s="84">
        <v>835</v>
      </c>
      <c r="B850" s="84">
        <f t="shared" ca="1" si="39"/>
        <v>0.27729190192291331</v>
      </c>
      <c r="C850" s="84">
        <f t="shared" ca="1" si="39"/>
        <v>0.24589806380170831</v>
      </c>
      <c r="D850" s="93" cm="1">
        <f t="array" aca="1" ref="D850" ca="1">_xlfn.SWITCH($B$4,"Normal MLE",EXP(_xlfn.NORM.INV(B850,LN($C$9),$E$9/$C$9)),"Uniforme",$B$9+($D$9-$B$9)*B850,"Triangular",IF(B850&lt;=($C$9-$B$9)/($D$9-$B$9),$B$9+SQRT(B850*($D$9-$B$9)*($C$9-$B$9)),$D$9-SQRT((1-B850)*($D$9-$B$9)*($D$9-$C$9))),"PERT",_xlfn.BETA.INV(B850,1+$B$6*($C$9-$B$9)/($D$9-$B$9),1+$B$6*($D$9-$C$9)/($D$9-$B$9),$B$9,$D$9))</f>
        <v>1.868293636557433</v>
      </c>
      <c r="E850" s="94" cm="1">
        <f t="array" aca="1" ref="E850" ca="1">_xlfn.SWITCH($B$4,"Normal MLE",EXP(_xlfn.NORM.INV(C850,LN($C$10),$E$10/$C$10)),"Uniforme",$B$10+($D$10-$B$10)*C850,"Triangular",IF(C850&lt;=($C$10-$B$10)/($D$10-$B$10),$B$10+SQRT(C850*($D$10-$B$10)*($C$10-$B$10)),$D$10-SQRT((1-C850)*($D$10-$B$10)*($D$10-$C$10))),"PERT",_xlfn.BETA.INV(C850,1+$B$6*($C$10-$B$10)/($D$10-$B$10),1+$B$6*($D$10-$C$10)/($D$10-$B$10),$B$10,$D$10))</f>
        <v>4939.2148608562356</v>
      </c>
      <c r="F850" s="88">
        <f t="shared" ca="1" si="40"/>
        <v>0.50950107643305986</v>
      </c>
      <c r="G850" s="89">
        <f t="shared" ca="1" si="41"/>
        <v>1.6047168914870197E-4</v>
      </c>
    </row>
    <row r="851" spans="1:7" x14ac:dyDescent="0.35">
      <c r="A851" s="84">
        <v>836</v>
      </c>
      <c r="B851" s="84">
        <f t="shared" ca="1" si="39"/>
        <v>0.88330299308714599</v>
      </c>
      <c r="C851" s="84">
        <f t="shared" ca="1" si="39"/>
        <v>0.82008006598930283</v>
      </c>
      <c r="D851" s="93" cm="1">
        <f t="array" aca="1" ref="D851" ca="1">_xlfn.SWITCH($B$4,"Normal MLE",EXP(_xlfn.NORM.INV(B851,LN($C$9),$E$9/$C$9)),"Uniforme",$B$9+($D$9-$B$9)*B851,"Triangular",IF(B851&lt;=($C$9-$B$9)/($D$9-$B$9),$B$9+SQRT(B851*($D$9-$B$9)*($C$9-$B$9)),$D$9-SQRT((1-B851)*($D$9-$B$9)*($D$9-$C$9))),"PERT",_xlfn.BETA.INV(B851,1+$B$6*($C$9-$B$9)/($D$9-$B$9),1+$B$6*($D$9-$C$9)/($D$9-$B$9),$B$9,$D$9))</f>
        <v>2.1181709227969336</v>
      </c>
      <c r="E851" s="94" cm="1">
        <f t="array" aca="1" ref="E851" ca="1">_xlfn.SWITCH($B$4,"Normal MLE",EXP(_xlfn.NORM.INV(C851,LN($C$10),$E$10/$C$10)),"Uniforme",$B$10+($D$10-$B$10)*C851,"Triangular",IF(C851&lt;=($C$10-$B$10)/($D$10-$B$10),$B$10+SQRT(C851*($D$10-$B$10)*($C$10-$B$10)),$D$10-SQRT((1-C851)*($D$10-$B$10)*($D$10-$C$10))),"PERT",_xlfn.BETA.INV(C851,1+$B$6*($C$10-$B$10)/($D$10-$B$10),1+$B$6*($D$10-$C$10)/($D$10-$B$10),$B$10,$D$10))</f>
        <v>5321.7738952127429</v>
      </c>
      <c r="F851" s="88">
        <f t="shared" ca="1" si="40"/>
        <v>0.57914444074001148</v>
      </c>
      <c r="G851" s="89">
        <f t="shared" ca="1" si="41"/>
        <v>1.675105926610994E-4</v>
      </c>
    </row>
    <row r="852" spans="1:7" x14ac:dyDescent="0.35">
      <c r="A852" s="84">
        <v>837</v>
      </c>
      <c r="B852" s="84">
        <f t="shared" ca="1" si="39"/>
        <v>3.1324149130743217E-2</v>
      </c>
      <c r="C852" s="84">
        <f t="shared" ca="1" si="39"/>
        <v>0.2564107532966734</v>
      </c>
      <c r="D852" s="93" cm="1">
        <f t="array" aca="1" ref="D852" ca="1">_xlfn.SWITCH($B$4,"Normal MLE",EXP(_xlfn.NORM.INV(B852,LN($C$9),$E$9/$C$9)),"Uniforme",$B$9+($D$9-$B$9)*B852,"Triangular",IF(B852&lt;=($C$9-$B$9)/($D$9-$B$9),$B$9+SQRT(B852*($D$9-$B$9)*($C$9-$B$9)),$D$9-SQRT((1-B852)*($D$9-$B$9)*($D$9-$C$9))),"PERT",_xlfn.BETA.INV(B852,1+$B$6*($C$9-$B$9)/($D$9-$B$9),1+$B$6*($D$9-$C$9)/($D$9-$B$9),$B$9,$D$9))</f>
        <v>1.708367583122044</v>
      </c>
      <c r="E852" s="94" cm="1">
        <f t="array" aca="1" ref="E852" ca="1">_xlfn.SWITCH($B$4,"Normal MLE",EXP(_xlfn.NORM.INV(C852,LN($C$10),$E$10/$C$10)),"Uniforme",$B$10+($D$10-$B$10)*C852,"Triangular",IF(C852&lt;=($C$10-$B$10)/($D$10-$B$10),$B$10+SQRT(C852*($D$10-$B$10)*($C$10-$B$10)),$D$10-SQRT((1-C852)*($D$10-$B$10)*($D$10-$C$10))),"PERT",_xlfn.BETA.INV(C852,1+$B$6*($C$10-$B$10)/($D$10-$B$10),1+$B$6*($D$10-$C$10)/($D$10-$B$10),$B$10,$D$10))</f>
        <v>4946.8064739745514</v>
      </c>
      <c r="F852" s="88">
        <f t="shared" ca="1" si="40"/>
        <v>0.498760703155952</v>
      </c>
      <c r="G852" s="89">
        <f t="shared" ca="1" si="41"/>
        <v>1.4818053045088058E-4</v>
      </c>
    </row>
    <row r="853" spans="1:7" x14ac:dyDescent="0.35">
      <c r="A853" s="84">
        <v>838</v>
      </c>
      <c r="B853" s="84">
        <f t="shared" ca="1" si="39"/>
        <v>0.46913842043949794</v>
      </c>
      <c r="C853" s="84">
        <f t="shared" ca="1" si="39"/>
        <v>0.12424888573860204</v>
      </c>
      <c r="D853" s="93" cm="1">
        <f t="array" aca="1" ref="D853" ca="1">_xlfn.SWITCH($B$4,"Normal MLE",EXP(_xlfn.NORM.INV(B853,LN($C$9),$E$9/$C$9)),"Uniforme",$B$9+($D$9-$B$9)*B853,"Triangular",IF(B853&lt;=($C$9-$B$9)/($D$9-$B$9),$B$9+SQRT(B853*($D$9-$B$9)*($C$9-$B$9)),$D$9-SQRT((1-B853)*($D$9-$B$9)*($D$9-$C$9))),"PERT",_xlfn.BETA.INV(B853,1+$B$6*($C$9-$B$9)/($D$9-$B$9),1+$B$6*($D$9-$C$9)/($D$9-$B$9),$B$9,$D$9))</f>
        <v>1.9370840566798742</v>
      </c>
      <c r="E853" s="94" cm="1">
        <f t="array" aca="1" ref="E853" ca="1">_xlfn.SWITCH($B$4,"Normal MLE",EXP(_xlfn.NORM.INV(C853,LN($C$10),$E$10/$C$10)),"Uniforme",$B$10+($D$10-$B$10)*C853,"Triangular",IF(C853&lt;=($C$10-$B$10)/($D$10-$B$10),$B$10+SQRT(C853*($D$10-$B$10)*($C$10-$B$10)),$D$10-SQRT((1-C853)*($D$10-$B$10)*($D$10-$C$10))),"PERT",_xlfn.BETA.INV(C853,1+$B$6*($C$10-$B$10)/($D$10-$B$10),1+$B$6*($D$10-$C$10)/($D$10-$B$10),$B$10,$D$10))</f>
        <v>4833.1371070243831</v>
      </c>
      <c r="F853" s="88">
        <f t="shared" ca="1" si="40"/>
        <v>0.4999951810150956</v>
      </c>
      <c r="G853" s="89">
        <f t="shared" ca="1" si="41"/>
        <v>1.6783626013896393E-4</v>
      </c>
    </row>
    <row r="854" spans="1:7" x14ac:dyDescent="0.35">
      <c r="A854" s="84">
        <v>839</v>
      </c>
      <c r="B854" s="84">
        <f t="shared" ca="1" si="39"/>
        <v>0.32382747760891561</v>
      </c>
      <c r="C854" s="84">
        <f t="shared" ca="1" si="39"/>
        <v>0.13087276270058079</v>
      </c>
      <c r="D854" s="93" cm="1">
        <f t="array" aca="1" ref="D854" ca="1">_xlfn.SWITCH($B$4,"Normal MLE",EXP(_xlfn.NORM.INV(B854,LN($C$9),$E$9/$C$9)),"Uniforme",$B$9+($D$9-$B$9)*B854,"Triangular",IF(B854&lt;=($C$9-$B$9)/($D$9-$B$9),$B$9+SQRT(B854*($D$9-$B$9)*($C$9-$B$9)),$D$9-SQRT((1-B854)*($D$9-$B$9)*($D$9-$C$9))),"PERT",_xlfn.BETA.INV(B854,1+$B$6*($C$9-$B$9)/($D$9-$B$9),1+$B$6*($D$9-$C$9)/($D$9-$B$9),$B$9,$D$9))</f>
        <v>1.8859911513668066</v>
      </c>
      <c r="E854" s="94" cm="1">
        <f t="array" aca="1" ref="E854" ca="1">_xlfn.SWITCH($B$4,"Normal MLE",EXP(_xlfn.NORM.INV(C854,LN($C$10),$E$10/$C$10)),"Uniforme",$B$10+($D$10-$B$10)*C854,"Triangular",IF(C854&lt;=($C$10-$B$10)/($D$10-$B$10),$B$10+SQRT(C854*($D$10-$B$10)*($C$10-$B$10)),$D$10-SQRT((1-C854)*($D$10-$B$10)*($D$10-$C$10))),"PERT",_xlfn.BETA.INV(C854,1+$B$6*($C$10-$B$10)/($D$10-$B$10),1+$B$6*($D$10-$C$10)/($D$10-$B$10),$B$10,$D$10))</f>
        <v>4840.2788531727219</v>
      </c>
      <c r="F854" s="88">
        <f t="shared" ca="1" si="40"/>
        <v>0.49760752786209445</v>
      </c>
      <c r="G854" s="89">
        <f t="shared" ca="1" si="41"/>
        <v>1.6375212189652274E-4</v>
      </c>
    </row>
    <row r="855" spans="1:7" x14ac:dyDescent="0.35">
      <c r="A855" s="84">
        <v>840</v>
      </c>
      <c r="B855" s="84">
        <f t="shared" ca="1" si="39"/>
        <v>0.18569103573581358</v>
      </c>
      <c r="C855" s="84">
        <f t="shared" ca="1" si="39"/>
        <v>0.37713041845623618</v>
      </c>
      <c r="D855" s="93" cm="1">
        <f t="array" aca="1" ref="D855" ca="1">_xlfn.SWITCH($B$4,"Normal MLE",EXP(_xlfn.NORM.INV(B855,LN($C$9),$E$9/$C$9)),"Uniforme",$B$9+($D$9-$B$9)*B855,"Triangular",IF(B855&lt;=($C$9-$B$9)/($D$9-$B$9),$B$9+SQRT(B855*($D$9-$B$9)*($C$9-$B$9)),$D$9-SQRT((1-B855)*($D$9-$B$9)*($D$9-$C$9))),"PERT",_xlfn.BETA.INV(B855,1+$B$6*($C$9-$B$9)/($D$9-$B$9),1+$B$6*($D$9-$C$9)/($D$9-$B$9),$B$9,$D$9))</f>
        <v>1.8288542509760417</v>
      </c>
      <c r="E855" s="94" cm="1">
        <f t="array" aca="1" ref="E855" ca="1">_xlfn.SWITCH($B$4,"Normal MLE",EXP(_xlfn.NORM.INV(C855,LN($C$10),$E$10/$C$10)),"Uniforme",$B$10+($D$10-$B$10)*C855,"Triangular",IF(C855&lt;=($C$10-$B$10)/($D$10-$B$10),$B$10+SQRT(C855*($D$10-$B$10)*($C$10-$B$10)),$D$10-SQRT((1-C855)*($D$10-$B$10)*($D$10-$C$10))),"PERT",_xlfn.BETA.INV(C855,1+$B$6*($C$10-$B$10)/($D$10-$B$10),1+$B$6*($D$10-$C$10)/($D$10-$B$10),$B$10,$D$10))</f>
        <v>5026.0287736154214</v>
      </c>
      <c r="F855" s="88">
        <f t="shared" ca="1" si="40"/>
        <v>0.51755975096157913</v>
      </c>
      <c r="G855" s="89">
        <f t="shared" ca="1" si="41"/>
        <v>1.5585520337216182E-4</v>
      </c>
    </row>
    <row r="856" spans="1:7" x14ac:dyDescent="0.35">
      <c r="A856" s="84">
        <v>841</v>
      </c>
      <c r="B856" s="84">
        <f t="shared" ca="1" si="39"/>
        <v>0.23871731998212653</v>
      </c>
      <c r="C856" s="84">
        <f t="shared" ca="1" si="39"/>
        <v>0.91631950749096758</v>
      </c>
      <c r="D856" s="93" cm="1">
        <f t="array" aca="1" ref="D856" ca="1">_xlfn.SWITCH($B$4,"Normal MLE",EXP(_xlfn.NORM.INV(B856,LN($C$9),$E$9/$C$9)),"Uniforme",$B$9+($D$9-$B$9)*B856,"Triangular",IF(B856&lt;=($C$9-$B$9)/($D$9-$B$9),$B$9+SQRT(B856*($D$9-$B$9)*($C$9-$B$9)),$D$9-SQRT((1-B856)*($D$9-$B$9)*($D$9-$C$9))),"PERT",_xlfn.BETA.INV(B856,1+$B$6*($C$9-$B$9)/($D$9-$B$9),1+$B$6*($D$9-$C$9)/($D$9-$B$9),$B$9,$D$9))</f>
        <v>1.8526338578684869</v>
      </c>
      <c r="E856" s="94" cm="1">
        <f t="array" aca="1" ref="E856" ca="1">_xlfn.SWITCH($B$4,"Normal MLE",EXP(_xlfn.NORM.INV(C856,LN($C$10),$E$10/$C$10)),"Uniforme",$B$10+($D$10-$B$10)*C856,"Triangular",IF(C856&lt;=($C$10-$B$10)/($D$10-$B$10),$B$10+SQRT(C856*($D$10-$B$10)*($C$10-$B$10)),$D$10-SQRT((1-C856)*($D$10-$B$10)*($D$10-$C$10))),"PERT",_xlfn.BETA.INV(C856,1+$B$6*($C$10-$B$10)/($D$10-$B$10),1+$B$6*($D$10-$C$10)/($D$10-$B$10),$B$10,$D$10))</f>
        <v>5438.199696544385</v>
      </c>
      <c r="F856" s="88">
        <f t="shared" ca="1" si="40"/>
        <v>0.56775419819161399</v>
      </c>
      <c r="G856" s="89">
        <f t="shared" ca="1" si="41"/>
        <v>1.48852992434153E-4</v>
      </c>
    </row>
    <row r="857" spans="1:7" x14ac:dyDescent="0.35">
      <c r="A857" s="84">
        <v>842</v>
      </c>
      <c r="B857" s="84">
        <f t="shared" ca="1" si="39"/>
        <v>0.44233547286554531</v>
      </c>
      <c r="C857" s="84">
        <f t="shared" ca="1" si="39"/>
        <v>0.22519726342276047</v>
      </c>
      <c r="D857" s="93" cm="1">
        <f t="array" aca="1" ref="D857" ca="1">_xlfn.SWITCH($B$4,"Normal MLE",EXP(_xlfn.NORM.INV(B857,LN($C$9),$E$9/$C$9)),"Uniforme",$B$9+($D$9-$B$9)*B857,"Triangular",IF(B857&lt;=($C$9-$B$9)/($D$9-$B$9),$B$9+SQRT(B857*($D$9-$B$9)*($C$9-$B$9)),$D$9-SQRT((1-B857)*($D$9-$B$9)*($D$9-$C$9))),"PERT",_xlfn.BETA.INV(B857,1+$B$6*($C$9-$B$9)/($D$9-$B$9),1+$B$6*($D$9-$C$9)/($D$9-$B$9),$B$9,$D$9))</f>
        <v>1.9278827578593816</v>
      </c>
      <c r="E857" s="94" cm="1">
        <f t="array" aca="1" ref="E857" ca="1">_xlfn.SWITCH($B$4,"Normal MLE",EXP(_xlfn.NORM.INV(C857,LN($C$10),$E$10/$C$10)),"Uniforme",$B$10+($D$10-$B$10)*C857,"Triangular",IF(C857&lt;=($C$10-$B$10)/($D$10-$B$10),$B$10+SQRT(C857*($D$10-$B$10)*($C$10-$B$10)),$D$10-SQRT((1-C857)*($D$10-$B$10)*($D$10-$C$10))),"PERT",_xlfn.BETA.INV(C857,1+$B$6*($C$10-$B$10)/($D$10-$B$10),1+$B$6*($D$10-$C$10)/($D$10-$B$10),$B$10,$D$10))</f>
        <v>4923.7700395469055</v>
      </c>
      <c r="F857" s="88">
        <f t="shared" ca="1" si="40"/>
        <v>0.51174224141975888</v>
      </c>
      <c r="G857" s="89">
        <f t="shared" ca="1" si="41"/>
        <v>1.6523576440180508E-4</v>
      </c>
    </row>
    <row r="858" spans="1:7" x14ac:dyDescent="0.35">
      <c r="A858" s="84">
        <v>843</v>
      </c>
      <c r="B858" s="84">
        <f t="shared" ca="1" si="39"/>
        <v>0.42331734470943794</v>
      </c>
      <c r="C858" s="84">
        <f t="shared" ca="1" si="39"/>
        <v>0.45355617957829331</v>
      </c>
      <c r="D858" s="93" cm="1">
        <f t="array" aca="1" ref="D858" ca="1">_xlfn.SWITCH($B$4,"Normal MLE",EXP(_xlfn.NORM.INV(B858,LN($C$9),$E$9/$C$9)),"Uniforme",$B$9+($D$9-$B$9)*B858,"Triangular",IF(B858&lt;=($C$9-$B$9)/($D$9-$B$9),$B$9+SQRT(B858*($D$9-$B$9)*($C$9-$B$9)),$D$9-SQRT((1-B858)*($D$9-$B$9)*($D$9-$C$9))),"PERT",_xlfn.BETA.INV(B858,1+$B$6*($C$9-$B$9)/($D$9-$B$9),1+$B$6*($D$9-$C$9)/($D$9-$B$9),$B$9,$D$9))</f>
        <v>1.9213280718899262</v>
      </c>
      <c r="E858" s="94" cm="1">
        <f t="array" aca="1" ref="E858" ca="1">_xlfn.SWITCH($B$4,"Normal MLE",EXP(_xlfn.NORM.INV(C858,LN($C$10),$E$10/$C$10)),"Uniforme",$B$10+($D$10-$B$10)*C858,"Triangular",IF(C858&lt;=($C$10-$B$10)/($D$10-$B$10),$B$10+SQRT(C858*($D$10-$B$10)*($C$10-$B$10)),$D$10-SQRT((1-C858)*($D$10-$B$10)*($D$10-$C$10))),"PERT",_xlfn.BETA.INV(C858,1+$B$6*($C$10-$B$10)/($D$10-$B$10),1+$B$6*($D$10-$C$10)/($D$10-$B$10),$B$10,$D$10))</f>
        <v>5072.1607822629312</v>
      </c>
      <c r="F858" s="88">
        <f t="shared" ca="1" si="40"/>
        <v>0.53065278303579133</v>
      </c>
      <c r="G858" s="89">
        <f t="shared" ca="1" si="41"/>
        <v>1.6151007385479055E-4</v>
      </c>
    </row>
    <row r="859" spans="1:7" x14ac:dyDescent="0.35">
      <c r="A859" s="84">
        <v>844</v>
      </c>
      <c r="B859" s="84">
        <f t="shared" ca="1" si="39"/>
        <v>0.52309421999878813</v>
      </c>
      <c r="C859" s="84">
        <f t="shared" ca="1" si="39"/>
        <v>0.40036364825317938</v>
      </c>
      <c r="D859" s="93" cm="1">
        <f t="array" aca="1" ref="D859" ca="1">_xlfn.SWITCH($B$4,"Normal MLE",EXP(_xlfn.NORM.INV(B859,LN($C$9),$E$9/$C$9)),"Uniforme",$B$9+($D$9-$B$9)*B859,"Triangular",IF(B859&lt;=($C$9-$B$9)/($D$9-$B$9),$B$9+SQRT(B859*($D$9-$B$9)*($C$9-$B$9)),$D$9-SQRT((1-B859)*($D$9-$B$9)*($D$9-$C$9))),"PERT",_xlfn.BETA.INV(B859,1+$B$6*($C$9-$B$9)/($D$9-$B$9),1+$B$6*($D$9-$C$9)/($D$9-$B$9),$B$9,$D$9))</f>
        <v>1.9556361463887573</v>
      </c>
      <c r="E859" s="94" cm="1">
        <f t="array" aca="1" ref="E859" ca="1">_xlfn.SWITCH($B$4,"Normal MLE",EXP(_xlfn.NORM.INV(C859,LN($C$10),$E$10/$C$10)),"Uniforme",$B$10+($D$10-$B$10)*C859,"Triangular",IF(C859&lt;=($C$10-$B$10)/($D$10-$B$10),$B$10+SQRT(C859*($D$10-$B$10)*($C$10-$B$10)),$D$10-SQRT((1-C859)*($D$10-$B$10)*($D$10-$C$10))),"PERT",_xlfn.BETA.INV(C859,1+$B$6*($C$10-$B$10)/($D$10-$B$10),1+$B$6*($D$10-$C$10)/($D$10-$B$10),$B$10,$D$10))</f>
        <v>5040.226792852538</v>
      </c>
      <c r="F859" s="88">
        <f t="shared" ca="1" si="40"/>
        <v>0.52923803010405157</v>
      </c>
      <c r="G859" s="89">
        <f t="shared" ca="1" si="41"/>
        <v>1.6464654632788702E-4</v>
      </c>
    </row>
    <row r="860" spans="1:7" x14ac:dyDescent="0.35">
      <c r="A860" s="84">
        <v>845</v>
      </c>
      <c r="B860" s="84">
        <f t="shared" ca="1" si="39"/>
        <v>0.52039252522529755</v>
      </c>
      <c r="C860" s="84">
        <f t="shared" ca="1" si="39"/>
        <v>0.91226222121017586</v>
      </c>
      <c r="D860" s="93" cm="1">
        <f t="array" aca="1" ref="D860" ca="1">_xlfn.SWITCH($B$4,"Normal MLE",EXP(_xlfn.NORM.INV(B860,LN($C$9),$E$9/$C$9)),"Uniforme",$B$9+($D$9-$B$9)*B860,"Triangular",IF(B860&lt;=($C$9-$B$9)/($D$9-$B$9),$B$9+SQRT(B860*($D$9-$B$9)*($C$9-$B$9)),$D$9-SQRT((1-B860)*($D$9-$B$9)*($D$9-$C$9))),"PERT",_xlfn.BETA.INV(B860,1+$B$6*($C$9-$B$9)/($D$9-$B$9),1+$B$6*($D$9-$C$9)/($D$9-$B$9),$B$9,$D$9))</f>
        <v>1.9547023549881986</v>
      </c>
      <c r="E860" s="94" cm="1">
        <f t="array" aca="1" ref="E860" ca="1">_xlfn.SWITCH($B$4,"Normal MLE",EXP(_xlfn.NORM.INV(C860,LN($C$10),$E$10/$C$10)),"Uniforme",$B$10+($D$10-$B$10)*C860,"Triangular",IF(C860&lt;=($C$10-$B$10)/($D$10-$B$10),$B$10+SQRT(C860*($D$10-$B$10)*($C$10-$B$10)),$D$10-SQRT((1-C860)*($D$10-$B$10)*($D$10-$C$10))),"PERT",_xlfn.BETA.INV(C860,1+$B$6*($C$10-$B$10)/($D$10-$B$10),1+$B$6*($D$10-$C$10)/($D$10-$B$10),$B$10,$D$10))</f>
        <v>5431.645450377735</v>
      </c>
      <c r="F860" s="88">
        <f t="shared" ca="1" si="40"/>
        <v>0.5770132083210433</v>
      </c>
      <c r="G860" s="89">
        <f t="shared" ca="1" si="41"/>
        <v>1.5505376538207602E-4</v>
      </c>
    </row>
    <row r="861" spans="1:7" x14ac:dyDescent="0.35">
      <c r="A861" s="84">
        <v>846</v>
      </c>
      <c r="B861" s="84">
        <f t="shared" ca="1" si="39"/>
        <v>0.88643585663561264</v>
      </c>
      <c r="C861" s="84">
        <f t="shared" ca="1" si="39"/>
        <v>5.8066185420721395E-2</v>
      </c>
      <c r="D861" s="93" cm="1">
        <f t="array" aca="1" ref="D861" ca="1">_xlfn.SWITCH($B$4,"Normal MLE",EXP(_xlfn.NORM.INV(B861,LN($C$9),$E$9/$C$9)),"Uniforme",$B$9+($D$9-$B$9)*B861,"Triangular",IF(B861&lt;=($C$9-$B$9)/($D$9-$B$9),$B$9+SQRT(B861*($D$9-$B$9)*($C$9-$B$9)),$D$9-SQRT((1-B861)*($D$9-$B$9)*($D$9-$C$9))),"PERT",_xlfn.BETA.INV(B861,1+$B$6*($C$9-$B$9)/($D$9-$B$9),1+$B$6*($D$9-$C$9)/($D$9-$B$9),$B$9,$D$9))</f>
        <v>2.1205779373754972</v>
      </c>
      <c r="E861" s="94" cm="1">
        <f t="array" aca="1" ref="E861" ca="1">_xlfn.SWITCH($B$4,"Normal MLE",EXP(_xlfn.NORM.INV(C861,LN($C$10),$E$10/$C$10)),"Uniforme",$B$10+($D$10-$B$10)*C861,"Triangular",IF(C861&lt;=($C$10-$B$10)/($D$10-$B$10),$B$10+SQRT(C861*($D$10-$B$10)*($C$10-$B$10)),$D$10-SQRT((1-C861)*($D$10-$B$10)*($D$10-$C$10))),"PERT",_xlfn.BETA.INV(C861,1+$B$6*($C$10-$B$10)/($D$10-$B$10),1+$B$6*($D$10-$C$10)/($D$10-$B$10),$B$10,$D$10))</f>
        <v>4740.2086649275543</v>
      </c>
      <c r="F861" s="88">
        <f t="shared" ca="1" si="40"/>
        <v>0.49775656796443096</v>
      </c>
      <c r="G861" s="89">
        <f t="shared" ca="1" si="41"/>
        <v>1.8409635838566435E-4</v>
      </c>
    </row>
    <row r="862" spans="1:7" x14ac:dyDescent="0.35">
      <c r="A862" s="84">
        <v>847</v>
      </c>
      <c r="B862" s="84">
        <f t="shared" ca="1" si="39"/>
        <v>0.19530480931223115</v>
      </c>
      <c r="C862" s="84">
        <f t="shared" ca="1" si="39"/>
        <v>0.6266581924546899</v>
      </c>
      <c r="D862" s="93" cm="1">
        <f t="array" aca="1" ref="D862" ca="1">_xlfn.SWITCH($B$4,"Normal MLE",EXP(_xlfn.NORM.INV(B862,LN($C$9),$E$9/$C$9)),"Uniforme",$B$9+($D$9-$B$9)*B862,"Triangular",IF(B862&lt;=($C$9-$B$9)/($D$9-$B$9),$B$9+SQRT(B862*($D$9-$B$9)*($C$9-$B$9)),$D$9-SQRT((1-B862)*($D$9-$B$9)*($D$9-$C$9))),"PERT",_xlfn.BETA.INV(B862,1+$B$6*($C$9-$B$9)/($D$9-$B$9),1+$B$6*($D$9-$C$9)/($D$9-$B$9),$B$9,$D$9))</f>
        <v>1.8334157928495294</v>
      </c>
      <c r="E862" s="94" cm="1">
        <f t="array" aca="1" ref="E862" ca="1">_xlfn.SWITCH($B$4,"Normal MLE",EXP(_xlfn.NORM.INV(C862,LN($C$10),$E$10/$C$10)),"Uniforme",$B$10+($D$10-$B$10)*C862,"Triangular",IF(C862&lt;=($C$10-$B$10)/($D$10-$B$10),$B$10+SQRT(C862*($D$10-$B$10)*($C$10-$B$10)),$D$10-SQRT((1-C862)*($D$10-$B$10)*($D$10-$C$10))),"PERT",_xlfn.BETA.INV(C862,1+$B$6*($C$10-$B$10)/($D$10-$B$10),1+$B$6*($D$10-$C$10)/($D$10-$B$10),$B$10,$D$10))</f>
        <v>5177.0112266978003</v>
      </c>
      <c r="F862" s="88">
        <f t="shared" ca="1" si="40"/>
        <v>0.53622966026290508</v>
      </c>
      <c r="G862" s="89">
        <f t="shared" ca="1" si="41"/>
        <v>1.5317016971816408E-4</v>
      </c>
    </row>
    <row r="863" spans="1:7" x14ac:dyDescent="0.35">
      <c r="A863" s="84">
        <v>848</v>
      </c>
      <c r="B863" s="84">
        <f t="shared" ca="1" si="39"/>
        <v>0.41212373428569338</v>
      </c>
      <c r="C863" s="84">
        <f t="shared" ca="1" si="39"/>
        <v>0.32791167602481164</v>
      </c>
      <c r="D863" s="93" cm="1">
        <f t="array" aca="1" ref="D863" ca="1">_xlfn.SWITCH($B$4,"Normal MLE",EXP(_xlfn.NORM.INV(B863,LN($C$9),$E$9/$C$9)),"Uniforme",$B$9+($D$9-$B$9)*B863,"Triangular",IF(B863&lt;=($C$9-$B$9)/($D$9-$B$9),$B$9+SQRT(B863*($D$9-$B$9)*($C$9-$B$9)),$D$9-SQRT((1-B863)*($D$9-$B$9)*($D$9-$C$9))),"PERT",_xlfn.BETA.INV(B863,1+$B$6*($C$9-$B$9)/($D$9-$B$9),1+$B$6*($D$9-$C$9)/($D$9-$B$9),$B$9,$D$9))</f>
        <v>1.917452798203461</v>
      </c>
      <c r="E863" s="94" cm="1">
        <f t="array" aca="1" ref="E863" ca="1">_xlfn.SWITCH($B$4,"Normal MLE",EXP(_xlfn.NORM.INV(C863,LN($C$10),$E$10/$C$10)),"Uniforme",$B$10+($D$10-$B$10)*C863,"Triangular",IF(C863&lt;=($C$10-$B$10)/($D$10-$B$10),$B$10+SQRT(C863*($D$10-$B$10)*($C$10-$B$10)),$D$10-SQRT((1-C863)*($D$10-$B$10)*($D$10-$C$10))),"PERT",_xlfn.BETA.INV(C863,1+$B$6*($C$10-$B$10)/($D$10-$B$10),1+$B$6*($D$10-$C$10)/($D$10-$B$10),$B$10,$D$10))</f>
        <v>4995.0972513281831</v>
      </c>
      <c r="F863" s="88">
        <f t="shared" ca="1" si="40"/>
        <v>0.52041672712394993</v>
      </c>
      <c r="G863" s="89">
        <f t="shared" ca="1" si="41"/>
        <v>1.6293429458235059E-4</v>
      </c>
    </row>
    <row r="864" spans="1:7" x14ac:dyDescent="0.35">
      <c r="A864" s="84">
        <v>849</v>
      </c>
      <c r="B864" s="84">
        <f t="shared" ca="1" si="39"/>
        <v>0.83050828006277932</v>
      </c>
      <c r="C864" s="84">
        <f t="shared" ca="1" si="39"/>
        <v>0.11941806553347345</v>
      </c>
      <c r="D864" s="93" cm="1">
        <f t="array" aca="1" ref="D864" ca="1">_xlfn.SWITCH($B$4,"Normal MLE",EXP(_xlfn.NORM.INV(B864,LN($C$9),$E$9/$C$9)),"Uniforme",$B$9+($D$9-$B$9)*B864,"Triangular",IF(B864&lt;=($C$9-$B$9)/($D$9-$B$9),$B$9+SQRT(B864*($D$9-$B$9)*($C$9-$B$9)),$D$9-SQRT((1-B864)*($D$9-$B$9)*($D$9-$C$9))),"PERT",_xlfn.BETA.INV(B864,1+$B$6*($C$9-$B$9)/($D$9-$B$9),1+$B$6*($D$9-$C$9)/($D$9-$B$9),$B$9,$D$9))</f>
        <v>2.0833353954635077</v>
      </c>
      <c r="E864" s="94" cm="1">
        <f t="array" aca="1" ref="E864" ca="1">_xlfn.SWITCH($B$4,"Normal MLE",EXP(_xlfn.NORM.INV(C864,LN($C$10),$E$10/$C$10)),"Uniforme",$B$10+($D$10-$B$10)*C864,"Triangular",IF(C864&lt;=($C$10-$B$10)/($D$10-$B$10),$B$10+SQRT(C864*($D$10-$B$10)*($C$10-$B$10)),$D$10-SQRT((1-C864)*($D$10-$B$10)*($D$10-$C$10))),"PERT",_xlfn.BETA.INV(C864,1+$B$6*($C$10-$B$10)/($D$10-$B$10),1+$B$6*($D$10-$C$10)/($D$10-$B$10),$B$10,$D$10))</f>
        <v>4827.765946128663</v>
      </c>
      <c r="F864" s="88">
        <f t="shared" ca="1" si="40"/>
        <v>0.50874765276967926</v>
      </c>
      <c r="G864" s="89">
        <f t="shared" ca="1" si="41"/>
        <v>1.7906958835485362E-4</v>
      </c>
    </row>
    <row r="865" spans="1:7" x14ac:dyDescent="0.35">
      <c r="A865" s="84">
        <v>850</v>
      </c>
      <c r="B865" s="84">
        <f t="shared" ca="1" si="39"/>
        <v>0.93388706674972155</v>
      </c>
      <c r="C865" s="84">
        <f t="shared" ca="1" si="39"/>
        <v>0.45371909897283447</v>
      </c>
      <c r="D865" s="93" cm="1">
        <f t="array" aca="1" ref="D865" ca="1">_xlfn.SWITCH($B$4,"Normal MLE",EXP(_xlfn.NORM.INV(B865,LN($C$9),$E$9/$C$9)),"Uniforme",$B$9+($D$9-$B$9)*B865,"Triangular",IF(B865&lt;=($C$9-$B$9)/($D$9-$B$9),$B$9+SQRT(B865*($D$9-$B$9)*($C$9-$B$9)),$D$9-SQRT((1-B865)*($D$9-$B$9)*($D$9-$C$9))),"PERT",_xlfn.BETA.INV(B865,1+$B$6*($C$9-$B$9)/($D$9-$B$9),1+$B$6*($D$9-$C$9)/($D$9-$B$9),$B$9,$D$9))</f>
        <v>2.1654863690621879</v>
      </c>
      <c r="E865" s="94" cm="1">
        <f t="array" aca="1" ref="E865" ca="1">_xlfn.SWITCH($B$4,"Normal MLE",EXP(_xlfn.NORM.INV(C865,LN($C$10),$E$10/$C$10)),"Uniforme",$B$10+($D$10-$B$10)*C865,"Triangular",IF(C865&lt;=($C$10-$B$10)/($D$10-$B$10),$B$10+SQRT(C865*($D$10-$B$10)*($C$10-$B$10)),$D$10-SQRT((1-C865)*($D$10-$B$10)*($D$10-$C$10))),"PERT",_xlfn.BETA.INV(C865,1+$B$6*($C$10-$B$10)/($D$10-$B$10),1+$B$6*($D$10-$C$10)/($D$10-$B$10),$B$10,$D$10))</f>
        <v>5072.2578285724667</v>
      </c>
      <c r="F865" s="88">
        <f t="shared" ca="1" si="40"/>
        <v>0.54994997914625499</v>
      </c>
      <c r="G865" s="89">
        <f t="shared" ca="1" si="41"/>
        <v>1.780194722478593E-4</v>
      </c>
    </row>
    <row r="866" spans="1:7" x14ac:dyDescent="0.35">
      <c r="A866" s="84">
        <v>851</v>
      </c>
      <c r="B866" s="84">
        <f t="shared" ca="1" si="39"/>
        <v>0.86122154572983012</v>
      </c>
      <c r="C866" s="84">
        <f t="shared" ca="1" si="39"/>
        <v>0.3840663168080275</v>
      </c>
      <c r="D866" s="93" cm="1">
        <f t="array" aca="1" ref="D866" ca="1">_xlfn.SWITCH($B$4,"Normal MLE",EXP(_xlfn.NORM.INV(B866,LN($C$9),$E$9/$C$9)),"Uniforme",$B$9+($D$9-$B$9)*B866,"Triangular",IF(B866&lt;=($C$9-$B$9)/($D$9-$B$9),$B$9+SQRT(B866*($D$9-$B$9)*($C$9-$B$9)),$D$9-SQRT((1-B866)*($D$9-$B$9)*($D$9-$C$9))),"PERT",_xlfn.BETA.INV(B866,1+$B$6*($C$9-$B$9)/($D$9-$B$9),1+$B$6*($D$9-$C$9)/($D$9-$B$9),$B$9,$D$9))</f>
        <v>2.1024428247386511</v>
      </c>
      <c r="E866" s="94" cm="1">
        <f t="array" aca="1" ref="E866" ca="1">_xlfn.SWITCH($B$4,"Normal MLE",EXP(_xlfn.NORM.INV(C866,LN($C$10),$E$10/$C$10)),"Uniforme",$B$10+($D$10-$B$10)*C866,"Triangular",IF(C866&lt;=($C$10-$B$10)/($D$10-$B$10),$B$10+SQRT(C866*($D$10-$B$10)*($C$10-$B$10)),$D$10-SQRT((1-C866)*($D$10-$B$10)*($D$10-$C$10))),"PERT",_xlfn.BETA.INV(C866,1+$B$6*($C$10-$B$10)/($D$10-$B$10),1+$B$6*($D$10-$C$10)/($D$10-$B$10),$B$10,$D$10))</f>
        <v>5030.2890507415159</v>
      </c>
      <c r="F866" s="88">
        <f t="shared" ca="1" si="40"/>
        <v>0.53921376077562067</v>
      </c>
      <c r="G866" s="89">
        <f t="shared" ca="1" si="41"/>
        <v>1.7505028950754733E-4</v>
      </c>
    </row>
    <row r="867" spans="1:7" x14ac:dyDescent="0.35">
      <c r="A867" s="84">
        <v>852</v>
      </c>
      <c r="B867" s="84">
        <f t="shared" ca="1" si="39"/>
        <v>0.90053111038456568</v>
      </c>
      <c r="C867" s="84">
        <f t="shared" ca="1" si="39"/>
        <v>0.77300518138706553</v>
      </c>
      <c r="D867" s="93" cm="1">
        <f t="array" aca="1" ref="D867" ca="1">_xlfn.SWITCH($B$4,"Normal MLE",EXP(_xlfn.NORM.INV(B867,LN($C$9),$E$9/$C$9)),"Uniforme",$B$9+($D$9-$B$9)*B867,"Triangular",IF(B867&lt;=($C$9-$B$9)/($D$9-$B$9),$B$9+SQRT(B867*($D$9-$B$9)*($C$9-$B$9)),$D$9-SQRT((1-B867)*($D$9-$B$9)*($D$9-$C$9))),"PERT",_xlfn.BETA.INV(B867,1+$B$6*($C$9-$B$9)/($D$9-$B$9),1+$B$6*($D$9-$C$9)/($D$9-$B$9),$B$9,$D$9))</f>
        <v>2.1320767032488708</v>
      </c>
      <c r="E867" s="94" cm="1">
        <f t="array" aca="1" ref="E867" ca="1">_xlfn.SWITCH($B$4,"Normal MLE",EXP(_xlfn.NORM.INV(C867,LN($C$10),$E$10/$C$10)),"Uniforme",$B$10+($D$10-$B$10)*C867,"Triangular",IF(C867&lt;=($C$10-$B$10)/($D$10-$B$10),$B$10+SQRT(C867*($D$10-$B$10)*($C$10-$B$10)),$D$10-SQRT((1-C867)*($D$10-$B$10)*($D$10-$C$10))),"PERT",_xlfn.BETA.INV(C867,1+$B$6*($C$10-$B$10)/($D$10-$B$10),1+$B$6*($D$10-$C$10)/($D$10-$B$10),$B$10,$D$10))</f>
        <v>5280.6044978836371</v>
      </c>
      <c r="F867" s="88">
        <f t="shared" ca="1" si="40"/>
        <v>0.57515124013713315</v>
      </c>
      <c r="G867" s="89">
        <f t="shared" ca="1" si="41"/>
        <v>1.695688285936551E-4</v>
      </c>
    </row>
    <row r="868" spans="1:7" x14ac:dyDescent="0.35">
      <c r="A868" s="84">
        <v>853</v>
      </c>
      <c r="B868" s="84">
        <f t="shared" ca="1" si="39"/>
        <v>0.84518276651284352</v>
      </c>
      <c r="C868" s="84">
        <f t="shared" ca="1" si="39"/>
        <v>7.0712872404767202E-2</v>
      </c>
      <c r="D868" s="93" cm="1">
        <f t="array" aca="1" ref="D868" ca="1">_xlfn.SWITCH($B$4,"Normal MLE",EXP(_xlfn.NORM.INV(B868,LN($C$9),$E$9/$C$9)),"Uniforme",$B$9+($D$9-$B$9)*B868,"Triangular",IF(B868&lt;=($C$9-$B$9)/($D$9-$B$9),$B$9+SQRT(B868*($D$9-$B$9)*($C$9-$B$9)),$D$9-SQRT((1-B868)*($D$9-$B$9)*($D$9-$C$9))),"PERT",_xlfn.BETA.INV(B868,1+$B$6*($C$9-$B$9)/($D$9-$B$9),1+$B$6*($D$9-$C$9)/($D$9-$B$9),$B$9,$D$9))</f>
        <v>2.092128993323791</v>
      </c>
      <c r="E868" s="94" cm="1">
        <f t="array" aca="1" ref="E868" ca="1">_xlfn.SWITCH($B$4,"Normal MLE",EXP(_xlfn.NORM.INV(C868,LN($C$10),$E$10/$C$10)),"Uniforme",$B$10+($D$10-$B$10)*C868,"Triangular",IF(C868&lt;=($C$10-$B$10)/($D$10-$B$10),$B$10+SQRT(C868*($D$10-$B$10)*($C$10-$B$10)),$D$10-SQRT((1-C868)*($D$10-$B$10)*($D$10-$C$10))),"PERT",_xlfn.BETA.INV(C868,1+$B$6*($C$10-$B$10)/($D$10-$B$10),1+$B$6*($D$10-$C$10)/($D$10-$B$10),$B$10,$D$10))</f>
        <v>4762.4765564463278</v>
      </c>
      <c r="F868" s="88">
        <f t="shared" ca="1" si="40"/>
        <v>0.49948281369138176</v>
      </c>
      <c r="G868" s="89">
        <f t="shared" ca="1" si="41"/>
        <v>1.8135202944452843E-4</v>
      </c>
    </row>
    <row r="869" spans="1:7" x14ac:dyDescent="0.35">
      <c r="A869" s="84">
        <v>854</v>
      </c>
      <c r="B869" s="84">
        <f t="shared" ca="1" si="39"/>
        <v>0.59957665102302238</v>
      </c>
      <c r="C869" s="84">
        <f t="shared" ca="1" si="39"/>
        <v>0.53281170715614834</v>
      </c>
      <c r="D869" s="93" cm="1">
        <f t="array" aca="1" ref="D869" ca="1">_xlfn.SWITCH($B$4,"Normal MLE",EXP(_xlfn.NORM.INV(B869,LN($C$9),$E$9/$C$9)),"Uniforme",$B$9+($D$9-$B$9)*B869,"Triangular",IF(B869&lt;=($C$9-$B$9)/($D$9-$B$9),$B$9+SQRT(B869*($D$9-$B$9)*($C$9-$B$9)),$D$9-SQRT((1-B869)*($D$9-$B$9)*($D$9-$C$9))),"PERT",_xlfn.BETA.INV(B869,1+$B$6*($C$9-$B$9)/($D$9-$B$9),1+$B$6*($D$9-$C$9)/($D$9-$B$9),$B$9,$D$9))</f>
        <v>1.9825822963612527</v>
      </c>
      <c r="E869" s="94" cm="1">
        <f t="array" aca="1" ref="E869" ca="1">_xlfn.SWITCH($B$4,"Normal MLE",EXP(_xlfn.NORM.INV(C869,LN($C$10),$E$10/$C$10)),"Uniforme",$B$10+($D$10-$B$10)*C869,"Triangular",IF(C869&lt;=($C$10-$B$10)/($D$10-$B$10),$B$10+SQRT(C869*($D$10-$B$10)*($C$10-$B$10)),$D$10-SQRT((1-C869)*($D$10-$B$10)*($D$10-$C$10))),"PERT",_xlfn.BETA.INV(C869,1+$B$6*($C$10-$B$10)/($D$10-$B$10),1+$B$6*($D$10-$C$10)/($D$10-$B$10),$B$10,$D$10))</f>
        <v>5119.3538702658734</v>
      </c>
      <c r="F869" s="88">
        <f t="shared" ca="1" si="40"/>
        <v>0.54165015435681108</v>
      </c>
      <c r="G869" s="89">
        <f t="shared" ca="1" si="41"/>
        <v>1.6460619714852193E-4</v>
      </c>
    </row>
    <row r="870" spans="1:7" x14ac:dyDescent="0.35">
      <c r="A870" s="84">
        <v>855</v>
      </c>
      <c r="B870" s="84">
        <f t="shared" ca="1" si="39"/>
        <v>6.0545768918558673E-2</v>
      </c>
      <c r="C870" s="84">
        <f t="shared" ca="1" si="39"/>
        <v>0.8963912521650631</v>
      </c>
      <c r="D870" s="93" cm="1">
        <f t="array" aca="1" ref="D870" ca="1">_xlfn.SWITCH($B$4,"Normal MLE",EXP(_xlfn.NORM.INV(B870,LN($C$9),$E$9/$C$9)),"Uniforme",$B$9+($D$9-$B$9)*B870,"Triangular",IF(B870&lt;=($C$9-$B$9)/($D$9-$B$9),$B$9+SQRT(B870*($D$9-$B$9)*($C$9-$B$9)),$D$9-SQRT((1-B870)*($D$9-$B$9)*($D$9-$C$9))),"PERT",_xlfn.BETA.INV(B870,1+$B$6*($C$9-$B$9)/($D$9-$B$9),1+$B$6*($D$9-$C$9)/($D$9-$B$9),$B$9,$D$9))</f>
        <v>1.7462522444081636</v>
      </c>
      <c r="E870" s="94" cm="1">
        <f t="array" aca="1" ref="E870" ca="1">_xlfn.SWITCH($B$4,"Normal MLE",EXP(_xlfn.NORM.INV(C870,LN($C$10),$E$10/$C$10)),"Uniforme",$B$10+($D$10-$B$10)*C870,"Triangular",IF(C870&lt;=($C$10-$B$10)/($D$10-$B$10),$B$10+SQRT(C870*($D$10-$B$10)*($C$10-$B$10)),$D$10-SQRT((1-C870)*($D$10-$B$10)*($D$10-$C$10))),"PERT",_xlfn.BETA.INV(C870,1+$B$6*($C$10-$B$10)/($D$10-$B$10),1+$B$6*($D$10-$C$10)/($D$10-$B$10),$B$10,$D$10))</f>
        <v>5408.0477303054404</v>
      </c>
      <c r="F870" s="88">
        <f t="shared" ca="1" si="40"/>
        <v>0.55400870876356212</v>
      </c>
      <c r="G870" s="89">
        <f t="shared" ca="1" si="41"/>
        <v>1.4283628381594766E-4</v>
      </c>
    </row>
    <row r="871" spans="1:7" x14ac:dyDescent="0.35">
      <c r="A871" s="84">
        <v>856</v>
      </c>
      <c r="B871" s="84">
        <f t="shared" ca="1" si="39"/>
        <v>0.62621866723254416</v>
      </c>
      <c r="C871" s="84">
        <f t="shared" ca="1" si="39"/>
        <v>0.81538872060526602</v>
      </c>
      <c r="D871" s="93" cm="1">
        <f t="array" aca="1" ref="D871" ca="1">_xlfn.SWITCH($B$4,"Normal MLE",EXP(_xlfn.NORM.INV(B871,LN($C$9),$E$9/$C$9)),"Uniforme",$B$9+($D$9-$B$9)*B871,"Triangular",IF(B871&lt;=($C$9-$B$9)/($D$9-$B$9),$B$9+SQRT(B871*($D$9-$B$9)*($C$9-$B$9)),$D$9-SQRT((1-B871)*($D$9-$B$9)*($D$9-$C$9))),"PERT",_xlfn.BETA.INV(B871,1+$B$6*($C$9-$B$9)/($D$9-$B$9),1+$B$6*($D$9-$C$9)/($D$9-$B$9),$B$9,$D$9))</f>
        <v>1.992323644439798</v>
      </c>
      <c r="E871" s="94" cm="1">
        <f t="array" aca="1" ref="E871" ca="1">_xlfn.SWITCH($B$4,"Normal MLE",EXP(_xlfn.NORM.INV(C871,LN($C$10),$E$10/$C$10)),"Uniforme",$B$10+($D$10-$B$10)*C871,"Triangular",IF(C871&lt;=($C$10-$B$10)/($D$10-$B$10),$B$10+SQRT(C871*($D$10-$B$10)*($C$10-$B$10)),$D$10-SQRT((1-C871)*($D$10-$B$10)*($D$10-$C$10))),"PERT",_xlfn.BETA.INV(C871,1+$B$6*($C$10-$B$10)/($D$10-$B$10),1+$B$6*($D$10-$C$10)/($D$10-$B$10),$B$10,$D$10))</f>
        <v>5317.3825654352568</v>
      </c>
      <c r="F871" s="88">
        <f t="shared" ca="1" si="40"/>
        <v>0.56715776352157665</v>
      </c>
      <c r="G871" s="89">
        <f t="shared" ca="1" si="41"/>
        <v>1.6020535762446741E-4</v>
      </c>
    </row>
    <row r="872" spans="1:7" x14ac:dyDescent="0.35">
      <c r="A872" s="84">
        <v>857</v>
      </c>
      <c r="B872" s="84">
        <f t="shared" ca="1" si="39"/>
        <v>1.0707286988973719E-2</v>
      </c>
      <c r="C872" s="84">
        <f t="shared" ca="1" si="39"/>
        <v>0.43323169399199968</v>
      </c>
      <c r="D872" s="93" cm="1">
        <f t="array" aca="1" ref="D872" ca="1">_xlfn.SWITCH($B$4,"Normal MLE",EXP(_xlfn.NORM.INV(B872,LN($C$9),$E$9/$C$9)),"Uniforme",$B$9+($D$9-$B$9)*B872,"Triangular",IF(B872&lt;=($C$9-$B$9)/($D$9-$B$9),$B$9+SQRT(B872*($D$9-$B$9)*($C$9-$B$9)),$D$9-SQRT((1-B872)*($D$9-$B$9)*($D$9-$C$9))),"PERT",_xlfn.BETA.INV(B872,1+$B$6*($C$9-$B$9)/($D$9-$B$9),1+$B$6*($D$9-$C$9)/($D$9-$B$9),$B$9,$D$9))</f>
        <v>1.656372758413249</v>
      </c>
      <c r="E872" s="94" cm="1">
        <f t="array" aca="1" ref="E872" ca="1">_xlfn.SWITCH($B$4,"Normal MLE",EXP(_xlfn.NORM.INV(C872,LN($C$10),$E$10/$C$10)),"Uniforme",$B$10+($D$10-$B$10)*C872,"Triangular",IF(C872&lt;=($C$10-$B$10)/($D$10-$B$10),$B$10+SQRT(C872*($D$10-$B$10)*($C$10-$B$10)),$D$10-SQRT((1-C872)*($D$10-$B$10)*($D$10-$C$10))),"PERT",_xlfn.BETA.INV(C872,1+$B$6*($C$10-$B$10)/($D$10-$B$10),1+$B$6*($D$10-$C$10)/($D$10-$B$10),$B$10,$D$10))</f>
        <v>5060.0266993968116</v>
      </c>
      <c r="F872" s="88">
        <f t="shared" ca="1" si="40"/>
        <v>0.50789546722666756</v>
      </c>
      <c r="G872" s="89">
        <f t="shared" ca="1" si="41"/>
        <v>1.4248484155998434E-4</v>
      </c>
    </row>
    <row r="873" spans="1:7" x14ac:dyDescent="0.35">
      <c r="A873" s="84">
        <v>858</v>
      </c>
      <c r="B873" s="84">
        <f t="shared" ca="1" si="39"/>
        <v>0.79526020022935995</v>
      </c>
      <c r="C873" s="84">
        <f t="shared" ca="1" si="39"/>
        <v>0.85002582444437202</v>
      </c>
      <c r="D873" s="93" cm="1">
        <f t="array" aca="1" ref="D873" ca="1">_xlfn.SWITCH($B$4,"Normal MLE",EXP(_xlfn.NORM.INV(B873,LN($C$9),$E$9/$C$9)),"Uniforme",$B$9+($D$9-$B$9)*B873,"Triangular",IF(B873&lt;=($C$9-$B$9)/($D$9-$B$9),$B$9+SQRT(B873*($D$9-$B$9)*($C$9-$B$9)),$D$9-SQRT((1-B873)*($D$9-$B$9)*($D$9-$C$9))),"PERT",_xlfn.BETA.INV(B873,1+$B$6*($C$9-$B$9)/($D$9-$B$9),1+$B$6*($D$9-$C$9)/($D$9-$B$9),$B$9,$D$9))</f>
        <v>2.0641519005595468</v>
      </c>
      <c r="E873" s="94" cm="1">
        <f t="array" aca="1" ref="E873" ca="1">_xlfn.SWITCH($B$4,"Normal MLE",EXP(_xlfn.NORM.INV(C873,LN($C$10),$E$10/$C$10)),"Uniforme",$B$10+($D$10-$B$10)*C873,"Triangular",IF(C873&lt;=($C$10-$B$10)/($D$10-$B$10),$B$10+SQRT(C873*($D$10-$B$10)*($C$10-$B$10)),$D$10-SQRT((1-C873)*($D$10-$B$10)*($D$10-$C$10))),"PERT",_xlfn.BETA.INV(C873,1+$B$6*($C$10-$B$10)/($D$10-$B$10),1+$B$6*($D$10-$C$10)/($D$10-$B$10),$B$10,$D$10))</f>
        <v>5351.7920562508725</v>
      </c>
      <c r="F873" s="88">
        <f t="shared" ca="1" si="40"/>
        <v>0.57793732691530264</v>
      </c>
      <c r="G873" s="89">
        <f t="shared" ca="1" si="41"/>
        <v>1.6352065246572178E-4</v>
      </c>
    </row>
    <row r="874" spans="1:7" x14ac:dyDescent="0.35">
      <c r="A874" s="84">
        <v>859</v>
      </c>
      <c r="B874" s="84">
        <f t="shared" ca="1" si="39"/>
        <v>0.68446967337532894</v>
      </c>
      <c r="C874" s="84">
        <f t="shared" ca="1" si="39"/>
        <v>0.3542571833965652</v>
      </c>
      <c r="D874" s="93" cm="1">
        <f t="array" aca="1" ref="D874" ca="1">_xlfn.SWITCH($B$4,"Normal MLE",EXP(_xlfn.NORM.INV(B874,LN($C$9),$E$9/$C$9)),"Uniforme",$B$9+($D$9-$B$9)*B874,"Triangular",IF(B874&lt;=($C$9-$B$9)/($D$9-$B$9),$B$9+SQRT(B874*($D$9-$B$9)*($C$9-$B$9)),$D$9-SQRT((1-B874)*($D$9-$B$9)*($D$9-$C$9))),"PERT",_xlfn.BETA.INV(B874,1+$B$6*($C$9-$B$9)/($D$9-$B$9),1+$B$6*($D$9-$C$9)/($D$9-$B$9),$B$9,$D$9))</f>
        <v>2.0146684299283897</v>
      </c>
      <c r="E874" s="94" cm="1">
        <f t="array" aca="1" ref="E874" ca="1">_xlfn.SWITCH($B$4,"Normal MLE",EXP(_xlfn.NORM.INV(C874,LN($C$10),$E$10/$C$10)),"Uniforme",$B$10+($D$10-$B$10)*C874,"Triangular",IF(C874&lt;=($C$10-$B$10)/($D$10-$B$10),$B$10+SQRT(C874*($D$10-$B$10)*($C$10-$B$10)),$D$10-SQRT((1-C874)*($D$10-$B$10)*($D$10-$C$10))),"PERT",_xlfn.BETA.INV(C874,1+$B$6*($C$10-$B$10)/($D$10-$B$10),1+$B$6*($D$10-$C$10)/($D$10-$B$10),$B$10,$D$10))</f>
        <v>5011.8227401342829</v>
      </c>
      <c r="F874" s="88">
        <f t="shared" ca="1" si="40"/>
        <v>0.529998798674579</v>
      </c>
      <c r="G874" s="89">
        <f t="shared" ca="1" si="41"/>
        <v>1.6947689155578379E-4</v>
      </c>
    </row>
    <row r="875" spans="1:7" x14ac:dyDescent="0.35">
      <c r="A875" s="84">
        <v>860</v>
      </c>
      <c r="B875" s="84">
        <f t="shared" ca="1" si="39"/>
        <v>0.49558261528063086</v>
      </c>
      <c r="C875" s="84">
        <f t="shared" ca="1" si="39"/>
        <v>0.38995579762795629</v>
      </c>
      <c r="D875" s="93" cm="1">
        <f t="array" aca="1" ref="D875" ca="1">_xlfn.SWITCH($B$4,"Normal MLE",EXP(_xlfn.NORM.INV(B875,LN($C$9),$E$9/$C$9)),"Uniforme",$B$9+($D$9-$B$9)*B875,"Triangular",IF(B875&lt;=($C$9-$B$9)/($D$9-$B$9),$B$9+SQRT(B875*($D$9-$B$9)*($C$9-$B$9)),$D$9-SQRT((1-B875)*($D$9-$B$9)*($D$9-$C$9))),"PERT",_xlfn.BETA.INV(B875,1+$B$6*($C$9-$B$9)/($D$9-$B$9),1+$B$6*($D$9-$C$9)/($D$9-$B$9),$B$9,$D$9))</f>
        <v>1.9461576960312355</v>
      </c>
      <c r="E875" s="94" cm="1">
        <f t="array" aca="1" ref="E875" ca="1">_xlfn.SWITCH($B$4,"Normal MLE",EXP(_xlfn.NORM.INV(C875,LN($C$10),$E$10/$C$10)),"Uniforme",$B$10+($D$10-$B$10)*C875,"Triangular",IF(C875&lt;=($C$10-$B$10)/($D$10-$B$10),$B$10+SQRT(C875*($D$10-$B$10)*($C$10-$B$10)),$D$10-SQRT((1-C875)*($D$10-$B$10)*($D$10-$C$10))),"PERT",_xlfn.BETA.INV(C875,1+$B$6*($C$10-$B$10)/($D$10-$B$10),1+$B$6*($D$10-$C$10)/($D$10-$B$10),$B$10,$D$10))</f>
        <v>5033.8914711671941</v>
      </c>
      <c r="F875" s="88">
        <f t="shared" ca="1" si="40"/>
        <v>0.52767454761463761</v>
      </c>
      <c r="G875" s="89">
        <f t="shared" ca="1" si="41"/>
        <v>1.6412407556172292E-4</v>
      </c>
    </row>
    <row r="876" spans="1:7" x14ac:dyDescent="0.35">
      <c r="A876" s="84">
        <v>861</v>
      </c>
      <c r="B876" s="84">
        <f t="shared" ca="1" si="39"/>
        <v>0.15251213222920079</v>
      </c>
      <c r="C876" s="84">
        <f t="shared" ca="1" si="39"/>
        <v>0.13640722317687548</v>
      </c>
      <c r="D876" s="93" cm="1">
        <f t="array" aca="1" ref="D876" ca="1">_xlfn.SWITCH($B$4,"Normal MLE",EXP(_xlfn.NORM.INV(B876,LN($C$9),$E$9/$C$9)),"Uniforme",$B$9+($D$9-$B$9)*B876,"Triangular",IF(B876&lt;=($C$9-$B$9)/($D$9-$B$9),$B$9+SQRT(B876*($D$9-$B$9)*($C$9-$B$9)),$D$9-SQRT((1-B876)*($D$9-$B$9)*($D$9-$C$9))),"PERT",_xlfn.BETA.INV(B876,1+$B$6*($C$9-$B$9)/($D$9-$B$9),1+$B$6*($D$9-$C$9)/($D$9-$B$9),$B$9,$D$9))</f>
        <v>1.8119546985292241</v>
      </c>
      <c r="E876" s="94" cm="1">
        <f t="array" aca="1" ref="E876" ca="1">_xlfn.SWITCH($B$4,"Normal MLE",EXP(_xlfn.NORM.INV(C876,LN($C$10),$E$10/$C$10)),"Uniforme",$B$10+($D$10-$B$10)*C876,"Triangular",IF(C876&lt;=($C$10-$B$10)/($D$10-$B$10),$B$10+SQRT(C876*($D$10-$B$10)*($C$10-$B$10)),$D$10-SQRT((1-C876)*($D$10-$B$10)*($D$10-$C$10))),"PERT",_xlfn.BETA.INV(C876,1+$B$6*($C$10-$B$10)/($D$10-$B$10),1+$B$6*($D$10-$C$10)/($D$10-$B$10),$B$10,$D$10))</f>
        <v>4846.0643743488736</v>
      </c>
      <c r="F876" s="88">
        <f t="shared" ca="1" si="40"/>
        <v>0.49344892980934751</v>
      </c>
      <c r="G876" s="89">
        <f t="shared" ca="1" si="41"/>
        <v>1.578849894980488E-4</v>
      </c>
    </row>
    <row r="877" spans="1:7" x14ac:dyDescent="0.35">
      <c r="A877" s="84">
        <v>862</v>
      </c>
      <c r="B877" s="84">
        <f t="shared" ca="1" si="39"/>
        <v>0.36099613671732966</v>
      </c>
      <c r="C877" s="84">
        <f t="shared" ca="1" si="39"/>
        <v>0.3401939532743592</v>
      </c>
      <c r="D877" s="93" cm="1">
        <f t="array" aca="1" ref="D877" ca="1">_xlfn.SWITCH($B$4,"Normal MLE",EXP(_xlfn.NORM.INV(B877,LN($C$9),$E$9/$C$9)),"Uniforme",$B$9+($D$9-$B$9)*B877,"Triangular",IF(B877&lt;=($C$9-$B$9)/($D$9-$B$9),$B$9+SQRT(B877*($D$9-$B$9)*($C$9-$B$9)),$D$9-SQRT((1-B877)*($D$9-$B$9)*($D$9-$C$9))),"PERT",_xlfn.BETA.INV(B877,1+$B$6*($C$9-$B$9)/($D$9-$B$9),1+$B$6*($D$9-$C$9)/($D$9-$B$9),$B$9,$D$9))</f>
        <v>1.8994829179674337</v>
      </c>
      <c r="E877" s="94" cm="1">
        <f t="array" aca="1" ref="E877" ca="1">_xlfn.SWITCH($B$4,"Normal MLE",EXP(_xlfn.NORM.INV(C877,LN($C$10),$E$10/$C$10)),"Uniforme",$B$10+($D$10-$B$10)*C877,"Triangular",IF(C877&lt;=($C$10-$B$10)/($D$10-$B$10),$B$10+SQRT(C877*($D$10-$B$10)*($C$10-$B$10)),$D$10-SQRT((1-C877)*($D$10-$B$10)*($D$10-$C$10))),"PERT",_xlfn.BETA.INV(C877,1+$B$6*($C$10-$B$10)/($D$10-$B$10),1+$B$6*($D$10-$C$10)/($D$10-$B$10),$B$10,$D$10))</f>
        <v>5002.9491117382249</v>
      </c>
      <c r="F877" s="88">
        <f t="shared" ca="1" si="40"/>
        <v>0.52007379382959007</v>
      </c>
      <c r="G877" s="89">
        <f t="shared" ca="1" si="41"/>
        <v>1.6146375029956007E-4</v>
      </c>
    </row>
    <row r="878" spans="1:7" x14ac:dyDescent="0.35">
      <c r="A878" s="84">
        <v>863</v>
      </c>
      <c r="B878" s="84">
        <f t="shared" ca="1" si="39"/>
        <v>0.27738444433246079</v>
      </c>
      <c r="C878" s="84">
        <f t="shared" ca="1" si="39"/>
        <v>0.61540699916854602</v>
      </c>
      <c r="D878" s="93" cm="1">
        <f t="array" aca="1" ref="D878" ca="1">_xlfn.SWITCH($B$4,"Normal MLE",EXP(_xlfn.NORM.INV(B878,LN($C$9),$E$9/$C$9)),"Uniforme",$B$9+($D$9-$B$9)*B878,"Triangular",IF(B878&lt;=($C$9-$B$9)/($D$9-$B$9),$B$9+SQRT(B878*($D$9-$B$9)*($C$9-$B$9)),$D$9-SQRT((1-B878)*($D$9-$B$9)*($D$9-$C$9))),"PERT",_xlfn.BETA.INV(B878,1+$B$6*($C$9-$B$9)/($D$9-$B$9),1+$B$6*($D$9-$C$9)/($D$9-$B$9),$B$9,$D$9))</f>
        <v>1.8683299743526538</v>
      </c>
      <c r="E878" s="94" cm="1">
        <f t="array" aca="1" ref="E878" ca="1">_xlfn.SWITCH($B$4,"Normal MLE",EXP(_xlfn.NORM.INV(C878,LN($C$10),$E$10/$C$10)),"Uniforme",$B$10+($D$10-$B$10)*C878,"Triangular",IF(C878&lt;=($C$10-$B$10)/($D$10-$B$10),$B$10+SQRT(C878*($D$10-$B$10)*($C$10-$B$10)),$D$10-SQRT((1-C878)*($D$10-$B$10)*($D$10-$C$10))),"PERT",_xlfn.BETA.INV(C878,1+$B$6*($C$10-$B$10)/($D$10-$B$10),1+$B$6*($D$10-$C$10)/($D$10-$B$10),$B$10,$D$10))</f>
        <v>5169.8911248057329</v>
      </c>
      <c r="F878" s="88">
        <f t="shared" ca="1" si="40"/>
        <v>0.53837719135677031</v>
      </c>
      <c r="G878" s="89">
        <f t="shared" ca="1" si="41"/>
        <v>1.557070548507845E-4</v>
      </c>
    </row>
    <row r="879" spans="1:7" x14ac:dyDescent="0.35">
      <c r="A879" s="84">
        <v>864</v>
      </c>
      <c r="B879" s="84">
        <f t="shared" ca="1" si="39"/>
        <v>0.3854652888813318</v>
      </c>
      <c r="C879" s="84">
        <f t="shared" ca="1" si="39"/>
        <v>2.8680226150269772E-2</v>
      </c>
      <c r="D879" s="93" cm="1">
        <f t="array" aca="1" ref="D879" ca="1">_xlfn.SWITCH($B$4,"Normal MLE",EXP(_xlfn.NORM.INV(B879,LN($C$9),$E$9/$C$9)),"Uniforme",$B$9+($D$9-$B$9)*B879,"Triangular",IF(B879&lt;=($C$9-$B$9)/($D$9-$B$9),$B$9+SQRT(B879*($D$9-$B$9)*($C$9-$B$9)),$D$9-SQRT((1-B879)*($D$9-$B$9)*($D$9-$C$9))),"PERT",_xlfn.BETA.INV(B879,1+$B$6*($C$9-$B$9)/($D$9-$B$9),1+$B$6*($D$9-$C$9)/($D$9-$B$9),$B$9,$D$9))</f>
        <v>1.9081488511657885</v>
      </c>
      <c r="E879" s="94" cm="1">
        <f t="array" aca="1" ref="E879" ca="1">_xlfn.SWITCH($B$4,"Normal MLE",EXP(_xlfn.NORM.INV(C879,LN($C$10),$E$10/$C$10)),"Uniforme",$B$10+($D$10-$B$10)*C879,"Triangular",IF(C879&lt;=($C$10-$B$10)/($D$10-$B$10),$B$10+SQRT(C879*($D$10-$B$10)*($C$10-$B$10)),$D$10-SQRT((1-C879)*($D$10-$B$10)*($D$10-$C$10))),"PERT",_xlfn.BETA.INV(C879,1+$B$6*($C$10-$B$10)/($D$10-$B$10),1+$B$6*($D$10-$C$10)/($D$10-$B$10),$B$10,$D$10))</f>
        <v>4668.1164746328441</v>
      </c>
      <c r="F879" s="88">
        <f t="shared" ca="1" si="40"/>
        <v>0.47486306796499145</v>
      </c>
      <c r="G879" s="89">
        <f t="shared" ca="1" si="41"/>
        <v>1.6870144355786651E-4</v>
      </c>
    </row>
    <row r="880" spans="1:7" x14ac:dyDescent="0.35">
      <c r="A880" s="84">
        <v>865</v>
      </c>
      <c r="B880" s="84">
        <f t="shared" ca="1" si="39"/>
        <v>0.86460943152072378</v>
      </c>
      <c r="C880" s="84">
        <f t="shared" ca="1" si="39"/>
        <v>0.37108115083398541</v>
      </c>
      <c r="D880" s="93" cm="1">
        <f t="array" aca="1" ref="D880" ca="1">_xlfn.SWITCH($B$4,"Normal MLE",EXP(_xlfn.NORM.INV(B880,LN($C$9),$E$9/$C$9)),"Uniforme",$B$9+($D$9-$B$9)*B880,"Triangular",IF(B880&lt;=($C$9-$B$9)/($D$9-$B$9),$B$9+SQRT(B880*($D$9-$B$9)*($C$9-$B$9)),$D$9-SQRT((1-B880)*($D$9-$B$9)*($D$9-$C$9))),"PERT",_xlfn.BETA.INV(B880,1+$B$6*($C$9-$B$9)/($D$9-$B$9),1+$B$6*($D$9-$C$9)/($D$9-$B$9),$B$9,$D$9))</f>
        <v>2.1047302363699587</v>
      </c>
      <c r="E880" s="94" cm="1">
        <f t="array" aca="1" ref="E880" ca="1">_xlfn.SWITCH($B$4,"Normal MLE",EXP(_xlfn.NORM.INV(C880,LN($C$10),$E$10/$C$10)),"Uniforme",$B$10+($D$10-$B$10)*C880,"Triangular",IF(C880&lt;=($C$10-$B$10)/($D$10-$B$10),$B$10+SQRT(C880*($D$10-$B$10)*($C$10-$B$10)),$D$10-SQRT((1-C880)*($D$10-$B$10)*($D$10-$C$10))),"PERT",_xlfn.BETA.INV(C880,1+$B$6*($C$10-$B$10)/($D$10-$B$10),1+$B$6*($D$10-$C$10)/($D$10-$B$10),$B$10,$D$10))</f>
        <v>5022.2961863277933</v>
      </c>
      <c r="F880" s="88">
        <f t="shared" ca="1" si="40"/>
        <v>0.53827316747479781</v>
      </c>
      <c r="G880" s="89">
        <f t="shared" ca="1" si="41"/>
        <v>1.7542954593757597E-4</v>
      </c>
    </row>
    <row r="881" spans="1:7" x14ac:dyDescent="0.35">
      <c r="A881" s="84">
        <v>866</v>
      </c>
      <c r="B881" s="84">
        <f t="shared" ca="1" si="39"/>
        <v>0.25445391422212404</v>
      </c>
      <c r="C881" s="84">
        <f t="shared" ca="1" si="39"/>
        <v>0.18897840296709556</v>
      </c>
      <c r="D881" s="93" cm="1">
        <f t="array" aca="1" ref="D881" ca="1">_xlfn.SWITCH($B$4,"Normal MLE",EXP(_xlfn.NORM.INV(B881,LN($C$9),$E$9/$C$9)),"Uniforme",$B$9+($D$9-$B$9)*B881,"Triangular",IF(B881&lt;=($C$9-$B$9)/($D$9-$B$9),$B$9+SQRT(B881*($D$9-$B$9)*($C$9-$B$9)),$D$9-SQRT((1-B881)*($D$9-$B$9)*($D$9-$C$9))),"PERT",_xlfn.BETA.INV(B881,1+$B$6*($C$9-$B$9)/($D$9-$B$9),1+$B$6*($D$9-$C$9)/($D$9-$B$9),$B$9,$D$9))</f>
        <v>1.8591547342815851</v>
      </c>
      <c r="E881" s="94" cm="1">
        <f t="array" aca="1" ref="E881" ca="1">_xlfn.SWITCH($B$4,"Normal MLE",EXP(_xlfn.NORM.INV(C881,LN($C$10),$E$10/$C$10)),"Uniforme",$B$10+($D$10-$B$10)*C881,"Triangular",IF(C881&lt;=($C$10-$B$10)/($D$10-$B$10),$B$10+SQRT(C881*($D$10-$B$10)*($C$10-$B$10)),$D$10-SQRT((1-C881)*($D$10-$B$10)*($D$10-$C$10))),"PERT",_xlfn.BETA.INV(C881,1+$B$6*($C$10-$B$10)/($D$10-$B$10),1+$B$6*($D$10-$C$10)/($D$10-$B$10),$B$10,$D$10))</f>
        <v>4894.7776423057157</v>
      </c>
      <c r="F881" s="88">
        <f t="shared" ca="1" si="40"/>
        <v>0.50304673986386728</v>
      </c>
      <c r="G881" s="89">
        <f t="shared" ca="1" si="41"/>
        <v>1.6064464579107593E-4</v>
      </c>
    </row>
    <row r="882" spans="1:7" x14ac:dyDescent="0.35">
      <c r="A882" s="84">
        <v>867</v>
      </c>
      <c r="B882" s="84">
        <f t="shared" ca="1" si="39"/>
        <v>0.40252627405169905</v>
      </c>
      <c r="C882" s="84">
        <f t="shared" ca="1" si="39"/>
        <v>0.81535406755831619</v>
      </c>
      <c r="D882" s="93" cm="1">
        <f t="array" aca="1" ref="D882" ca="1">_xlfn.SWITCH($B$4,"Normal MLE",EXP(_xlfn.NORM.INV(B882,LN($C$9),$E$9/$C$9)),"Uniforme",$B$9+($D$9-$B$9)*B882,"Triangular",IF(B882&lt;=($C$9-$B$9)/($D$9-$B$9),$B$9+SQRT(B882*($D$9-$B$9)*($C$9-$B$9)),$D$9-SQRT((1-B882)*($D$9-$B$9)*($D$9-$C$9))),"PERT",_xlfn.BETA.INV(B882,1+$B$6*($C$9-$B$9)/($D$9-$B$9),1+$B$6*($D$9-$C$9)/($D$9-$B$9),$B$9,$D$9))</f>
        <v>1.9141167529379388</v>
      </c>
      <c r="E882" s="94" cm="1">
        <f t="array" aca="1" ref="E882" ca="1">_xlfn.SWITCH($B$4,"Normal MLE",EXP(_xlfn.NORM.INV(C882,LN($C$10),$E$10/$C$10)),"Uniforme",$B$10+($D$10-$B$10)*C882,"Triangular",IF(C882&lt;=($C$10-$B$10)/($D$10-$B$10),$B$10+SQRT(C882*($D$10-$B$10)*($C$10-$B$10)),$D$10-SQRT((1-C882)*($D$10-$B$10)*($D$10-$C$10))),"PERT",_xlfn.BETA.INV(C882,1+$B$6*($C$10-$B$10)/($D$10-$B$10),1+$B$6*($D$10-$C$10)/($D$10-$B$10),$B$10,$D$10))</f>
        <v>5317.3504023936148</v>
      </c>
      <c r="F882" s="88">
        <f t="shared" ca="1" si="40"/>
        <v>0.55995846157667128</v>
      </c>
      <c r="G882" s="89">
        <f t="shared" ca="1" si="41"/>
        <v>1.5538599271653372E-4</v>
      </c>
    </row>
    <row r="883" spans="1:7" x14ac:dyDescent="0.35">
      <c r="A883" s="84">
        <v>868</v>
      </c>
      <c r="B883" s="84">
        <f t="shared" ca="1" si="39"/>
        <v>0.16163367917983695</v>
      </c>
      <c r="C883" s="84">
        <f t="shared" ca="1" si="39"/>
        <v>0.93827928945644212</v>
      </c>
      <c r="D883" s="93" cm="1">
        <f t="array" aca="1" ref="D883" ca="1">_xlfn.SWITCH($B$4,"Normal MLE",EXP(_xlfn.NORM.INV(B883,LN($C$9),$E$9/$C$9)),"Uniforme",$B$9+($D$9-$B$9)*B883,"Triangular",IF(B883&lt;=($C$9-$B$9)/($D$9-$B$9),$B$9+SQRT(B883*($D$9-$B$9)*($C$9-$B$9)),$D$9-SQRT((1-B883)*($D$9-$B$9)*($D$9-$C$9))),"PERT",_xlfn.BETA.INV(B883,1+$B$6*($C$9-$B$9)/($D$9-$B$9),1+$B$6*($D$9-$C$9)/($D$9-$B$9),$B$9,$D$9))</f>
        <v>1.8168038291605126</v>
      </c>
      <c r="E883" s="94" cm="1">
        <f t="array" aca="1" ref="E883" ca="1">_xlfn.SWITCH($B$4,"Normal MLE",EXP(_xlfn.NORM.INV(C883,LN($C$10),$E$10/$C$10)),"Uniforme",$B$10+($D$10-$B$10)*C883,"Triangular",IF(C883&lt;=($C$10-$B$10)/($D$10-$B$10),$B$10+SQRT(C883*($D$10-$B$10)*($C$10-$B$10)),$D$10-SQRT((1-C883)*($D$10-$B$10)*($D$10-$C$10))),"PERT",_xlfn.BETA.INV(C883,1+$B$6*($C$10-$B$10)/($D$10-$B$10),1+$B$6*($D$10-$C$10)/($D$10-$B$10),$B$10,$D$10))</f>
        <v>5478.778345747256</v>
      </c>
      <c r="F883" s="88">
        <f t="shared" ca="1" si="40"/>
        <v>0.56855752949322891</v>
      </c>
      <c r="G883" s="89">
        <f t="shared" ca="1" si="41"/>
        <v>1.4581557941325795E-4</v>
      </c>
    </row>
    <row r="884" spans="1:7" x14ac:dyDescent="0.35">
      <c r="A884" s="84">
        <v>869</v>
      </c>
      <c r="B884" s="84">
        <f t="shared" ca="1" si="39"/>
        <v>0.4452388603837808</v>
      </c>
      <c r="C884" s="84">
        <f t="shared" ca="1" si="39"/>
        <v>0.31886531305490995</v>
      </c>
      <c r="D884" s="93" cm="1">
        <f t="array" aca="1" ref="D884" ca="1">_xlfn.SWITCH($B$4,"Normal MLE",EXP(_xlfn.NORM.INV(B884,LN($C$9),$E$9/$C$9)),"Uniforme",$B$9+($D$9-$B$9)*B884,"Triangular",IF(B884&lt;=($C$9-$B$9)/($D$9-$B$9),$B$9+SQRT(B884*($D$9-$B$9)*($C$9-$B$9)),$D$9-SQRT((1-B884)*($D$9-$B$9)*($D$9-$C$9))),"PERT",_xlfn.BETA.INV(B884,1+$B$6*($C$9-$B$9)/($D$9-$B$9),1+$B$6*($D$9-$C$9)/($D$9-$B$9),$B$9,$D$9))</f>
        <v>1.9288809676343961</v>
      </c>
      <c r="E884" s="94" cm="1">
        <f t="array" aca="1" ref="E884" ca="1">_xlfn.SWITCH($B$4,"Normal MLE",EXP(_xlfn.NORM.INV(C884,LN($C$10),$E$10/$C$10)),"Uniforme",$B$10+($D$10-$B$10)*C884,"Triangular",IF(C884&lt;=($C$10-$B$10)/($D$10-$B$10),$B$10+SQRT(C884*($D$10-$B$10)*($C$10-$B$10)),$D$10-SQRT((1-C884)*($D$10-$B$10)*($D$10-$C$10))),"PERT",_xlfn.BETA.INV(C884,1+$B$6*($C$10-$B$10)/($D$10-$B$10),1+$B$6*($D$10-$C$10)/($D$10-$B$10),$B$10,$D$10))</f>
        <v>4989.246102553172</v>
      </c>
      <c r="F884" s="88">
        <f t="shared" ca="1" si="40"/>
        <v>0.5205112606513993</v>
      </c>
      <c r="G884" s="89">
        <f t="shared" ca="1" si="41"/>
        <v>1.6388957902896788E-4</v>
      </c>
    </row>
    <row r="885" spans="1:7" x14ac:dyDescent="0.35">
      <c r="A885" s="84">
        <v>870</v>
      </c>
      <c r="B885" s="84">
        <f t="shared" ca="1" si="39"/>
        <v>0.56699802226985085</v>
      </c>
      <c r="C885" s="84">
        <f t="shared" ca="1" si="39"/>
        <v>4.2163798237820793E-2</v>
      </c>
      <c r="D885" s="93" cm="1">
        <f t="array" aca="1" ref="D885" ca="1">_xlfn.SWITCH($B$4,"Normal MLE",EXP(_xlfn.NORM.INV(B885,LN($C$9),$E$9/$C$9)),"Uniforme",$B$9+($D$9-$B$9)*B885,"Triangular",IF(B885&lt;=($C$9-$B$9)/($D$9-$B$9),$B$9+SQRT(B885*($D$9-$B$9)*($C$9-$B$9)),$D$9-SQRT((1-B885)*($D$9-$B$9)*($D$9-$C$9))),"PERT",_xlfn.BETA.INV(B885,1+$B$6*($C$9-$B$9)/($D$9-$B$9),1+$B$6*($D$9-$C$9)/($D$9-$B$9),$B$9,$D$9))</f>
        <v>1.9709567811063426</v>
      </c>
      <c r="E885" s="94" cm="1">
        <f t="array" aca="1" ref="E885" ca="1">_xlfn.SWITCH($B$4,"Normal MLE",EXP(_xlfn.NORM.INV(C885,LN($C$10),$E$10/$C$10)),"Uniforme",$B$10+($D$10-$B$10)*C885,"Triangular",IF(C885&lt;=($C$10-$B$10)/($D$10-$B$10),$B$10+SQRT(C885*($D$10-$B$10)*($C$10-$B$10)),$D$10-SQRT((1-C885)*($D$10-$B$10)*($D$10-$C$10))),"PERT",_xlfn.BETA.INV(C885,1+$B$6*($C$10-$B$10)/($D$10-$B$10),1+$B$6*($D$10-$C$10)/($D$10-$B$10),$B$10,$D$10))</f>
        <v>4706.1647053661272</v>
      </c>
      <c r="F885" s="88">
        <f t="shared" ca="1" si="40"/>
        <v>0.48392154804580212</v>
      </c>
      <c r="G885" s="89">
        <f t="shared" ca="1" si="41"/>
        <v>1.7307265931860248E-4</v>
      </c>
    </row>
    <row r="886" spans="1:7" x14ac:dyDescent="0.35">
      <c r="A886" s="84">
        <v>871</v>
      </c>
      <c r="B886" s="84">
        <f t="shared" ca="1" si="39"/>
        <v>0.99817782993354609</v>
      </c>
      <c r="C886" s="84">
        <f t="shared" ca="1" si="39"/>
        <v>0.17548099766282887</v>
      </c>
      <c r="D886" s="93" cm="1">
        <f t="array" aca="1" ref="D886" ca="1">_xlfn.SWITCH($B$4,"Normal MLE",EXP(_xlfn.NORM.INV(B886,LN($C$9),$E$9/$C$9)),"Uniforme",$B$9+($D$9-$B$9)*B886,"Triangular",IF(B886&lt;=($C$9-$B$9)/($D$9-$B$9),$B$9+SQRT(B886*($D$9-$B$9)*($C$9-$B$9)),$D$9-SQRT((1-B886)*($D$9-$B$9)*($D$9-$C$9))),"PERT",_xlfn.BETA.INV(B886,1+$B$6*($C$9-$B$9)/($D$9-$B$9),1+$B$6*($D$9-$C$9)/($D$9-$B$9),$B$9,$D$9))</f>
        <v>2.3901954167899575</v>
      </c>
      <c r="E886" s="94" cm="1">
        <f t="array" aca="1" ref="E886" ca="1">_xlfn.SWITCH($B$4,"Normal MLE",EXP(_xlfn.NORM.INV(C886,LN($C$10),$E$10/$C$10)),"Uniforme",$B$10+($D$10-$B$10)*C886,"Triangular",IF(C886&lt;=($C$10-$B$10)/($D$10-$B$10),$B$10+SQRT(C886*($D$10-$B$10)*($C$10-$B$10)),$D$10-SQRT((1-C886)*($D$10-$B$10)*($D$10-$C$10))),"PERT",_xlfn.BETA.INV(C886,1+$B$6*($C$10-$B$10)/($D$10-$B$10),1+$B$6*($D$10-$C$10)/($D$10-$B$10),$B$10,$D$10))</f>
        <v>4883.1617630158153</v>
      </c>
      <c r="F886" s="88">
        <f t="shared" ca="1" si="40"/>
        <v>0.53754569128406482</v>
      </c>
      <c r="G886" s="89">
        <f t="shared" ca="1" si="41"/>
        <v>1.9938826545279982E-4</v>
      </c>
    </row>
    <row r="887" spans="1:7" x14ac:dyDescent="0.35">
      <c r="A887" s="84">
        <v>872</v>
      </c>
      <c r="B887" s="84">
        <f t="shared" ca="1" si="39"/>
        <v>0.26431670314177891</v>
      </c>
      <c r="C887" s="84">
        <f t="shared" ca="1" si="39"/>
        <v>0.85585773322436587</v>
      </c>
      <c r="D887" s="93" cm="1">
        <f t="array" aca="1" ref="D887" ca="1">_xlfn.SWITCH($B$4,"Normal MLE",EXP(_xlfn.NORM.INV(B887,LN($C$9),$E$9/$C$9)),"Uniforme",$B$9+($D$9-$B$9)*B887,"Triangular",IF(B887&lt;=($C$9-$B$9)/($D$9-$B$9),$B$9+SQRT(B887*($D$9-$B$9)*($C$9-$B$9)),$D$9-SQRT((1-B887)*($D$9-$B$9)*($D$9-$C$9))),"PERT",_xlfn.BETA.INV(B887,1+$B$6*($C$9-$B$9)/($D$9-$B$9),1+$B$6*($D$9-$C$9)/($D$9-$B$9),$B$9,$D$9))</f>
        <v>1.8631449902234374</v>
      </c>
      <c r="E887" s="94" cm="1">
        <f t="array" aca="1" ref="E887" ca="1">_xlfn.SWITCH($B$4,"Normal MLE",EXP(_xlfn.NORM.INV(C887,LN($C$10),$E$10/$C$10)),"Uniforme",$B$10+($D$10-$B$10)*C887,"Triangular",IF(C887&lt;=($C$10-$B$10)/($D$10-$B$10),$B$10+SQRT(C887*($D$10-$B$10)*($C$10-$B$10)),$D$10-SQRT((1-C887)*($D$10-$B$10)*($D$10-$C$10))),"PERT",_xlfn.BETA.INV(C887,1+$B$6*($C$10-$B$10)/($D$10-$B$10),1+$B$6*($D$10-$C$10)/($D$10-$B$10),$B$10,$D$10))</f>
        <v>5358.1085568574745</v>
      </c>
      <c r="F887" s="88">
        <f t="shared" ca="1" si="40"/>
        <v>0.55986627004051781</v>
      </c>
      <c r="G887" s="89">
        <f t="shared" ca="1" si="41"/>
        <v>1.5126619494342037E-4</v>
      </c>
    </row>
    <row r="888" spans="1:7" x14ac:dyDescent="0.35">
      <c r="A888" s="84">
        <v>873</v>
      </c>
      <c r="B888" s="84">
        <f t="shared" ca="1" si="39"/>
        <v>0.21317354992646509</v>
      </c>
      <c r="C888" s="84">
        <f t="shared" ca="1" si="39"/>
        <v>0.53098613897898839</v>
      </c>
      <c r="D888" s="93" cm="1">
        <f t="array" aca="1" ref="D888" ca="1">_xlfn.SWITCH($B$4,"Normal MLE",EXP(_xlfn.NORM.INV(B888,LN($C$9),$E$9/$C$9)),"Uniforme",$B$9+($D$9-$B$9)*B888,"Triangular",IF(B888&lt;=($C$9-$B$9)/($D$9-$B$9),$B$9+SQRT(B888*($D$9-$B$9)*($C$9-$B$9)),$D$9-SQRT((1-B888)*($D$9-$B$9)*($D$9-$C$9))),"PERT",_xlfn.BETA.INV(B888,1+$B$6*($C$9-$B$9)/($D$9-$B$9),1+$B$6*($D$9-$C$9)/($D$9-$B$9),$B$9,$D$9))</f>
        <v>1.8415747170765389</v>
      </c>
      <c r="E888" s="94" cm="1">
        <f t="array" aca="1" ref="E888" ca="1">_xlfn.SWITCH($B$4,"Normal MLE",EXP(_xlfn.NORM.INV(C888,LN($C$10),$E$10/$C$10)),"Uniforme",$B$10+($D$10-$B$10)*C888,"Triangular",IF(C888&lt;=($C$10-$B$10)/($D$10-$B$10),$B$10+SQRT(C888*($D$10-$B$10)*($C$10-$B$10)),$D$10-SQRT((1-C888)*($D$10-$B$10)*($D$10-$C$10))),"PERT",_xlfn.BETA.INV(C888,1+$B$6*($C$10-$B$10)/($D$10-$B$10),1+$B$6*($D$10-$C$10)/($D$10-$B$10),$B$10,$D$10))</f>
        <v>5118.2603632193996</v>
      </c>
      <c r="F888" s="88">
        <f t="shared" ca="1" si="40"/>
        <v>0.52988675202302038</v>
      </c>
      <c r="G888" s="89">
        <f t="shared" ca="1" si="41"/>
        <v>1.5493482156366765E-4</v>
      </c>
    </row>
    <row r="889" spans="1:7" x14ac:dyDescent="0.35">
      <c r="A889" s="84">
        <v>874</v>
      </c>
      <c r="B889" s="84">
        <f t="shared" ca="1" si="39"/>
        <v>0.64548102190723955</v>
      </c>
      <c r="C889" s="84">
        <f t="shared" ca="1" si="39"/>
        <v>0.33230575861691636</v>
      </c>
      <c r="D889" s="93" cm="1">
        <f t="array" aca="1" ref="D889" ca="1">_xlfn.SWITCH($B$4,"Normal MLE",EXP(_xlfn.NORM.INV(B889,LN($C$9),$E$9/$C$9)),"Uniforme",$B$9+($D$9-$B$9)*B889,"Triangular",IF(B889&lt;=($C$9-$B$9)/($D$9-$B$9),$B$9+SQRT(B889*($D$9-$B$9)*($C$9-$B$9)),$D$9-SQRT((1-B889)*($D$9-$B$9)*($D$9-$C$9))),"PERT",_xlfn.BETA.INV(B889,1+$B$6*($C$9-$B$9)/($D$9-$B$9),1+$B$6*($D$9-$C$9)/($D$9-$B$9),$B$9,$D$9))</f>
        <v>1.9995330683813202</v>
      </c>
      <c r="E889" s="94" cm="1">
        <f t="array" aca="1" ref="E889" ca="1">_xlfn.SWITCH($B$4,"Normal MLE",EXP(_xlfn.NORM.INV(C889,LN($C$10),$E$10/$C$10)),"Uniforme",$B$10+($D$10-$B$10)*C889,"Triangular",IF(C889&lt;=($C$10-$B$10)/($D$10-$B$10),$B$10+SQRT(C889*($D$10-$B$10)*($C$10-$B$10)),$D$10-SQRT((1-C889)*($D$10-$B$10)*($D$10-$C$10))),"PERT",_xlfn.BETA.INV(C889,1+$B$6*($C$10-$B$10)/($D$10-$B$10),1+$B$6*($D$10-$C$10)/($D$10-$B$10),$B$10,$D$10))</f>
        <v>4997.9180191430705</v>
      </c>
      <c r="F889" s="88">
        <f t="shared" ca="1" si="40"/>
        <v>0.52697617613785375</v>
      </c>
      <c r="G889" s="89">
        <f t="shared" ca="1" si="41"/>
        <v>1.6875104608947425E-4</v>
      </c>
    </row>
    <row r="890" spans="1:7" x14ac:dyDescent="0.35">
      <c r="A890" s="84">
        <v>875</v>
      </c>
      <c r="B890" s="84">
        <f t="shared" ca="1" si="39"/>
        <v>0.666382552461248</v>
      </c>
      <c r="C890" s="84">
        <f t="shared" ca="1" si="39"/>
        <v>0.90654137946837876</v>
      </c>
      <c r="D890" s="93" cm="1">
        <f t="array" aca="1" ref="D890" ca="1">_xlfn.SWITCH($B$4,"Normal MLE",EXP(_xlfn.NORM.INV(B890,LN($C$9),$E$9/$C$9)),"Uniforme",$B$9+($D$9-$B$9)*B890,"Triangular",IF(B890&lt;=($C$9-$B$9)/($D$9-$B$9),$B$9+SQRT(B890*($D$9-$B$9)*($C$9-$B$9)),$D$9-SQRT((1-B890)*($D$9-$B$9)*($D$9-$C$9))),"PERT",_xlfn.BETA.INV(B890,1+$B$6*($C$9-$B$9)/($D$9-$B$9),1+$B$6*($D$9-$C$9)/($D$9-$B$9),$B$9,$D$9))</f>
        <v>2.0075465275124675</v>
      </c>
      <c r="E890" s="94" cm="1">
        <f t="array" aca="1" ref="E890" ca="1">_xlfn.SWITCH($B$4,"Normal MLE",EXP(_xlfn.NORM.INV(C890,LN($C$10),$E$10/$C$10)),"Uniforme",$B$10+($D$10-$B$10)*C890,"Triangular",IF(C890&lt;=($C$10-$B$10)/($D$10-$B$10),$B$10+SQRT(C890*($D$10-$B$10)*($C$10-$B$10)),$D$10-SQRT((1-C890)*($D$10-$B$10)*($D$10-$C$10))),"PERT",_xlfn.BETA.INV(C890,1+$B$6*($C$10-$B$10)/($D$10-$B$10),1+$B$6*($D$10-$C$10)/($D$10-$B$10),$B$10,$D$10))</f>
        <v>5422.7899249916663</v>
      </c>
      <c r="F890" s="88">
        <f t="shared" ca="1" si="40"/>
        <v>0.58109181123865528</v>
      </c>
      <c r="G890" s="89">
        <f t="shared" ca="1" si="41"/>
        <v>1.5831695746146957E-4</v>
      </c>
    </row>
    <row r="891" spans="1:7" x14ac:dyDescent="0.35">
      <c r="A891" s="84">
        <v>876</v>
      </c>
      <c r="B891" s="84">
        <f t="shared" ca="1" si="39"/>
        <v>0.24439710911930634</v>
      </c>
      <c r="C891" s="84">
        <f t="shared" ca="1" si="39"/>
        <v>0.7083164447483965</v>
      </c>
      <c r="D891" s="93" cm="1">
        <f t="array" aca="1" ref="D891" ca="1">_xlfn.SWITCH($B$4,"Normal MLE",EXP(_xlfn.NORM.INV(B891,LN($C$9),$E$9/$C$9)),"Uniforme",$B$9+($D$9-$B$9)*B891,"Triangular",IF(B891&lt;=($C$9-$B$9)/($D$9-$B$9),$B$9+SQRT(B891*($D$9-$B$9)*($C$9-$B$9)),$D$9-SQRT((1-B891)*($D$9-$B$9)*($D$9-$C$9))),"PERT",_xlfn.BETA.INV(B891,1+$B$6*($C$9-$B$9)/($D$9-$B$9),1+$B$6*($D$9-$C$9)/($D$9-$B$9),$B$9,$D$9))</f>
        <v>1.855010661280057</v>
      </c>
      <c r="E891" s="94" cm="1">
        <f t="array" aca="1" ref="E891" ca="1">_xlfn.SWITCH($B$4,"Normal MLE",EXP(_xlfn.NORM.INV(C891,LN($C$10),$E$10/$C$10)),"Uniforme",$B$10+($D$10-$B$10)*C891,"Triangular",IF(C891&lt;=($C$10-$B$10)/($D$10-$B$10),$B$10+SQRT(C891*($D$10-$B$10)*($C$10-$B$10)),$D$10-SQRT((1-C891)*($D$10-$B$10)*($D$10-$C$10))),"PERT",_xlfn.BETA.INV(C891,1+$B$6*($C$10-$B$10)/($D$10-$B$10),1+$B$6*($D$10-$C$10)/($D$10-$B$10),$B$10,$D$10))</f>
        <v>5231.6118489114315</v>
      </c>
      <c r="F891" s="88">
        <f t="shared" ca="1" si="40"/>
        <v>0.54455482306874692</v>
      </c>
      <c r="G891" s="89">
        <f t="shared" ca="1" si="41"/>
        <v>1.5348968287537965E-4</v>
      </c>
    </row>
    <row r="892" spans="1:7" x14ac:dyDescent="0.35">
      <c r="A892" s="84">
        <v>877</v>
      </c>
      <c r="B892" s="84">
        <f t="shared" ca="1" si="39"/>
        <v>0.64946593571111888</v>
      </c>
      <c r="C892" s="84">
        <f t="shared" ca="1" si="39"/>
        <v>3.8643753663399449E-2</v>
      </c>
      <c r="D892" s="93" cm="1">
        <f t="array" aca="1" ref="D892" ca="1">_xlfn.SWITCH($B$4,"Normal MLE",EXP(_xlfn.NORM.INV(B892,LN($C$9),$E$9/$C$9)),"Uniforme",$B$9+($D$9-$B$9)*B892,"Triangular",IF(B892&lt;=($C$9-$B$9)/($D$9-$B$9),$B$9+SQRT(B892*($D$9-$B$9)*($C$9-$B$9)),$D$9-SQRT((1-B892)*($D$9-$B$9)*($D$9-$C$9))),"PERT",_xlfn.BETA.INV(B892,1+$B$6*($C$9-$B$9)/($D$9-$B$9),1+$B$6*($D$9-$C$9)/($D$9-$B$9),$B$9,$D$9))</f>
        <v>2.0010445656995732</v>
      </c>
      <c r="E892" s="94" cm="1">
        <f t="array" aca="1" ref="E892" ca="1">_xlfn.SWITCH($B$4,"Normal MLE",EXP(_xlfn.NORM.INV(C892,LN($C$10),$E$10/$C$10)),"Uniforme",$B$10+($D$10-$B$10)*C892,"Triangular",IF(C892&lt;=($C$10-$B$10)/($D$10-$B$10),$B$10+SQRT(C892*($D$10-$B$10)*($C$10-$B$10)),$D$10-SQRT((1-C892)*($D$10-$B$10)*($D$10-$C$10))),"PERT",_xlfn.BETA.INV(C892,1+$B$6*($C$10-$B$10)/($D$10-$B$10),1+$B$6*($D$10-$C$10)/($D$10-$B$10),$B$10,$D$10))</f>
        <v>4697.2957694166034</v>
      </c>
      <c r="F892" s="88">
        <f t="shared" ca="1" si="40"/>
        <v>0.48431384434713898</v>
      </c>
      <c r="G892" s="89">
        <f t="shared" ca="1" si="41"/>
        <v>1.7566082756655883E-4</v>
      </c>
    </row>
    <row r="893" spans="1:7" x14ac:dyDescent="0.35">
      <c r="A893" s="84">
        <v>878</v>
      </c>
      <c r="B893" s="84">
        <f t="shared" ca="1" si="39"/>
        <v>0.13043315850865655</v>
      </c>
      <c r="C893" s="84">
        <f t="shared" ca="1" si="39"/>
        <v>0.13966035480572536</v>
      </c>
      <c r="D893" s="93" cm="1">
        <f t="array" aca="1" ref="D893" ca="1">_xlfn.SWITCH($B$4,"Normal MLE",EXP(_xlfn.NORM.INV(B893,LN($C$9),$E$9/$C$9)),"Uniforme",$B$9+($D$9-$B$9)*B893,"Triangular",IF(B893&lt;=($C$9-$B$9)/($D$9-$B$9),$B$9+SQRT(B893*($D$9-$B$9)*($C$9-$B$9)),$D$9-SQRT((1-B893)*($D$9-$B$9)*($D$9-$C$9))),"PERT",_xlfn.BETA.INV(B893,1+$B$6*($C$9-$B$9)/($D$9-$B$9),1+$B$6*($D$9-$C$9)/($D$9-$B$9),$B$9,$D$9))</f>
        <v>1.7994137572094409</v>
      </c>
      <c r="E893" s="94" cm="1">
        <f t="array" aca="1" ref="E893" ca="1">_xlfn.SWITCH($B$4,"Normal MLE",EXP(_xlfn.NORM.INV(C893,LN($C$10),$E$10/$C$10)),"Uniforme",$B$10+($D$10-$B$10)*C893,"Triangular",IF(C893&lt;=($C$10-$B$10)/($D$10-$B$10),$B$10+SQRT(C893*($D$10-$B$10)*($C$10-$B$10)),$D$10-SQRT((1-C893)*($D$10-$B$10)*($D$10-$C$10))),"PERT",_xlfn.BETA.INV(C893,1+$B$6*($C$10-$B$10)/($D$10-$B$10),1+$B$6*($D$10-$C$10)/($D$10-$B$10),$B$10,$D$10))</f>
        <v>4849.3934862778233</v>
      </c>
      <c r="F893" s="88">
        <f t="shared" ca="1" si="40"/>
        <v>0.49304087914253331</v>
      </c>
      <c r="G893" s="89">
        <f t="shared" ca="1" si="41"/>
        <v>1.5684606232479553E-4</v>
      </c>
    </row>
    <row r="894" spans="1:7" x14ac:dyDescent="0.35">
      <c r="A894" s="84">
        <v>879</v>
      </c>
      <c r="B894" s="84">
        <f t="shared" ca="1" si="39"/>
        <v>0.7643668784260339</v>
      </c>
      <c r="C894" s="84">
        <f t="shared" ca="1" si="39"/>
        <v>0.94721882427460291</v>
      </c>
      <c r="D894" s="93" cm="1">
        <f t="array" aca="1" ref="D894" ca="1">_xlfn.SWITCH($B$4,"Normal MLE",EXP(_xlfn.NORM.INV(B894,LN($C$9),$E$9/$C$9)),"Uniforme",$B$9+($D$9-$B$9)*B894,"Triangular",IF(B894&lt;=($C$9-$B$9)/($D$9-$B$9),$B$9+SQRT(B894*($D$9-$B$9)*($C$9-$B$9)),$D$9-SQRT((1-B894)*($D$9-$B$9)*($D$9-$C$9))),"PERT",_xlfn.BETA.INV(B894,1+$B$6*($C$9-$B$9)/($D$9-$B$9),1+$B$6*($D$9-$C$9)/($D$9-$B$9),$B$9,$D$9))</f>
        <v>2.0490338509952486</v>
      </c>
      <c r="E894" s="94" cm="1">
        <f t="array" aca="1" ref="E894" ca="1">_xlfn.SWITCH($B$4,"Normal MLE",EXP(_xlfn.NORM.INV(C894,LN($C$10),$E$10/$C$10)),"Uniforme",$B$10+($D$10-$B$10)*C894,"Triangular",IF(C894&lt;=($C$10-$B$10)/($D$10-$B$10),$B$10+SQRT(C894*($D$10-$B$10)*($C$10-$B$10)),$D$10-SQRT((1-C894)*($D$10-$B$10)*($D$10-$C$10))),"PERT",_xlfn.BETA.INV(C894,1+$B$6*($C$10-$B$10)/($D$10-$B$10),1+$B$6*($D$10-$C$10)/($D$10-$B$10),$B$10,$D$10))</f>
        <v>5498.6948408163807</v>
      </c>
      <c r="F894" s="88">
        <f t="shared" ca="1" si="40"/>
        <v>0.59393589874525587</v>
      </c>
      <c r="G894" s="89">
        <f t="shared" ca="1" si="41"/>
        <v>1.5850866324605781E-4</v>
      </c>
    </row>
    <row r="895" spans="1:7" x14ac:dyDescent="0.35">
      <c r="A895" s="84">
        <v>880</v>
      </c>
      <c r="B895" s="84">
        <f t="shared" ca="1" si="39"/>
        <v>0.99523986369328787</v>
      </c>
      <c r="C895" s="84">
        <f t="shared" ca="1" si="39"/>
        <v>0.61206130322594787</v>
      </c>
      <c r="D895" s="93" cm="1">
        <f t="array" aca="1" ref="D895" ca="1">_xlfn.SWITCH($B$4,"Normal MLE",EXP(_xlfn.NORM.INV(B895,LN($C$9),$E$9/$C$9)),"Uniforme",$B$9+($D$9-$B$9)*B895,"Triangular",IF(B895&lt;=($C$9-$B$9)/($D$9-$B$9),$B$9+SQRT(B895*($D$9-$B$9)*($C$9-$B$9)),$D$9-SQRT((1-B895)*($D$9-$B$9)*($D$9-$C$9))),"PERT",_xlfn.BETA.INV(B895,1+$B$6*($C$9-$B$9)/($D$9-$B$9),1+$B$6*($D$9-$C$9)/($D$9-$B$9),$B$9,$D$9))</f>
        <v>2.3378207940246778</v>
      </c>
      <c r="E895" s="94" cm="1">
        <f t="array" aca="1" ref="E895" ca="1">_xlfn.SWITCH($B$4,"Normal MLE",EXP(_xlfn.NORM.INV(C895,LN($C$10),$E$10/$C$10)),"Uniforme",$B$10+($D$10-$B$10)*C895,"Triangular",IF(C895&lt;=($C$10-$B$10)/($D$10-$B$10),$B$10+SQRT(C895*($D$10-$B$10)*($C$10-$B$10)),$D$10-SQRT((1-C895)*($D$10-$B$10)*($D$10-$C$10))),"PERT",_xlfn.BETA.INV(C895,1+$B$6*($C$10-$B$10)/($D$10-$B$10),1+$B$6*($D$10-$C$10)/($D$10-$B$10),$B$10,$D$10))</f>
        <v>5167.7878852877611</v>
      </c>
      <c r="F895" s="88">
        <f t="shared" ca="1" si="40"/>
        <v>0.57726599524544331</v>
      </c>
      <c r="G895" s="89">
        <f t="shared" ca="1" si="41"/>
        <v>1.8537751499766029E-4</v>
      </c>
    </row>
    <row r="896" spans="1:7" x14ac:dyDescent="0.35">
      <c r="A896" s="84">
        <v>881</v>
      </c>
      <c r="B896" s="84">
        <f t="shared" ca="1" si="39"/>
        <v>0.55030268011659222</v>
      </c>
      <c r="C896" s="84">
        <f t="shared" ca="1" si="39"/>
        <v>0.47892585397137954</v>
      </c>
      <c r="D896" s="93" cm="1">
        <f t="array" aca="1" ref="D896" ca="1">_xlfn.SWITCH($B$4,"Normal MLE",EXP(_xlfn.NORM.INV(B896,LN($C$9),$E$9/$C$9)),"Uniforme",$B$9+($D$9-$B$9)*B896,"Triangular",IF(B896&lt;=($C$9-$B$9)/($D$9-$B$9),$B$9+SQRT(B896*($D$9-$B$9)*($C$9-$B$9)),$D$9-SQRT((1-B896)*($D$9-$B$9)*($D$9-$C$9))),"PERT",_xlfn.BETA.INV(B896,1+$B$6*($C$9-$B$9)/($D$9-$B$9),1+$B$6*($D$9-$C$9)/($D$9-$B$9),$B$9,$D$9))</f>
        <v>1.9650931110481751</v>
      </c>
      <c r="E896" s="94" cm="1">
        <f t="array" aca="1" ref="E896" ca="1">_xlfn.SWITCH($B$4,"Normal MLE",EXP(_xlfn.NORM.INV(C896,LN($C$10),$E$10/$C$10)),"Uniforme",$B$10+($D$10-$B$10)*C896,"Triangular",IF(C896&lt;=($C$10-$B$10)/($D$10-$B$10),$B$10+SQRT(C896*($D$10-$B$10)*($C$10-$B$10)),$D$10-SQRT((1-C896)*($D$10-$B$10)*($D$10-$C$10))),"PERT",_xlfn.BETA.INV(C896,1+$B$6*($C$10-$B$10)/($D$10-$B$10),1+$B$6*($D$10-$C$10)/($D$10-$B$10),$B$10,$D$10))</f>
        <v>5087.2494057774102</v>
      </c>
      <c r="F896" s="88">
        <f t="shared" ca="1" si="40"/>
        <v>0.53609374541256349</v>
      </c>
      <c r="G896" s="89">
        <f t="shared" ca="1" si="41"/>
        <v>1.6419611939124765E-4</v>
      </c>
    </row>
    <row r="897" spans="1:7" x14ac:dyDescent="0.35">
      <c r="A897" s="84">
        <v>882</v>
      </c>
      <c r="B897" s="84">
        <f t="shared" ca="1" si="39"/>
        <v>0.51048241806504968</v>
      </c>
      <c r="C897" s="84">
        <f t="shared" ca="1" si="39"/>
        <v>0.87912362029195634</v>
      </c>
      <c r="D897" s="93" cm="1">
        <f t="array" aca="1" ref="D897" ca="1">_xlfn.SWITCH($B$4,"Normal MLE",EXP(_xlfn.NORM.INV(B897,LN($C$9),$E$9/$C$9)),"Uniforme",$B$9+($D$9-$B$9)*B897,"Triangular",IF(B897&lt;=($C$9-$B$9)/($D$9-$B$9),$B$9+SQRT(B897*($D$9-$B$9)*($C$9-$B$9)),$D$9-SQRT((1-B897)*($D$9-$B$9)*($D$9-$C$9))),"PERT",_xlfn.BETA.INV(B897,1+$B$6*($C$9-$B$9)/($D$9-$B$9),1+$B$6*($D$9-$C$9)/($D$9-$B$9),$B$9,$D$9))</f>
        <v>1.9512833625129091</v>
      </c>
      <c r="E897" s="94" cm="1">
        <f t="array" aca="1" ref="E897" ca="1">_xlfn.SWITCH($B$4,"Normal MLE",EXP(_xlfn.NORM.INV(C897,LN($C$10),$E$10/$C$10)),"Uniforme",$B$10+($D$10-$B$10)*C897,"Triangular",IF(C897&lt;=($C$10-$B$10)/($D$10-$B$10),$B$10+SQRT(C897*($D$10-$B$10)*($C$10-$B$10)),$D$10-SQRT((1-C897)*($D$10-$B$10)*($D$10-$C$10))),"PERT",_xlfn.BETA.INV(C897,1+$B$6*($C$10-$B$10)/($D$10-$B$10),1+$B$6*($D$10-$C$10)/($D$10-$B$10),$B$10,$D$10))</f>
        <v>5385.2861877152527</v>
      </c>
      <c r="F897" s="88">
        <f t="shared" ca="1" si="40"/>
        <v>0.57135188396991843</v>
      </c>
      <c r="G897" s="89">
        <f t="shared" ca="1" si="41"/>
        <v>1.560120402055997E-4</v>
      </c>
    </row>
    <row r="898" spans="1:7" x14ac:dyDescent="0.35">
      <c r="A898" s="84">
        <v>883</v>
      </c>
      <c r="B898" s="84">
        <f t="shared" ca="1" si="39"/>
        <v>0.96449363373627728</v>
      </c>
      <c r="C898" s="84">
        <f t="shared" ca="1" si="39"/>
        <v>0.67487419746173949</v>
      </c>
      <c r="D898" s="93" cm="1">
        <f t="array" aca="1" ref="D898" ca="1">_xlfn.SWITCH($B$4,"Normal MLE",EXP(_xlfn.NORM.INV(B898,LN($C$9),$E$9/$C$9)),"Uniforme",$B$9+($D$9-$B$9)*B898,"Triangular",IF(B898&lt;=($C$9-$B$9)/($D$9-$B$9),$B$9+SQRT(B898*($D$9-$B$9)*($C$9-$B$9)),$D$9-SQRT((1-B898)*($D$9-$B$9)*($D$9-$C$9))),"PERT",_xlfn.BETA.INV(B898,1+$B$6*($C$9-$B$9)/($D$9-$B$9),1+$B$6*($D$9-$C$9)/($D$9-$B$9),$B$9,$D$9))</f>
        <v>2.2117229115647929</v>
      </c>
      <c r="E898" s="94" cm="1">
        <f t="array" aca="1" ref="E898" ca="1">_xlfn.SWITCH($B$4,"Normal MLE",EXP(_xlfn.NORM.INV(C898,LN($C$10),$E$10/$C$10)),"Uniforme",$B$10+($D$10-$B$10)*C898,"Triangular",IF(C898&lt;=($C$10-$B$10)/($D$10-$B$10),$B$10+SQRT(C898*($D$10-$B$10)*($C$10-$B$10)),$D$10-SQRT((1-C898)*($D$10-$B$10)*($D$10-$C$10))),"PERT",_xlfn.BETA.INV(C898,1+$B$6*($C$10-$B$10)/($D$10-$B$10),1+$B$6*($D$10-$C$10)/($D$10-$B$10),$B$10,$D$10))</f>
        <v>5208.5205649381187</v>
      </c>
      <c r="F898" s="88">
        <f t="shared" ca="1" si="40"/>
        <v>0.57251288000418699</v>
      </c>
      <c r="G898" s="89">
        <f t="shared" ca="1" si="41"/>
        <v>1.7655183738160963E-4</v>
      </c>
    </row>
    <row r="899" spans="1:7" x14ac:dyDescent="0.35">
      <c r="A899" s="84">
        <v>884</v>
      </c>
      <c r="B899" s="84">
        <f t="shared" ca="1" si="39"/>
        <v>0.99203855876770475</v>
      </c>
      <c r="C899" s="84">
        <f t="shared" ca="1" si="39"/>
        <v>0.84096728760023176</v>
      </c>
      <c r="D899" s="93" cm="1">
        <f t="array" aca="1" ref="D899" ca="1">_xlfn.SWITCH($B$4,"Normal MLE",EXP(_xlfn.NORM.INV(B899,LN($C$9),$E$9/$C$9)),"Uniforme",$B$9+($D$9-$B$9)*B899,"Triangular",IF(B899&lt;=($C$9-$B$9)/($D$9-$B$9),$B$9+SQRT(B899*($D$9-$B$9)*($C$9-$B$9)),$D$9-SQRT((1-B899)*($D$9-$B$9)*($D$9-$C$9))),"PERT",_xlfn.BETA.INV(B899,1+$B$6*($C$9-$B$9)/($D$9-$B$9),1+$B$6*($D$9-$C$9)/($D$9-$B$9),$B$9,$D$9))</f>
        <v>2.3080326061489411</v>
      </c>
      <c r="E899" s="94" cm="1">
        <f t="array" aca="1" ref="E899" ca="1">_xlfn.SWITCH($B$4,"Normal MLE",EXP(_xlfn.NORM.INV(C899,LN($C$10),$E$10/$C$10)),"Uniforme",$B$10+($D$10-$B$10)*C899,"Triangular",IF(C899&lt;=($C$10-$B$10)/($D$10-$B$10),$B$10+SQRT(C899*($D$10-$B$10)*($C$10-$B$10)),$D$10-SQRT((1-C899)*($D$10-$B$10)*($D$10-$C$10))),"PERT",_xlfn.BETA.INV(C899,1+$B$6*($C$10-$B$10)/($D$10-$B$10),1+$B$6*($D$10-$C$10)/($D$10-$B$10),$B$10,$D$10))</f>
        <v>5342.3112520867098</v>
      </c>
      <c r="F899" s="88">
        <f t="shared" ca="1" si="40"/>
        <v>0.59881415169598062</v>
      </c>
      <c r="G899" s="89">
        <f t="shared" ca="1" si="41"/>
        <v>1.7718436743489362E-4</v>
      </c>
    </row>
    <row r="900" spans="1:7" x14ac:dyDescent="0.35">
      <c r="A900" s="84">
        <v>885</v>
      </c>
      <c r="B900" s="84">
        <f t="shared" ca="1" si="39"/>
        <v>0.26204624274409316</v>
      </c>
      <c r="C900" s="84">
        <f t="shared" ca="1" si="39"/>
        <v>0.26967105490893306</v>
      </c>
      <c r="D900" s="93" cm="1">
        <f t="array" aca="1" ref="D900" ca="1">_xlfn.SWITCH($B$4,"Normal MLE",EXP(_xlfn.NORM.INV(B900,LN($C$9),$E$9/$C$9)),"Uniforme",$B$9+($D$9-$B$9)*B900,"Triangular",IF(B900&lt;=($C$9-$B$9)/($D$9-$B$9),$B$9+SQRT(B900*($D$9-$B$9)*($C$9-$B$9)),$D$9-SQRT((1-B900)*($D$9-$B$9)*($D$9-$C$9))),"PERT",_xlfn.BETA.INV(B900,1+$B$6*($C$9-$B$9)/($D$9-$B$9),1+$B$6*($D$9-$C$9)/($D$9-$B$9),$B$9,$D$9))</f>
        <v>1.862232552611321</v>
      </c>
      <c r="E900" s="94" cm="1">
        <f t="array" aca="1" ref="E900" ca="1">_xlfn.SWITCH($B$4,"Normal MLE",EXP(_xlfn.NORM.INV(C900,LN($C$10),$E$10/$C$10)),"Uniforme",$B$10+($D$10-$B$10)*C900,"Triangular",IF(C900&lt;=($C$10-$B$10)/($D$10-$B$10),$B$10+SQRT(C900*($D$10-$B$10)*($C$10-$B$10)),$D$10-SQRT((1-C900)*($D$10-$B$10)*($D$10-$C$10))),"PERT",_xlfn.BETA.INV(C900,1+$B$6*($C$10-$B$10)/($D$10-$B$10),1+$B$6*($D$10-$C$10)/($D$10-$B$10),$B$10,$D$10))</f>
        <v>4956.1710758116606</v>
      </c>
      <c r="F900" s="88">
        <f t="shared" ca="1" si="40"/>
        <v>0.51125308484813359</v>
      </c>
      <c r="G900" s="89">
        <f t="shared" ca="1" si="41"/>
        <v>1.5968404702088919E-4</v>
      </c>
    </row>
    <row r="901" spans="1:7" x14ac:dyDescent="0.35">
      <c r="A901" s="84">
        <v>886</v>
      </c>
      <c r="B901" s="84">
        <f t="shared" ca="1" si="39"/>
        <v>0.89828510086011382</v>
      </c>
      <c r="C901" s="84">
        <f t="shared" ca="1" si="39"/>
        <v>0.91756127223165485</v>
      </c>
      <c r="D901" s="93" cm="1">
        <f t="array" aca="1" ref="D901" ca="1">_xlfn.SWITCH($B$4,"Normal MLE",EXP(_xlfn.NORM.INV(B901,LN($C$9),$E$9/$C$9)),"Uniforme",$B$9+($D$9-$B$9)*B901,"Triangular",IF(B901&lt;=($C$9-$B$9)/($D$9-$B$9),$B$9+SQRT(B901*($D$9-$B$9)*($C$9-$B$9)),$D$9-SQRT((1-B901)*($D$9-$B$9)*($D$9-$C$9))),"PERT",_xlfn.BETA.INV(B901,1+$B$6*($C$9-$B$9)/($D$9-$B$9),1+$B$6*($D$9-$C$9)/($D$9-$B$9),$B$9,$D$9))</f>
        <v>2.1301642920198991</v>
      </c>
      <c r="E901" s="94" cm="1">
        <f t="array" aca="1" ref="E901" ca="1">_xlfn.SWITCH($B$4,"Normal MLE",EXP(_xlfn.NORM.INV(C901,LN($C$10),$E$10/$C$10)),"Uniforme",$B$10+($D$10-$B$10)*C901,"Triangular",IF(C901&lt;=($C$10-$B$10)/($D$10-$B$10),$B$10+SQRT(C901*($D$10-$B$10)*($C$10-$B$10)),$D$10-SQRT((1-C901)*($D$10-$B$10)*($D$10-$C$10))),"PERT",_xlfn.BETA.INV(C901,1+$B$6*($C$10-$B$10)/($D$10-$B$10),1+$B$6*($D$10-$C$10)/($D$10-$B$10),$B$10,$D$10))</f>
        <v>5440.2548837306704</v>
      </c>
      <c r="F901" s="88">
        <f t="shared" ca="1" si="40"/>
        <v>0.59488099831795382</v>
      </c>
      <c r="G901" s="89">
        <f t="shared" ca="1" si="41"/>
        <v>1.6454324108730549E-4</v>
      </c>
    </row>
    <row r="902" spans="1:7" x14ac:dyDescent="0.35">
      <c r="A902" s="84">
        <v>887</v>
      </c>
      <c r="B902" s="84">
        <f t="shared" ca="1" si="39"/>
        <v>3.3183959315047029E-2</v>
      </c>
      <c r="C902" s="84">
        <f t="shared" ca="1" si="39"/>
        <v>0.88610741032393991</v>
      </c>
      <c r="D902" s="93" cm="1">
        <f t="array" aca="1" ref="D902" ca="1">_xlfn.SWITCH($B$4,"Normal MLE",EXP(_xlfn.NORM.INV(B902,LN($C$9),$E$9/$C$9)),"Uniforme",$B$9+($D$9-$B$9)*B902,"Triangular",IF(B902&lt;=($C$9-$B$9)/($D$9-$B$9),$B$9+SQRT(B902*($D$9-$B$9)*($C$9-$B$9)),$D$9-SQRT((1-B902)*($D$9-$B$9)*($D$9-$C$9))),"PERT",_xlfn.BETA.INV(B902,1+$B$6*($C$9-$B$9)/($D$9-$B$9),1+$B$6*($D$9-$C$9)/($D$9-$B$9),$B$9,$D$9))</f>
        <v>1.7114680283793346</v>
      </c>
      <c r="E902" s="94" cm="1">
        <f t="array" aca="1" ref="E902" ca="1">_xlfn.SWITCH($B$4,"Normal MLE",EXP(_xlfn.NORM.INV(C902,LN($C$10),$E$10/$C$10)),"Uniforme",$B$10+($D$10-$B$10)*C902,"Triangular",IF(C902&lt;=($C$10-$B$10)/($D$10-$B$10),$B$10+SQRT(C902*($D$10-$B$10)*($C$10-$B$10)),$D$10-SQRT((1-C902)*($D$10-$B$10)*($D$10-$C$10))),"PERT",_xlfn.BETA.INV(C902,1+$B$6*($C$10-$B$10)/($D$10-$B$10),1+$B$6*($D$10-$C$10)/($D$10-$B$10),$B$10,$D$10))</f>
        <v>5394.1815243544224</v>
      </c>
      <c r="F902" s="88">
        <f t="shared" ca="1" si="40"/>
        <v>0.5491239707279697</v>
      </c>
      <c r="G902" s="89">
        <f t="shared" ca="1" si="41"/>
        <v>1.4083754222249346E-4</v>
      </c>
    </row>
    <row r="903" spans="1:7" x14ac:dyDescent="0.35">
      <c r="A903" s="84">
        <v>888</v>
      </c>
      <c r="B903" s="84">
        <f t="shared" ca="1" si="39"/>
        <v>0.14102148671252379</v>
      </c>
      <c r="C903" s="84">
        <f t="shared" ca="1" si="39"/>
        <v>0.1354020828274457</v>
      </c>
      <c r="D903" s="93" cm="1">
        <f t="array" aca="1" ref="D903" ca="1">_xlfn.SWITCH($B$4,"Normal MLE",EXP(_xlfn.NORM.INV(B903,LN($C$9),$E$9/$C$9)),"Uniforme",$B$9+($D$9-$B$9)*B903,"Triangular",IF(B903&lt;=($C$9-$B$9)/($D$9-$B$9),$B$9+SQRT(B903*($D$9-$B$9)*($C$9-$B$9)),$D$9-SQRT((1-B903)*($D$9-$B$9)*($D$9-$C$9))),"PERT",_xlfn.BETA.INV(B903,1+$B$6*($C$9-$B$9)/($D$9-$B$9),1+$B$6*($D$9-$C$9)/($D$9-$B$9),$B$9,$D$9))</f>
        <v>1.8055831809916973</v>
      </c>
      <c r="E903" s="94" cm="1">
        <f t="array" aca="1" ref="E903" ca="1">_xlfn.SWITCH($B$4,"Normal MLE",EXP(_xlfn.NORM.INV(C903,LN($C$10),$E$10/$C$10)),"Uniforme",$B$10+($D$10-$B$10)*C903,"Triangular",IF(C903&lt;=($C$10-$B$10)/($D$10-$B$10),$B$10+SQRT(C903*($D$10-$B$10)*($C$10-$B$10)),$D$10-SQRT((1-C903)*($D$10-$B$10)*($D$10-$C$10))),"PERT",_xlfn.BETA.INV(C903,1+$B$6*($C$10-$B$10)/($D$10-$B$10),1+$B$6*($D$10-$C$10)/($D$10-$B$10),$B$10,$D$10))</f>
        <v>4845.0252697446231</v>
      </c>
      <c r="F903" s="88">
        <f t="shared" ca="1" si="40"/>
        <v>0.49288774503481081</v>
      </c>
      <c r="G903" s="89">
        <f t="shared" ca="1" si="41"/>
        <v>1.5740405204778574E-4</v>
      </c>
    </row>
    <row r="904" spans="1:7" x14ac:dyDescent="0.35">
      <c r="A904" s="84">
        <v>889</v>
      </c>
      <c r="B904" s="84">
        <f t="shared" ca="1" si="39"/>
        <v>0.7868119148050291</v>
      </c>
      <c r="C904" s="84">
        <f t="shared" ca="1" si="39"/>
        <v>0.70751706796547342</v>
      </c>
      <c r="D904" s="93" cm="1">
        <f t="array" aca="1" ref="D904" ca="1">_xlfn.SWITCH($B$4,"Normal MLE",EXP(_xlfn.NORM.INV(B904,LN($C$9),$E$9/$C$9)),"Uniforme",$B$9+($D$9-$B$9)*B904,"Triangular",IF(B904&lt;=($C$9-$B$9)/($D$9-$B$9),$B$9+SQRT(B904*($D$9-$B$9)*($C$9-$B$9)),$D$9-SQRT((1-B904)*($D$9-$B$9)*($D$9-$C$9))),"PERT",_xlfn.BETA.INV(B904,1+$B$6*($C$9-$B$9)/($D$9-$B$9),1+$B$6*($D$9-$C$9)/($D$9-$B$9),$B$9,$D$9))</f>
        <v>2.0598825930850402</v>
      </c>
      <c r="E904" s="94" cm="1">
        <f t="array" aca="1" ref="E904" ca="1">_xlfn.SWITCH($B$4,"Normal MLE",EXP(_xlfn.NORM.INV(C904,LN($C$10),$E$10/$C$10)),"Uniforme",$B$10+($D$10-$B$10)*C904,"Triangular",IF(C904&lt;=($C$10-$B$10)/($D$10-$B$10),$B$10+SQRT(C904*($D$10-$B$10)*($C$10-$B$10)),$D$10-SQRT((1-C904)*($D$10-$B$10)*($D$10-$C$10))),"PERT",_xlfn.BETA.INV(C904,1+$B$6*($C$10-$B$10)/($D$10-$B$10),1+$B$6*($D$10-$C$10)/($D$10-$B$10),$B$10,$D$10))</f>
        <v>5231.0452540737315</v>
      </c>
      <c r="F904" s="88">
        <f t="shared" ca="1" si="40"/>
        <v>0.56248345153463053</v>
      </c>
      <c r="G904" s="89">
        <f t="shared" ca="1" si="41"/>
        <v>1.6666991987516081E-4</v>
      </c>
    </row>
    <row r="905" spans="1:7" x14ac:dyDescent="0.35">
      <c r="A905" s="84">
        <v>890</v>
      </c>
      <c r="B905" s="84">
        <f t="shared" ca="1" si="39"/>
        <v>0.75917872300545741</v>
      </c>
      <c r="C905" s="84">
        <f t="shared" ca="1" si="39"/>
        <v>0.90379541335833691</v>
      </c>
      <c r="D905" s="93" cm="1">
        <f t="array" aca="1" ref="D905" ca="1">_xlfn.SWITCH($B$4,"Normal MLE",EXP(_xlfn.NORM.INV(B905,LN($C$9),$E$9/$C$9)),"Uniforme",$B$9+($D$9-$B$9)*B905,"Triangular",IF(B905&lt;=($C$9-$B$9)/($D$9-$B$9),$B$9+SQRT(B905*($D$9-$B$9)*($C$9-$B$9)),$D$9-SQRT((1-B905)*($D$9-$B$9)*($D$9-$C$9))),"PERT",_xlfn.BETA.INV(B905,1+$B$6*($C$9-$B$9)/($D$9-$B$9),1+$B$6*($D$9-$C$9)/($D$9-$B$9),$B$9,$D$9))</f>
        <v>2.0466173581089233</v>
      </c>
      <c r="E905" s="94" cm="1">
        <f t="array" aca="1" ref="E905" ca="1">_xlfn.SWITCH($B$4,"Normal MLE",EXP(_xlfn.NORM.INV(C905,LN($C$10),$E$10/$C$10)),"Uniforme",$B$10+($D$10-$B$10)*C905,"Triangular",IF(C905&lt;=($C$10-$B$10)/($D$10-$B$10),$B$10+SQRT(C905*($D$10-$B$10)*($C$10-$B$10)),$D$10-SQRT((1-C905)*($D$10-$B$10)*($D$10-$C$10))),"PERT",_xlfn.BETA.INV(C905,1+$B$6*($C$10-$B$10)/($D$10-$B$10),1+$B$6*($D$10-$C$10)/($D$10-$B$10),$B$10,$D$10))</f>
        <v>5418.6861689317893</v>
      </c>
      <c r="F905" s="88">
        <f t="shared" ca="1" si="40"/>
        <v>0.58434592593548607</v>
      </c>
      <c r="G905" s="89">
        <f t="shared" ca="1" si="41"/>
        <v>1.6063231338114446E-4</v>
      </c>
    </row>
    <row r="906" spans="1:7" x14ac:dyDescent="0.35">
      <c r="A906" s="84">
        <v>891</v>
      </c>
      <c r="B906" s="84">
        <f t="shared" ca="1" si="39"/>
        <v>0.43983745941395591</v>
      </c>
      <c r="C906" s="84">
        <f t="shared" ca="1" si="39"/>
        <v>0.17379363331706954</v>
      </c>
      <c r="D906" s="93" cm="1">
        <f t="array" aca="1" ref="D906" ca="1">_xlfn.SWITCH($B$4,"Normal MLE",EXP(_xlfn.NORM.INV(B906,LN($C$9),$E$9/$C$9)),"Uniforme",$B$9+($D$9-$B$9)*B906,"Triangular",IF(B906&lt;=($C$9-$B$9)/($D$9-$B$9),$B$9+SQRT(B906*($D$9-$B$9)*($C$9-$B$9)),$D$9-SQRT((1-B906)*($D$9-$B$9)*($D$9-$C$9))),"PERT",_xlfn.BETA.INV(B906,1+$B$6*($C$9-$B$9)/($D$9-$B$9),1+$B$6*($D$9-$C$9)/($D$9-$B$9),$B$9,$D$9))</f>
        <v>1.9270234826137136</v>
      </c>
      <c r="E906" s="94" cm="1">
        <f t="array" aca="1" ref="E906" ca="1">_xlfn.SWITCH($B$4,"Normal MLE",EXP(_xlfn.NORM.INV(C906,LN($C$10),$E$10/$C$10)),"Uniforme",$B$10+($D$10-$B$10)*C906,"Triangular",IF(C906&lt;=($C$10-$B$10)/($D$10-$B$10),$B$10+SQRT(C906*($D$10-$B$10)*($C$10-$B$10)),$D$10-SQRT((1-C906)*($D$10-$B$10)*($D$10-$C$10))),"PERT",_xlfn.BETA.INV(C906,1+$B$6*($C$10-$B$10)/($D$10-$B$10),1+$B$6*($D$10-$C$10)/($D$10-$B$10),$B$10,$D$10))</f>
        <v>4881.6725744886426</v>
      </c>
      <c r="F906" s="88">
        <f t="shared" ca="1" si="40"/>
        <v>0.50599262999212291</v>
      </c>
      <c r="G906" s="89">
        <f t="shared" ca="1" si="41"/>
        <v>1.6606075041757416E-4</v>
      </c>
    </row>
    <row r="907" spans="1:7" x14ac:dyDescent="0.35">
      <c r="A907" s="84">
        <v>892</v>
      </c>
      <c r="B907" s="84">
        <f t="shared" ca="1" si="39"/>
        <v>1.2468788078009663E-2</v>
      </c>
      <c r="C907" s="84">
        <f t="shared" ca="1" si="39"/>
        <v>0.55451618982480944</v>
      </c>
      <c r="D907" s="93" cm="1">
        <f t="array" aca="1" ref="D907" ca="1">_xlfn.SWITCH($B$4,"Normal MLE",EXP(_xlfn.NORM.INV(B907,LN($C$9),$E$9/$C$9)),"Uniforme",$B$9+($D$9-$B$9)*B907,"Triangular",IF(B907&lt;=($C$9-$B$9)/($D$9-$B$9),$B$9+SQRT(B907*($D$9-$B$9)*($C$9-$B$9)),$D$9-SQRT((1-B907)*($D$9-$B$9)*($D$9-$C$9))),"PERT",_xlfn.BETA.INV(B907,1+$B$6*($C$9-$B$9)/($D$9-$B$9),1+$B$6*($D$9-$C$9)/($D$9-$B$9),$B$9,$D$9))</f>
        <v>1.663178228232864</v>
      </c>
      <c r="E907" s="94" cm="1">
        <f t="array" aca="1" ref="E907" ca="1">_xlfn.SWITCH($B$4,"Normal MLE",EXP(_xlfn.NORM.INV(C907,LN($C$10),$E$10/$C$10)),"Uniforme",$B$10+($D$10-$B$10)*C907,"Triangular",IF(C907&lt;=($C$10-$B$10)/($D$10-$B$10),$B$10+SQRT(C907*($D$10-$B$10)*($C$10-$B$10)),$D$10-SQRT((1-C907)*($D$10-$B$10)*($D$10-$C$10))),"PERT",_xlfn.BETA.INV(C907,1+$B$6*($C$10-$B$10)/($D$10-$B$10),1+$B$6*($D$10-$C$10)/($D$10-$B$10),$B$10,$D$10))</f>
        <v>5132.411013075679</v>
      </c>
      <c r="F907" s="88">
        <f t="shared" ca="1" si="40"/>
        <v>0.5165386721264198</v>
      </c>
      <c r="G907" s="89">
        <f t="shared" ca="1" si="41"/>
        <v>1.4188078311081989E-4</v>
      </c>
    </row>
    <row r="908" spans="1:7" x14ac:dyDescent="0.35">
      <c r="A908" s="84">
        <v>893</v>
      </c>
      <c r="B908" s="84">
        <f t="shared" ca="1" si="39"/>
        <v>0.43081857894206577</v>
      </c>
      <c r="C908" s="84">
        <f t="shared" ca="1" si="39"/>
        <v>0.54817763876437642</v>
      </c>
      <c r="D908" s="93" cm="1">
        <f t="array" aca="1" ref="D908" ca="1">_xlfn.SWITCH($B$4,"Normal MLE",EXP(_xlfn.NORM.INV(B908,LN($C$9),$E$9/$C$9)),"Uniforme",$B$9+($D$9-$B$9)*B908,"Triangular",IF(B908&lt;=($C$9-$B$9)/($D$9-$B$9),$B$9+SQRT(B908*($D$9-$B$9)*($C$9-$B$9)),$D$9-SQRT((1-B908)*($D$9-$B$9)*($D$9-$C$9))),"PERT",_xlfn.BETA.INV(B908,1+$B$6*($C$9-$B$9)/($D$9-$B$9),1+$B$6*($D$9-$C$9)/($D$9-$B$9),$B$9,$D$9))</f>
        <v>1.9239172132656539</v>
      </c>
      <c r="E908" s="94" cm="1">
        <f t="array" aca="1" ref="E908" ca="1">_xlfn.SWITCH($B$4,"Normal MLE",EXP(_xlfn.NORM.INV(C908,LN($C$10),$E$10/$C$10)),"Uniforme",$B$10+($D$10-$B$10)*C908,"Triangular",IF(C908&lt;=($C$10-$B$10)/($D$10-$B$10),$B$10+SQRT(C908*($D$10-$B$10)*($C$10-$B$10)),$D$10-SQRT((1-C908)*($D$10-$B$10)*($D$10-$C$10))),"PERT",_xlfn.BETA.INV(C908,1+$B$6*($C$10-$B$10)/($D$10-$B$10),1+$B$6*($D$10-$C$10)/($D$10-$B$10),$B$10,$D$10))</f>
        <v>5128.585984941019</v>
      </c>
      <c r="F908" s="88">
        <f t="shared" ca="1" si="40"/>
        <v>0.53798651530985941</v>
      </c>
      <c r="G908" s="89">
        <f t="shared" ca="1" si="41"/>
        <v>1.6041119588132728E-4</v>
      </c>
    </row>
    <row r="909" spans="1:7" x14ac:dyDescent="0.35">
      <c r="A909" s="84">
        <v>894</v>
      </c>
      <c r="B909" s="84">
        <f t="shared" ca="1" si="39"/>
        <v>0.64804483238038724</v>
      </c>
      <c r="C909" s="84">
        <f t="shared" ca="1" si="39"/>
        <v>0.8476670380454896</v>
      </c>
      <c r="D909" s="93" cm="1">
        <f t="array" aca="1" ref="D909" ca="1">_xlfn.SWITCH($B$4,"Normal MLE",EXP(_xlfn.NORM.INV(B909,LN($C$9),$E$9/$C$9)),"Uniforme",$B$9+($D$9-$B$9)*B909,"Triangular",IF(B909&lt;=($C$9-$B$9)/($D$9-$B$9),$B$9+SQRT(B909*($D$9-$B$9)*($C$9-$B$9)),$D$9-SQRT((1-B909)*($D$9-$B$9)*($D$9-$C$9))),"PERT",_xlfn.BETA.INV(B909,1+$B$6*($C$9-$B$9)/($D$9-$B$9),1+$B$6*($D$9-$C$9)/($D$9-$B$9),$B$9,$D$9))</f>
        <v>2.0005046976198737</v>
      </c>
      <c r="E909" s="94" cm="1">
        <f t="array" aca="1" ref="E909" ca="1">_xlfn.SWITCH($B$4,"Normal MLE",EXP(_xlfn.NORM.INV(C909,LN($C$10),$E$10/$C$10)),"Uniforme",$B$10+($D$10-$B$10)*C909,"Triangular",IF(C909&lt;=($C$10-$B$10)/($D$10-$B$10),$B$10+SQRT(C909*($D$10-$B$10)*($C$10-$B$10)),$D$10-SQRT((1-C909)*($D$10-$B$10)*($D$10-$C$10))),"PERT",_xlfn.BETA.INV(C909,1+$B$6*($C$10-$B$10)/($D$10-$B$10),1+$B$6*($D$10-$C$10)/($D$10-$B$10),$B$10,$D$10))</f>
        <v>5349.2859627857015</v>
      </c>
      <c r="F909" s="88">
        <f t="shared" ca="1" si="40"/>
        <v>0.57174167385293351</v>
      </c>
      <c r="G909" s="89">
        <f t="shared" ca="1" si="41"/>
        <v>1.5986157026012584E-4</v>
      </c>
    </row>
    <row r="910" spans="1:7" x14ac:dyDescent="0.35">
      <c r="A910" s="84">
        <v>895</v>
      </c>
      <c r="B910" s="84">
        <f t="shared" ca="1" si="39"/>
        <v>0.69491540698371779</v>
      </c>
      <c r="C910" s="84">
        <f t="shared" ca="1" si="39"/>
        <v>0.53946777668992052</v>
      </c>
      <c r="D910" s="93" cm="1">
        <f t="array" aca="1" ref="D910" ca="1">_xlfn.SWITCH($B$4,"Normal MLE",EXP(_xlfn.NORM.INV(B910,LN($C$9),$E$9/$C$9)),"Uniforme",$B$9+($D$9-$B$9)*B910,"Triangular",IF(B910&lt;=($C$9-$B$9)/($D$9-$B$9),$B$9+SQRT(B910*($D$9-$B$9)*($C$9-$B$9)),$D$9-SQRT((1-B910)*($D$9-$B$9)*($D$9-$C$9))),"PERT",_xlfn.BETA.INV(B910,1+$B$6*($C$9-$B$9)/($D$9-$B$9),1+$B$6*($D$9-$C$9)/($D$9-$B$9),$B$9,$D$9))</f>
        <v>2.0188718570901343</v>
      </c>
      <c r="E910" s="94" cm="1">
        <f t="array" aca="1" ref="E910" ca="1">_xlfn.SWITCH($B$4,"Normal MLE",EXP(_xlfn.NORM.INV(C910,LN($C$10),$E$10/$C$10)),"Uniforme",$B$10+($D$10-$B$10)*C910,"Triangular",IF(C910&lt;=($C$10-$B$10)/($D$10-$B$10),$B$10+SQRT(C910*($D$10-$B$10)*($C$10-$B$10)),$D$10-SQRT((1-C910)*($D$10-$B$10)*($D$10-$C$10))),"PERT",_xlfn.BETA.INV(C910,1+$B$6*($C$10-$B$10)/($D$10-$B$10),1+$B$6*($D$10-$C$10)/($D$10-$B$10),$B$10,$D$10))</f>
        <v>5123.3464853601163</v>
      </c>
      <c r="F910" s="88">
        <f t="shared" ca="1" si="40"/>
        <v>0.54513932949451127</v>
      </c>
      <c r="G910" s="89">
        <f t="shared" ca="1" si="41"/>
        <v>1.6693223164409451E-4</v>
      </c>
    </row>
    <row r="911" spans="1:7" x14ac:dyDescent="0.35">
      <c r="A911" s="84">
        <v>896</v>
      </c>
      <c r="B911" s="84">
        <f t="shared" ca="1" si="39"/>
        <v>0.99698972862644575</v>
      </c>
      <c r="C911" s="84">
        <f t="shared" ca="1" si="39"/>
        <v>0.27717858493309255</v>
      </c>
      <c r="D911" s="93" cm="1">
        <f t="array" aca="1" ref="D911" ca="1">_xlfn.SWITCH($B$4,"Normal MLE",EXP(_xlfn.NORM.INV(B911,LN($C$9),$E$9/$C$9)),"Uniforme",$B$9+($D$9-$B$9)*B911,"Triangular",IF(B911&lt;=($C$9-$B$9)/($D$9-$B$9),$B$9+SQRT(B911*($D$9-$B$9)*($C$9-$B$9)),$D$9-SQRT((1-B911)*($D$9-$B$9)*($D$9-$C$9))),"PERT",_xlfn.BETA.INV(B911,1+$B$6*($C$9-$B$9)/($D$9-$B$9),1+$B$6*($D$9-$C$9)/($D$9-$B$9),$B$9,$D$9))</f>
        <v>2.3632910426750628</v>
      </c>
      <c r="E911" s="94" cm="1">
        <f t="array" aca="1" ref="E911" ca="1">_xlfn.SWITCH($B$4,"Normal MLE",EXP(_xlfn.NORM.INV(C911,LN($C$10),$E$10/$C$10)),"Uniforme",$B$10+($D$10-$B$10)*C911,"Triangular",IF(C911&lt;=($C$10-$B$10)/($D$10-$B$10),$B$10+SQRT(C911*($D$10-$B$10)*($C$10-$B$10)),$D$10-SQRT((1-C911)*($D$10-$B$10)*($D$10-$C$10))),"PERT",_xlfn.BETA.INV(C911,1+$B$6*($C$10-$B$10)/($D$10-$B$10),1+$B$6*($D$10-$C$10)/($D$10-$B$10),$B$10,$D$10))</f>
        <v>4961.3779004722246</v>
      </c>
      <c r="F911" s="88">
        <f t="shared" ca="1" si="40"/>
        <v>0.54821923678335438</v>
      </c>
      <c r="G911" s="89">
        <f t="shared" ca="1" si="41"/>
        <v>1.9469005578453091E-4</v>
      </c>
    </row>
    <row r="912" spans="1:7" x14ac:dyDescent="0.35">
      <c r="A912" s="84">
        <v>897</v>
      </c>
      <c r="B912" s="84">
        <f t="shared" ca="1" si="39"/>
        <v>5.1048964082585746E-2</v>
      </c>
      <c r="C912" s="84">
        <f t="shared" ca="1" si="39"/>
        <v>0.66436873440169897</v>
      </c>
      <c r="D912" s="93" cm="1">
        <f t="array" aca="1" ref="D912" ca="1">_xlfn.SWITCH($B$4,"Normal MLE",EXP(_xlfn.NORM.INV(B912,LN($C$9),$E$9/$C$9)),"Uniforme",$B$9+($D$9-$B$9)*B912,"Triangular",IF(B912&lt;=($C$9-$B$9)/($D$9-$B$9),$B$9+SQRT(B912*($D$9-$B$9)*($C$9-$B$9)),$D$9-SQRT((1-B912)*($D$9-$B$9)*($D$9-$C$9))),"PERT",_xlfn.BETA.INV(B912,1+$B$6*($C$9-$B$9)/($D$9-$B$9),1+$B$6*($D$9-$C$9)/($D$9-$B$9),$B$9,$D$9))</f>
        <v>1.7358849550093103</v>
      </c>
      <c r="E912" s="94" cm="1">
        <f t="array" aca="1" ref="E912" ca="1">_xlfn.SWITCH($B$4,"Normal MLE",EXP(_xlfn.NORM.INV(C912,LN($C$10),$E$10/$C$10)),"Uniforme",$B$10+($D$10-$B$10)*C912,"Triangular",IF(C912&lt;=($C$10-$B$10)/($D$10-$B$10),$B$10+SQRT(C912*($D$10-$B$10)*($C$10-$B$10)),$D$10-SQRT((1-C912)*($D$10-$B$10)*($D$10-$C$10))),"PERT",_xlfn.BETA.INV(C912,1+$B$6*($C$10-$B$10)/($D$10-$B$10),1+$B$6*($D$10-$C$10)/($D$10-$B$10),$B$10,$D$10))</f>
        <v>5201.4972120418061</v>
      </c>
      <c r="F912" s="88">
        <f t="shared" ca="1" si="40"/>
        <v>0.53054222708706456</v>
      </c>
      <c r="G912" s="89">
        <f t="shared" ca="1" si="41"/>
        <v>1.4593898501013511E-4</v>
      </c>
    </row>
    <row r="913" spans="1:7" x14ac:dyDescent="0.35">
      <c r="A913" s="84">
        <v>898</v>
      </c>
      <c r="B913" s="84">
        <f t="shared" ref="B913:C976" ca="1" si="42">RAND()</f>
        <v>0.47982080394833571</v>
      </c>
      <c r="C913" s="84">
        <f t="shared" ca="1" si="42"/>
        <v>5.480300263969784E-2</v>
      </c>
      <c r="D913" s="93" cm="1">
        <f t="array" aca="1" ref="D913" ca="1">_xlfn.SWITCH($B$4,"Normal MLE",EXP(_xlfn.NORM.INV(B913,LN($C$9),$E$9/$C$9)),"Uniforme",$B$9+($D$9-$B$9)*B913,"Triangular",IF(B913&lt;=($C$9-$B$9)/($D$9-$B$9),$B$9+SQRT(B913*($D$9-$B$9)*($C$9-$B$9)),$D$9-SQRT((1-B913)*($D$9-$B$9)*($D$9-$C$9))),"PERT",_xlfn.BETA.INV(B913,1+$B$6*($C$9-$B$9)/($D$9-$B$9),1+$B$6*($D$9-$C$9)/($D$9-$B$9),$B$9,$D$9))</f>
        <v>1.9407476957002481</v>
      </c>
      <c r="E913" s="94" cm="1">
        <f t="array" aca="1" ref="E913" ca="1">_xlfn.SWITCH($B$4,"Normal MLE",EXP(_xlfn.NORM.INV(C913,LN($C$10),$E$10/$C$10)),"Uniforme",$B$10+($D$10-$B$10)*C913,"Triangular",IF(C913&lt;=($C$10-$B$10)/($D$10-$B$10),$B$10+SQRT(C913*($D$10-$B$10)*($C$10-$B$10)),$D$10-SQRT((1-C913)*($D$10-$B$10)*($D$10-$C$10))),"PERT",_xlfn.BETA.INV(C913,1+$B$6*($C$10-$B$10)/($D$10-$B$10),1+$B$6*($D$10-$C$10)/($D$10-$B$10),$B$10,$D$10))</f>
        <v>4733.8711526088064</v>
      </c>
      <c r="F913" s="88">
        <f t="shared" ref="F913:F976" ca="1" si="43">EXP(-POWER($B$12/E913,D913))</f>
        <v>0.48619588330511654</v>
      </c>
      <c r="G913" s="89">
        <f t="shared" ref="G913:G976" ca="1" si="44">(D913/E913)*POWER($B$12/E913,D913-1)*EXP(-POWER($B$12/E913,D913))</f>
        <v>1.7011482763362517E-4</v>
      </c>
    </row>
    <row r="914" spans="1:7" x14ac:dyDescent="0.35">
      <c r="A914" s="84">
        <v>899</v>
      </c>
      <c r="B914" s="84">
        <f t="shared" ca="1" si="42"/>
        <v>0.7390770456371103</v>
      </c>
      <c r="C914" s="84">
        <f t="shared" ca="1" si="42"/>
        <v>0.47533480554036589</v>
      </c>
      <c r="D914" s="93" cm="1">
        <f t="array" aca="1" ref="D914" ca="1">_xlfn.SWITCH($B$4,"Normal MLE",EXP(_xlfn.NORM.INV(B914,LN($C$9),$E$9/$C$9)),"Uniforme",$B$9+($D$9-$B$9)*B914,"Triangular",IF(B914&lt;=($C$9-$B$9)/($D$9-$B$9),$B$9+SQRT(B914*($D$9-$B$9)*($C$9-$B$9)),$D$9-SQRT((1-B914)*($D$9-$B$9)*($D$9-$C$9))),"PERT",_xlfn.BETA.INV(B914,1+$B$6*($C$9-$B$9)/($D$9-$B$9),1+$B$6*($D$9-$C$9)/($D$9-$B$9),$B$9,$D$9))</f>
        <v>2.0375347577376086</v>
      </c>
      <c r="E914" s="94" cm="1">
        <f t="array" aca="1" ref="E914" ca="1">_xlfn.SWITCH($B$4,"Normal MLE",EXP(_xlfn.NORM.INV(C914,LN($C$10),$E$10/$C$10)),"Uniforme",$B$10+($D$10-$B$10)*C914,"Triangular",IF(C914&lt;=($C$10-$B$10)/($D$10-$B$10),$B$10+SQRT(C914*($D$10-$B$10)*($C$10-$B$10)),$D$10-SQRT((1-C914)*($D$10-$B$10)*($D$10-$C$10))),"PERT",_xlfn.BETA.INV(C914,1+$B$6*($C$10-$B$10)/($D$10-$B$10),1+$B$6*($D$10-$C$10)/($D$10-$B$10),$B$10,$D$10))</f>
        <v>5085.1154168914818</v>
      </c>
      <c r="F914" s="88">
        <f t="shared" ca="1" si="43"/>
        <v>0.54161220794974074</v>
      </c>
      <c r="G914" s="89">
        <f t="shared" ca="1" si="44"/>
        <v>1.6917616620602038E-4</v>
      </c>
    </row>
    <row r="915" spans="1:7" x14ac:dyDescent="0.35">
      <c r="A915" s="84">
        <v>900</v>
      </c>
      <c r="B915" s="84">
        <f t="shared" ca="1" si="42"/>
        <v>0.83859091152072118</v>
      </c>
      <c r="C915" s="84">
        <f t="shared" ca="1" si="42"/>
        <v>0.35478033880110016</v>
      </c>
      <c r="D915" s="93" cm="1">
        <f t="array" aca="1" ref="D915" ca="1">_xlfn.SWITCH($B$4,"Normal MLE",EXP(_xlfn.NORM.INV(B915,LN($C$9),$E$9/$C$9)),"Uniforme",$B$9+($D$9-$B$9)*B915,"Triangular",IF(B915&lt;=($C$9-$B$9)/($D$9-$B$9),$B$9+SQRT(B915*($D$9-$B$9)*($C$9-$B$9)),$D$9-SQRT((1-B915)*($D$9-$B$9)*($D$9-$C$9))),"PERT",_xlfn.BETA.INV(B915,1+$B$6*($C$9-$B$9)/($D$9-$B$9),1+$B$6*($D$9-$C$9)/($D$9-$B$9),$B$9,$D$9))</f>
        <v>2.0881099348510594</v>
      </c>
      <c r="E915" s="94" cm="1">
        <f t="array" aca="1" ref="E915" ca="1">_xlfn.SWITCH($B$4,"Normal MLE",EXP(_xlfn.NORM.INV(C915,LN($C$10),$E$10/$C$10)),"Uniforme",$B$10+($D$10-$B$10)*C915,"Triangular",IF(C915&lt;=($C$10-$B$10)/($D$10-$B$10),$B$10+SQRT(C915*($D$10-$B$10)*($C$10-$B$10)),$D$10-SQRT((1-C915)*($D$10-$B$10)*($D$10-$C$10))),"PERT",_xlfn.BETA.INV(C915,1+$B$6*($C$10-$B$10)/($D$10-$B$10),1+$B$6*($D$10-$C$10)/($D$10-$B$10),$B$10,$D$10))</f>
        <v>5012.1506386121355</v>
      </c>
      <c r="F915" s="88">
        <f t="shared" ca="1" si="43"/>
        <v>0.53560020311746426</v>
      </c>
      <c r="G915" s="89">
        <f t="shared" ca="1" si="44"/>
        <v>1.7457186083869164E-4</v>
      </c>
    </row>
    <row r="916" spans="1:7" x14ac:dyDescent="0.35">
      <c r="A916" s="84">
        <v>901</v>
      </c>
      <c r="B916" s="84">
        <f t="shared" ca="1" si="42"/>
        <v>0.52750496540690051</v>
      </c>
      <c r="C916" s="84">
        <f t="shared" ca="1" si="42"/>
        <v>0.41094380475061876</v>
      </c>
      <c r="D916" s="93" cm="1">
        <f t="array" aca="1" ref="D916" ca="1">_xlfn.SWITCH($B$4,"Normal MLE",EXP(_xlfn.NORM.INV(B916,LN($C$9),$E$9/$C$9)),"Uniforme",$B$9+($D$9-$B$9)*B916,"Triangular",IF(B916&lt;=($C$9-$B$9)/($D$9-$B$9),$B$9+SQRT(B916*($D$9-$B$9)*($C$9-$B$9)),$D$9-SQRT((1-B916)*($D$9-$B$9)*($D$9-$C$9))),"PERT",_xlfn.BETA.INV(B916,1+$B$6*($C$9-$B$9)/($D$9-$B$9),1+$B$6*($D$9-$C$9)/($D$9-$B$9),$B$9,$D$9))</f>
        <v>1.9571624076730116</v>
      </c>
      <c r="E916" s="94" cm="1">
        <f t="array" aca="1" ref="E916" ca="1">_xlfn.SWITCH($B$4,"Normal MLE",EXP(_xlfn.NORM.INV(C916,LN($C$10),$E$10/$C$10)),"Uniforme",$B$10+($D$10-$B$10)*C916,"Triangular",IF(C916&lt;=($C$10-$B$10)/($D$10-$B$10),$B$10+SQRT(C916*($D$10-$B$10)*($C$10-$B$10)),$D$10-SQRT((1-C916)*($D$10-$B$10)*($D$10-$C$10))),"PERT",_xlfn.BETA.INV(C916,1+$B$6*($C$10-$B$10)/($D$10-$B$10),1+$B$6*($D$10-$C$10)/($D$10-$B$10),$B$10,$D$10))</f>
        <v>5046.6311083065921</v>
      </c>
      <c r="F916" s="88">
        <f t="shared" ca="1" si="43"/>
        <v>0.53019329576543273</v>
      </c>
      <c r="G916" s="89">
        <f t="shared" ca="1" si="44"/>
        <v>1.6460463553962499E-4</v>
      </c>
    </row>
    <row r="917" spans="1:7" x14ac:dyDescent="0.35">
      <c r="A917" s="84">
        <v>902</v>
      </c>
      <c r="B917" s="84">
        <f t="shared" ca="1" si="42"/>
        <v>1.9854467091432126E-2</v>
      </c>
      <c r="C917" s="84">
        <f t="shared" ca="1" si="42"/>
        <v>0.50514467184708955</v>
      </c>
      <c r="D917" s="93" cm="1">
        <f t="array" aca="1" ref="D917" ca="1">_xlfn.SWITCH($B$4,"Normal MLE",EXP(_xlfn.NORM.INV(B917,LN($C$9),$E$9/$C$9)),"Uniforme",$B$9+($D$9-$B$9)*B917,"Triangular",IF(B917&lt;=($C$9-$B$9)/($D$9-$B$9),$B$9+SQRT(B917*($D$9-$B$9)*($C$9-$B$9)),$D$9-SQRT((1-B917)*($D$9-$B$9)*($D$9-$C$9))),"PERT",_xlfn.BETA.INV(B917,1+$B$6*($C$9-$B$9)/($D$9-$B$9),1+$B$6*($D$9-$C$9)/($D$9-$B$9),$B$9,$D$9))</f>
        <v>1.6850589168924393</v>
      </c>
      <c r="E917" s="94" cm="1">
        <f t="array" aca="1" ref="E917" ca="1">_xlfn.SWITCH($B$4,"Normal MLE",EXP(_xlfn.NORM.INV(C917,LN($C$10),$E$10/$C$10)),"Uniforme",$B$10+($D$10-$B$10)*C917,"Triangular",IF(C917&lt;=($C$10-$B$10)/($D$10-$B$10),$B$10+SQRT(C917*($D$10-$B$10)*($C$10-$B$10)),$D$10-SQRT((1-C917)*($D$10-$B$10)*($D$10-$C$10))),"PERT",_xlfn.BETA.INV(C917,1+$B$6*($C$10-$B$10)/($D$10-$B$10),1+$B$6*($D$10-$C$10)/($D$10-$B$10),$B$10,$D$10))</f>
        <v>5102.8373411162547</v>
      </c>
      <c r="F917" s="88">
        <f t="shared" ca="1" si="43"/>
        <v>0.51507606958967378</v>
      </c>
      <c r="G917" s="89">
        <f t="shared" ca="1" si="44"/>
        <v>1.4395560210821615E-4</v>
      </c>
    </row>
    <row r="918" spans="1:7" x14ac:dyDescent="0.35">
      <c r="A918" s="84">
        <v>903</v>
      </c>
      <c r="B918" s="84">
        <f t="shared" ca="1" si="42"/>
        <v>0.59352576743143315</v>
      </c>
      <c r="C918" s="84">
        <f t="shared" ca="1" si="42"/>
        <v>0.71402183153235288</v>
      </c>
      <c r="D918" s="93" cm="1">
        <f t="array" aca="1" ref="D918" ca="1">_xlfn.SWITCH($B$4,"Normal MLE",EXP(_xlfn.NORM.INV(B918,LN($C$9),$E$9/$C$9)),"Uniforme",$B$9+($D$9-$B$9)*B918,"Triangular",IF(B918&lt;=($C$9-$B$9)/($D$9-$B$9),$B$9+SQRT(B918*($D$9-$B$9)*($C$9-$B$9)),$D$9-SQRT((1-B918)*($D$9-$B$9)*($D$9-$C$9))),"PERT",_xlfn.BETA.INV(B918,1+$B$6*($C$9-$B$9)/($D$9-$B$9),1+$B$6*($D$9-$C$9)/($D$9-$B$9),$B$9,$D$9))</f>
        <v>1.9804017141741237</v>
      </c>
      <c r="E918" s="94" cm="1">
        <f t="array" aca="1" ref="E918" ca="1">_xlfn.SWITCH($B$4,"Normal MLE",EXP(_xlfn.NORM.INV(C918,LN($C$10),$E$10/$C$10)),"Uniforme",$B$10+($D$10-$B$10)*C918,"Triangular",IF(C918&lt;=($C$10-$B$10)/($D$10-$B$10),$B$10+SQRT(C918*($D$10-$B$10)*($C$10-$B$10)),$D$10-SQRT((1-C918)*($D$10-$B$10)*($D$10-$C$10))),"PERT",_xlfn.BETA.INV(C918,1+$B$6*($C$10-$B$10)/($D$10-$B$10),1+$B$6*($D$10-$C$10)/($D$10-$B$10),$B$10,$D$10))</f>
        <v>5235.6789298942413</v>
      </c>
      <c r="F918" s="88">
        <f t="shared" ca="1" si="43"/>
        <v>0.55612263762008296</v>
      </c>
      <c r="G918" s="89">
        <f t="shared" ca="1" si="44"/>
        <v>1.6155825028109279E-4</v>
      </c>
    </row>
    <row r="919" spans="1:7" x14ac:dyDescent="0.35">
      <c r="A919" s="84">
        <v>904</v>
      </c>
      <c r="B919" s="84">
        <f t="shared" ca="1" si="42"/>
        <v>0.21215798835929689</v>
      </c>
      <c r="C919" s="84">
        <f t="shared" ca="1" si="42"/>
        <v>0.29135178279890939</v>
      </c>
      <c r="D919" s="93" cm="1">
        <f t="array" aca="1" ref="D919" ca="1">_xlfn.SWITCH($B$4,"Normal MLE",EXP(_xlfn.NORM.INV(B919,LN($C$9),$E$9/$C$9)),"Uniforme",$B$9+($D$9-$B$9)*B919,"Triangular",IF(B919&lt;=($C$9-$B$9)/($D$9-$B$9),$B$9+SQRT(B919*($D$9-$B$9)*($C$9-$B$9)),$D$9-SQRT((1-B919)*($D$9-$B$9)*($D$9-$C$9))),"PERT",_xlfn.BETA.INV(B919,1+$B$6*($C$9-$B$9)/($D$9-$B$9),1+$B$6*($D$9-$C$9)/($D$9-$B$9),$B$9,$D$9))</f>
        <v>1.8411211615643666</v>
      </c>
      <c r="E919" s="94" cm="1">
        <f t="array" aca="1" ref="E919" ca="1">_xlfn.SWITCH($B$4,"Normal MLE",EXP(_xlfn.NORM.INV(C919,LN($C$10),$E$10/$C$10)),"Uniforme",$B$10+($D$10-$B$10)*C919,"Triangular",IF(C919&lt;=($C$10-$B$10)/($D$10-$B$10),$B$10+SQRT(C919*($D$10-$B$10)*($C$10-$B$10)),$D$10-SQRT((1-C919)*($D$10-$B$10)*($D$10-$C$10))),"PERT",_xlfn.BETA.INV(C919,1+$B$6*($C$10-$B$10)/($D$10-$B$10),1+$B$6*($D$10-$C$10)/($D$10-$B$10),$B$10,$D$10))</f>
        <v>4971.0386953562311</v>
      </c>
      <c r="F919" s="88">
        <f t="shared" ca="1" si="43"/>
        <v>0.51159251450847654</v>
      </c>
      <c r="G919" s="89">
        <f t="shared" ca="1" si="44"/>
        <v>1.5782230284416737E-4</v>
      </c>
    </row>
    <row r="920" spans="1:7" x14ac:dyDescent="0.35">
      <c r="A920" s="84">
        <v>905</v>
      </c>
      <c r="B920" s="84">
        <f t="shared" ca="1" si="42"/>
        <v>0.25229114830188537</v>
      </c>
      <c r="C920" s="84">
        <f t="shared" ca="1" si="42"/>
        <v>0.97102941121465225</v>
      </c>
      <c r="D920" s="93" cm="1">
        <f t="array" aca="1" ref="D920" ca="1">_xlfn.SWITCH($B$4,"Normal MLE",EXP(_xlfn.NORM.INV(B920,LN($C$9),$E$9/$C$9)),"Uniforme",$B$9+($D$9-$B$9)*B920,"Triangular",IF(B920&lt;=($C$9-$B$9)/($D$9-$B$9),$B$9+SQRT(B920*($D$9-$B$9)*($C$9-$B$9)),$D$9-SQRT((1-B920)*($D$9-$B$9)*($D$9-$C$9))),"PERT",_xlfn.BETA.INV(B920,1+$B$6*($C$9-$B$9)/($D$9-$B$9),1+$B$6*($D$9-$C$9)/($D$9-$B$9),$B$9,$D$9))</f>
        <v>1.8582701877644134</v>
      </c>
      <c r="E920" s="94" cm="1">
        <f t="array" aca="1" ref="E920" ca="1">_xlfn.SWITCH($B$4,"Normal MLE",EXP(_xlfn.NORM.INV(C920,LN($C$10),$E$10/$C$10)),"Uniforme",$B$10+($D$10-$B$10)*C920,"Triangular",IF(C920&lt;=($C$10-$B$10)/($D$10-$B$10),$B$10+SQRT(C920*($D$10-$B$10)*($C$10-$B$10)),$D$10-SQRT((1-C920)*($D$10-$B$10)*($D$10-$C$10))),"PERT",_xlfn.BETA.INV(C920,1+$B$6*($C$10-$B$10)/($D$10-$B$10),1+$B$6*($D$10-$C$10)/($D$10-$B$10),$B$10,$D$10))</f>
        <v>5570.2073737207238</v>
      </c>
      <c r="F920" s="88">
        <f t="shared" ca="1" si="43"/>
        <v>0.58248310808094128</v>
      </c>
      <c r="G920" s="89">
        <f t="shared" ca="1" si="44"/>
        <v>1.4624863368146898E-4</v>
      </c>
    </row>
    <row r="921" spans="1:7" x14ac:dyDescent="0.35">
      <c r="A921" s="84">
        <v>906</v>
      </c>
      <c r="B921" s="84">
        <f t="shared" ca="1" si="42"/>
        <v>0.56206926907337307</v>
      </c>
      <c r="C921" s="84">
        <f t="shared" ca="1" si="42"/>
        <v>0.62637070156749841</v>
      </c>
      <c r="D921" s="93" cm="1">
        <f t="array" aca="1" ref="D921" ca="1">_xlfn.SWITCH($B$4,"Normal MLE",EXP(_xlfn.NORM.INV(B921,LN($C$9),$E$9/$C$9)),"Uniforme",$B$9+($D$9-$B$9)*B921,"Triangular",IF(B921&lt;=($C$9-$B$9)/($D$9-$B$9),$B$9+SQRT(B921*($D$9-$B$9)*($C$9-$B$9)),$D$9-SQRT((1-B921)*($D$9-$B$9)*($D$9-$C$9))),"PERT",_xlfn.BETA.INV(B921,1+$B$6*($C$9-$B$9)/($D$9-$B$9),1+$B$6*($D$9-$C$9)/($D$9-$B$9),$B$9,$D$9))</f>
        <v>1.9692200176939434</v>
      </c>
      <c r="E921" s="94" cm="1">
        <f t="array" aca="1" ref="E921" ca="1">_xlfn.SWITCH($B$4,"Normal MLE",EXP(_xlfn.NORM.INV(C921,LN($C$10),$E$10/$C$10)),"Uniforme",$B$10+($D$10-$B$10)*C921,"Triangular",IF(C921&lt;=($C$10-$B$10)/($D$10-$B$10),$B$10+SQRT(C921*($D$10-$B$10)*($C$10-$B$10)),$D$10-SQRT((1-C921)*($D$10-$B$10)*($D$10-$C$10))),"PERT",_xlfn.BETA.INV(C921,1+$B$6*($C$10-$B$10)/($D$10-$B$10),1+$B$6*($D$10-$C$10)/($D$10-$B$10),$B$10,$D$10))</f>
        <v>5176.8283483353389</v>
      </c>
      <c r="F921" s="88">
        <f t="shared" ca="1" si="43"/>
        <v>0.54783396785831417</v>
      </c>
      <c r="G921" s="89">
        <f t="shared" ca="1" si="44"/>
        <v>1.6230172438186556E-4</v>
      </c>
    </row>
    <row r="922" spans="1:7" x14ac:dyDescent="0.35">
      <c r="A922" s="84">
        <v>907</v>
      </c>
      <c r="B922" s="84">
        <f t="shared" ca="1" si="42"/>
        <v>7.1217236212556934E-2</v>
      </c>
      <c r="C922" s="84">
        <f t="shared" ca="1" si="42"/>
        <v>0.31553511967312198</v>
      </c>
      <c r="D922" s="93" cm="1">
        <f t="array" aca="1" ref="D922" ca="1">_xlfn.SWITCH($B$4,"Normal MLE",EXP(_xlfn.NORM.INV(B922,LN($C$9),$E$9/$C$9)),"Uniforme",$B$9+($D$9-$B$9)*B922,"Triangular",IF(B922&lt;=($C$9-$B$9)/($D$9-$B$9),$B$9+SQRT(B922*($D$9-$B$9)*($C$9-$B$9)),$D$9-SQRT((1-B922)*($D$9-$B$9)*($D$9-$C$9))),"PERT",_xlfn.BETA.INV(B922,1+$B$6*($C$9-$B$9)/($D$9-$B$9),1+$B$6*($D$9-$C$9)/($D$9-$B$9),$B$9,$D$9))</f>
        <v>1.7565409724331749</v>
      </c>
      <c r="E922" s="94" cm="1">
        <f t="array" aca="1" ref="E922" ca="1">_xlfn.SWITCH($B$4,"Normal MLE",EXP(_xlfn.NORM.INV(C922,LN($C$10),$E$10/$C$10)),"Uniforme",$B$10+($D$10-$B$10)*C922,"Triangular",IF(C922&lt;=($C$10-$B$10)/($D$10-$B$10),$B$10+SQRT(C922*($D$10-$B$10)*($C$10-$B$10)),$D$10-SQRT((1-C922)*($D$10-$B$10)*($D$10-$C$10))),"PERT",_xlfn.BETA.INV(C922,1+$B$6*($C$10-$B$10)/($D$10-$B$10),1+$B$6*($D$10-$C$10)/($D$10-$B$10),$B$10,$D$10))</f>
        <v>4987.076495258455</v>
      </c>
      <c r="F922" s="88">
        <f t="shared" ca="1" si="43"/>
        <v>0.50722048920380747</v>
      </c>
      <c r="G922" s="89">
        <f t="shared" ca="1" si="44"/>
        <v>1.5119693261256547E-4</v>
      </c>
    </row>
    <row r="923" spans="1:7" x14ac:dyDescent="0.35">
      <c r="A923" s="84">
        <v>908</v>
      </c>
      <c r="B923" s="84">
        <f t="shared" ca="1" si="42"/>
        <v>0.47420736380543294</v>
      </c>
      <c r="C923" s="84">
        <f t="shared" ca="1" si="42"/>
        <v>0.67272302325630662</v>
      </c>
      <c r="D923" s="93" cm="1">
        <f t="array" aca="1" ref="D923" ca="1">_xlfn.SWITCH($B$4,"Normal MLE",EXP(_xlfn.NORM.INV(B923,LN($C$9),$E$9/$C$9)),"Uniforme",$B$9+($D$9-$B$9)*B923,"Triangular",IF(B923&lt;=($C$9-$B$9)/($D$9-$B$9),$B$9+SQRT(B923*($D$9-$B$9)*($C$9-$B$9)),$D$9-SQRT((1-B923)*($D$9-$B$9)*($D$9-$C$9))),"PERT",_xlfn.BETA.INV(B923,1+$B$6*($C$9-$B$9)/($D$9-$B$9),1+$B$6*($D$9-$C$9)/($D$9-$B$9),$B$9,$D$9))</f>
        <v>1.9388224299785661</v>
      </c>
      <c r="E923" s="94" cm="1">
        <f t="array" aca="1" ref="E923" ca="1">_xlfn.SWITCH($B$4,"Normal MLE",EXP(_xlfn.NORM.INV(C923,LN($C$10),$E$10/$C$10)),"Uniforme",$B$10+($D$10-$B$10)*C923,"Triangular",IF(C923&lt;=($C$10-$B$10)/($D$10-$B$10),$B$10+SQRT(C923*($D$10-$B$10)*($C$10-$B$10)),$D$10-SQRT((1-C923)*($D$10-$B$10)*($D$10-$C$10))),"PERT",_xlfn.BETA.INV(C923,1+$B$6*($C$10-$B$10)/($D$10-$B$10),1+$B$6*($D$10-$C$10)/($D$10-$B$10),$B$10,$D$10))</f>
        <v>5207.0742947879953</v>
      </c>
      <c r="F923" s="88">
        <f t="shared" ca="1" si="43"/>
        <v>0.54897229881330123</v>
      </c>
      <c r="G923" s="89">
        <f t="shared" ca="1" si="44"/>
        <v>1.5957608543789239E-4</v>
      </c>
    </row>
    <row r="924" spans="1:7" x14ac:dyDescent="0.35">
      <c r="A924" s="84">
        <v>909</v>
      </c>
      <c r="B924" s="84">
        <f t="shared" ca="1" si="42"/>
        <v>0.16659578899599292</v>
      </c>
      <c r="C924" s="84">
        <f t="shared" ca="1" si="42"/>
        <v>0.64253928385834935</v>
      </c>
      <c r="D924" s="93" cm="1">
        <f t="array" aca="1" ref="D924" ca="1">_xlfn.SWITCH($B$4,"Normal MLE",EXP(_xlfn.NORM.INV(B924,LN($C$9),$E$9/$C$9)),"Uniforme",$B$9+($D$9-$B$9)*B924,"Triangular",IF(B924&lt;=($C$9-$B$9)/($D$9-$B$9),$B$9+SQRT(B924*($D$9-$B$9)*($C$9-$B$9)),$D$9-SQRT((1-B924)*($D$9-$B$9)*($D$9-$C$9))),"PERT",_xlfn.BETA.INV(B924,1+$B$6*($C$9-$B$9)/($D$9-$B$9),1+$B$6*($D$9-$C$9)/($D$9-$B$9),$B$9,$D$9))</f>
        <v>1.8193721530335636</v>
      </c>
      <c r="E924" s="94" cm="1">
        <f t="array" aca="1" ref="E924" ca="1">_xlfn.SWITCH($B$4,"Normal MLE",EXP(_xlfn.NORM.INV(C924,LN($C$10),$E$10/$C$10)),"Uniforme",$B$10+($D$10-$B$10)*C924,"Triangular",IF(C924&lt;=($C$10-$B$10)/($D$10-$B$10),$B$10+SQRT(C924*($D$10-$B$10)*($C$10-$B$10)),$D$10-SQRT((1-C924)*($D$10-$B$10)*($D$10-$C$10))),"PERT",_xlfn.BETA.INV(C924,1+$B$6*($C$10-$B$10)/($D$10-$B$10),1+$B$6*($D$10-$C$10)/($D$10-$B$10),$B$10,$D$10))</f>
        <v>5187.197009299296</v>
      </c>
      <c r="F924" s="88">
        <f t="shared" ca="1" si="43"/>
        <v>0.53621421346132125</v>
      </c>
      <c r="G924" s="89">
        <f t="shared" ca="1" si="44"/>
        <v>1.5199956068063023E-4</v>
      </c>
    </row>
    <row r="925" spans="1:7" x14ac:dyDescent="0.35">
      <c r="A925" s="84">
        <v>910</v>
      </c>
      <c r="B925" s="84">
        <f t="shared" ca="1" si="42"/>
        <v>0.29099764126851724</v>
      </c>
      <c r="C925" s="84">
        <f t="shared" ca="1" si="42"/>
        <v>0.96914290603839204</v>
      </c>
      <c r="D925" s="93" cm="1">
        <f t="array" aca="1" ref="D925" ca="1">_xlfn.SWITCH($B$4,"Normal MLE",EXP(_xlfn.NORM.INV(B925,LN($C$9),$E$9/$C$9)),"Uniforme",$B$9+($D$9-$B$9)*B925,"Triangular",IF(B925&lt;=($C$9-$B$9)/($D$9-$B$9),$B$9+SQRT(B925*($D$9-$B$9)*($C$9-$B$9)),$D$9-SQRT((1-B925)*($D$9-$B$9)*($D$9-$C$9))),"PERT",_xlfn.BETA.INV(B925,1+$B$6*($C$9-$B$9)/($D$9-$B$9),1+$B$6*($D$9-$C$9)/($D$9-$B$9),$B$9,$D$9))</f>
        <v>1.8736207321490761</v>
      </c>
      <c r="E925" s="94" cm="1">
        <f t="array" aca="1" ref="E925" ca="1">_xlfn.SWITCH($B$4,"Normal MLE",EXP(_xlfn.NORM.INV(C925,LN($C$10),$E$10/$C$10)),"Uniforme",$B$10+($D$10-$B$10)*C925,"Triangular",IF(C925&lt;=($C$10-$B$10)/($D$10-$B$10),$B$10+SQRT(C925*($D$10-$B$10)*($C$10-$B$10)),$D$10-SQRT((1-C925)*($D$10-$B$10)*($D$10-$C$10))),"PERT",_xlfn.BETA.INV(C925,1+$B$6*($C$10-$B$10)/($D$10-$B$10),1+$B$6*($D$10-$C$10)/($D$10-$B$10),$B$10,$D$10))</f>
        <v>5563.0063568743899</v>
      </c>
      <c r="F925" s="88">
        <f t="shared" ca="1" si="43"/>
        <v>0.58331979525195388</v>
      </c>
      <c r="G925" s="89">
        <f t="shared" ca="1" si="44"/>
        <v>1.4727636346427173E-4</v>
      </c>
    </row>
    <row r="926" spans="1:7" x14ac:dyDescent="0.35">
      <c r="A926" s="84">
        <v>911</v>
      </c>
      <c r="B926" s="84">
        <f t="shared" ca="1" si="42"/>
        <v>0.79415651047056368</v>
      </c>
      <c r="C926" s="84">
        <f t="shared" ca="1" si="42"/>
        <v>0.80940930326500304</v>
      </c>
      <c r="D926" s="93" cm="1">
        <f t="array" aca="1" ref="D926" ca="1">_xlfn.SWITCH($B$4,"Normal MLE",EXP(_xlfn.NORM.INV(B926,LN($C$9),$E$9/$C$9)),"Uniforme",$B$9+($D$9-$B$9)*B926,"Triangular",IF(B926&lt;=($C$9-$B$9)/($D$9-$B$9),$B$9+SQRT(B926*($D$9-$B$9)*($C$9-$B$9)),$D$9-SQRT((1-B926)*($D$9-$B$9)*($D$9-$C$9))),"PERT",_xlfn.BETA.INV(B926,1+$B$6*($C$9-$B$9)/($D$9-$B$9),1+$B$6*($D$9-$C$9)/($D$9-$B$9),$B$9,$D$9))</f>
        <v>2.0635878143493502</v>
      </c>
      <c r="E926" s="94" cm="1">
        <f t="array" aca="1" ref="E926" ca="1">_xlfn.SWITCH($B$4,"Normal MLE",EXP(_xlfn.NORM.INV(C926,LN($C$10),$E$10/$C$10)),"Uniforme",$B$10+($D$10-$B$10)*C926,"Triangular",IF(C926&lt;=($C$10-$B$10)/($D$10-$B$10),$B$10+SQRT(C926*($D$10-$B$10)*($C$10-$B$10)),$D$10-SQRT((1-C926)*($D$10-$B$10)*($D$10-$C$10))),"PERT",_xlfn.BETA.INV(C926,1+$B$6*($C$10-$B$10)/($D$10-$B$10),1+$B$6*($D$10-$C$10)/($D$10-$B$10),$B$10,$D$10))</f>
        <v>5311.8900015235313</v>
      </c>
      <c r="F926" s="88">
        <f t="shared" ca="1" si="43"/>
        <v>0.57297426114618732</v>
      </c>
      <c r="G926" s="89">
        <f t="shared" ca="1" si="44"/>
        <v>1.6462151289407833E-4</v>
      </c>
    </row>
    <row r="927" spans="1:7" x14ac:dyDescent="0.35">
      <c r="A927" s="84">
        <v>912</v>
      </c>
      <c r="B927" s="84">
        <f t="shared" ca="1" si="42"/>
        <v>0.70636965873561863</v>
      </c>
      <c r="C927" s="84">
        <f t="shared" ca="1" si="42"/>
        <v>0.81297578574961771</v>
      </c>
      <c r="D927" s="93" cm="1">
        <f t="array" aca="1" ref="D927" ca="1">_xlfn.SWITCH($B$4,"Normal MLE",EXP(_xlfn.NORM.INV(B927,LN($C$9),$E$9/$C$9)),"Uniforme",$B$9+($D$9-$B$9)*B927,"Triangular",IF(B927&lt;=($C$9-$B$9)/($D$9-$B$9),$B$9+SQRT(B927*($D$9-$B$9)*($C$9-$B$9)),$D$9-SQRT((1-B927)*($D$9-$B$9)*($D$9-$C$9))),"PERT",_xlfn.BETA.INV(B927,1+$B$6*($C$9-$B$9)/($D$9-$B$9),1+$B$6*($D$9-$C$9)/($D$9-$B$9),$B$9,$D$9))</f>
        <v>2.0235657110143865</v>
      </c>
      <c r="E927" s="94" cm="1">
        <f t="array" aca="1" ref="E927" ca="1">_xlfn.SWITCH($B$4,"Normal MLE",EXP(_xlfn.NORM.INV(C927,LN($C$10),$E$10/$C$10)),"Uniforme",$B$10+($D$10-$B$10)*C927,"Triangular",IF(C927&lt;=($C$10-$B$10)/($D$10-$B$10),$B$10+SQRT(C927*($D$10-$B$10)*($C$10-$B$10)),$D$10-SQRT((1-C927)*($D$10-$B$10)*($D$10-$C$10))),"PERT",_xlfn.BETA.INV(C927,1+$B$6*($C$10-$B$10)/($D$10-$B$10),1+$B$6*($D$10-$C$10)/($D$10-$B$10),$B$10,$D$10))</f>
        <v>5315.1523655338624</v>
      </c>
      <c r="F927" s="88">
        <f t="shared" ca="1" si="43"/>
        <v>0.56974098228642311</v>
      </c>
      <c r="G927" s="89">
        <f t="shared" ca="1" si="44"/>
        <v>1.6214889888220628E-4</v>
      </c>
    </row>
    <row r="928" spans="1:7" x14ac:dyDescent="0.35">
      <c r="A928" s="84">
        <v>913</v>
      </c>
      <c r="B928" s="84">
        <f t="shared" ca="1" si="42"/>
        <v>0.86795383002030901</v>
      </c>
      <c r="C928" s="84">
        <f t="shared" ca="1" si="42"/>
        <v>0.73985602360464764</v>
      </c>
      <c r="D928" s="93" cm="1">
        <f t="array" aca="1" ref="D928" ca="1">_xlfn.SWITCH($B$4,"Normal MLE",EXP(_xlfn.NORM.INV(B928,LN($C$9),$E$9/$C$9)),"Uniforme",$B$9+($D$9-$B$9)*B928,"Triangular",IF(B928&lt;=($C$9-$B$9)/($D$9-$B$9),$B$9+SQRT(B928*($D$9-$B$9)*($C$9-$B$9)),$D$9-SQRT((1-B928)*($D$9-$B$9)*($D$9-$C$9))),"PERT",_xlfn.BETA.INV(B928,1+$B$6*($C$9-$B$9)/($D$9-$B$9),1+$B$6*($D$9-$C$9)/($D$9-$B$9),$B$9,$D$9))</f>
        <v>2.1070295980821623</v>
      </c>
      <c r="E928" s="94" cm="1">
        <f t="array" aca="1" ref="E928" ca="1">_xlfn.SWITCH($B$4,"Normal MLE",EXP(_xlfn.NORM.INV(C928,LN($C$10),$E$10/$C$10)),"Uniforme",$B$10+($D$10-$B$10)*C928,"Triangular",IF(C928&lt;=($C$10-$B$10)/($D$10-$B$10),$B$10+SQRT(C928*($D$10-$B$10)*($C$10-$B$10)),$D$10-SQRT((1-C928)*($D$10-$B$10)*($D$10-$C$10))),"PERT",_xlfn.BETA.INV(C928,1+$B$6*($C$10-$B$10)/($D$10-$B$10),1+$B$6*($D$10-$C$10)/($D$10-$B$10),$B$10,$D$10))</f>
        <v>5254.6509960068433</v>
      </c>
      <c r="F928" s="88">
        <f t="shared" ca="1" si="43"/>
        <v>0.56961423429130675</v>
      </c>
      <c r="G928" s="89">
        <f t="shared" ca="1" si="44"/>
        <v>1.6886608156368017E-4</v>
      </c>
    </row>
    <row r="929" spans="1:7" x14ac:dyDescent="0.35">
      <c r="A929" s="84">
        <v>914</v>
      </c>
      <c r="B929" s="84">
        <f t="shared" ca="1" si="42"/>
        <v>0.61515635515115619</v>
      </c>
      <c r="C929" s="84">
        <f t="shared" ca="1" si="42"/>
        <v>0.62071779097797619</v>
      </c>
      <c r="D929" s="93" cm="1">
        <f t="array" aca="1" ref="D929" ca="1">_xlfn.SWITCH($B$4,"Normal MLE",EXP(_xlfn.NORM.INV(B929,LN($C$9),$E$9/$C$9)),"Uniforme",$B$9+($D$9-$B$9)*B929,"Triangular",IF(B929&lt;=($C$9-$B$9)/($D$9-$B$9),$B$9+SQRT(B929*($D$9-$B$9)*($C$9-$B$9)),$D$9-SQRT((1-B929)*($D$9-$B$9)*($D$9-$C$9))),"PERT",_xlfn.BETA.INV(B929,1+$B$6*($C$9-$B$9)/($D$9-$B$9),1+$B$6*($D$9-$C$9)/($D$9-$B$9),$B$9,$D$9))</f>
        <v>1.9882492185631173</v>
      </c>
      <c r="E929" s="94" cm="1">
        <f t="array" aca="1" ref="E929" ca="1">_xlfn.SWITCH($B$4,"Normal MLE",EXP(_xlfn.NORM.INV(C929,LN($C$10),$E$10/$C$10)),"Uniforme",$B$10+($D$10-$B$10)*C929,"Triangular",IF(C929&lt;=($C$10-$B$10)/($D$10-$B$10),$B$10+SQRT(C929*($D$10-$B$10)*($C$10-$B$10)),$D$10-SQRT((1-C929)*($D$10-$B$10)*($D$10-$C$10))),"PERT",_xlfn.BETA.INV(C929,1+$B$6*($C$10-$B$10)/($D$10-$B$10),1+$B$6*($D$10-$C$10)/($D$10-$B$10),$B$10,$D$10))</f>
        <v>5173.2426579466555</v>
      </c>
      <c r="F929" s="88">
        <f t="shared" ca="1" si="43"/>
        <v>0.54899690082095454</v>
      </c>
      <c r="G929" s="89">
        <f t="shared" ca="1" si="44"/>
        <v>1.6363929520394664E-4</v>
      </c>
    </row>
    <row r="930" spans="1:7" x14ac:dyDescent="0.35">
      <c r="A930" s="84">
        <v>915</v>
      </c>
      <c r="B930" s="84">
        <f t="shared" ca="1" si="42"/>
        <v>0.28312834901272232</v>
      </c>
      <c r="C930" s="84">
        <f t="shared" ca="1" si="42"/>
        <v>0.17229260258653523</v>
      </c>
      <c r="D930" s="93" cm="1">
        <f t="array" aca="1" ref="D930" ca="1">_xlfn.SWITCH($B$4,"Normal MLE",EXP(_xlfn.NORM.INV(B930,LN($C$9),$E$9/$C$9)),"Uniforme",$B$9+($D$9-$B$9)*B930,"Triangular",IF(B930&lt;=($C$9-$B$9)/($D$9-$B$9),$B$9+SQRT(B930*($D$9-$B$9)*($C$9-$B$9)),$D$9-SQRT((1-B930)*($D$9-$B$9)*($D$9-$C$9))),"PERT",_xlfn.BETA.INV(B930,1+$B$6*($C$9-$B$9)/($D$9-$B$9),1+$B$6*($D$9-$C$9)/($D$9-$B$9),$B$9,$D$9))</f>
        <v>1.8705753365056141</v>
      </c>
      <c r="E930" s="94" cm="1">
        <f t="array" aca="1" ref="E930" ca="1">_xlfn.SWITCH($B$4,"Normal MLE",EXP(_xlfn.NORM.INV(C930,LN($C$10),$E$10/$C$10)),"Uniforme",$B$10+($D$10-$B$10)*C930,"Triangular",IF(C930&lt;=($C$10-$B$10)/($D$10-$B$10),$B$10+SQRT(C930*($D$10-$B$10)*($C$10-$B$10)),$D$10-SQRT((1-C930)*($D$10-$B$10)*($D$10-$C$10))),"PERT",_xlfn.BETA.INV(C930,1+$B$6*($C$10-$B$10)/($D$10-$B$10),1+$B$6*($D$10-$C$10)/($D$10-$B$10),$B$10,$D$10))</f>
        <v>4880.340472471019</v>
      </c>
      <c r="F930" s="88">
        <f t="shared" ca="1" si="43"/>
        <v>0.50193328978987095</v>
      </c>
      <c r="G930" s="89">
        <f t="shared" ca="1" si="44"/>
        <v>1.6179383405623274E-4</v>
      </c>
    </row>
    <row r="931" spans="1:7" x14ac:dyDescent="0.35">
      <c r="A931" s="84">
        <v>916</v>
      </c>
      <c r="B931" s="84">
        <f t="shared" ca="1" si="42"/>
        <v>0.14982382129479388</v>
      </c>
      <c r="C931" s="84">
        <f t="shared" ca="1" si="42"/>
        <v>0.47762896035349178</v>
      </c>
      <c r="D931" s="93" cm="1">
        <f t="array" aca="1" ref="D931" ca="1">_xlfn.SWITCH($B$4,"Normal MLE",EXP(_xlfn.NORM.INV(B931,LN($C$9),$E$9/$C$9)),"Uniforme",$B$9+($D$9-$B$9)*B931,"Triangular",IF(B931&lt;=($C$9-$B$9)/($D$9-$B$9),$B$9+SQRT(B931*($D$9-$B$9)*($C$9-$B$9)),$D$9-SQRT((1-B931)*($D$9-$B$9)*($D$9-$C$9))),"PERT",_xlfn.BETA.INV(B931,1+$B$6*($C$9-$B$9)/($D$9-$B$9),1+$B$6*($D$9-$C$9)/($D$9-$B$9),$B$9,$D$9))</f>
        <v>1.8104916580166082</v>
      </c>
      <c r="E931" s="94" cm="1">
        <f t="array" aca="1" ref="E931" ca="1">_xlfn.SWITCH($B$4,"Normal MLE",EXP(_xlfn.NORM.INV(C931,LN($C$10),$E$10/$C$10)),"Uniforme",$B$10+($D$10-$B$10)*C931,"Triangular",IF(C931&lt;=($C$10-$B$10)/($D$10-$B$10),$B$10+SQRT(C931*($D$10-$B$10)*($C$10-$B$10)),$D$10-SQRT((1-C931)*($D$10-$B$10)*($D$10-$C$10))),"PERT",_xlfn.BETA.INV(C931,1+$B$6*($C$10-$B$10)/($D$10-$B$10),1+$B$6*($D$10-$C$10)/($D$10-$B$10),$B$10,$D$10))</f>
        <v>5086.4787468235236</v>
      </c>
      <c r="F931" s="88">
        <f t="shared" ca="1" si="43"/>
        <v>0.52349116201559742</v>
      </c>
      <c r="G931" s="89">
        <f t="shared" ca="1" si="44"/>
        <v>1.5335854274278399E-4</v>
      </c>
    </row>
    <row r="932" spans="1:7" x14ac:dyDescent="0.35">
      <c r="A932" s="84">
        <v>917</v>
      </c>
      <c r="B932" s="84">
        <f t="shared" ca="1" si="42"/>
        <v>0.54125447788985082</v>
      </c>
      <c r="C932" s="84">
        <f t="shared" ca="1" si="42"/>
        <v>0.74460893879253542</v>
      </c>
      <c r="D932" s="93" cm="1">
        <f t="array" aca="1" ref="D932" ca="1">_xlfn.SWITCH($B$4,"Normal MLE",EXP(_xlfn.NORM.INV(B932,LN($C$9),$E$9/$C$9)),"Uniforme",$B$9+($D$9-$B$9)*B932,"Triangular",IF(B932&lt;=($C$9-$B$9)/($D$9-$B$9),$B$9+SQRT(B932*($D$9-$B$9)*($C$9-$B$9)),$D$9-SQRT((1-B932)*($D$9-$B$9)*($D$9-$C$9))),"PERT",_xlfn.BETA.INV(B932,1+$B$6*($C$9-$B$9)/($D$9-$B$9),1+$B$6*($D$9-$C$9)/($D$9-$B$9),$B$9,$D$9))</f>
        <v>1.9619362121749759</v>
      </c>
      <c r="E932" s="94" cm="1">
        <f t="array" aca="1" ref="E932" ca="1">_xlfn.SWITCH($B$4,"Normal MLE",EXP(_xlfn.NORM.INV(C932,LN($C$10),$E$10/$C$10)),"Uniforme",$B$10+($D$10-$B$10)*C932,"Triangular",IF(C932&lt;=($C$10-$B$10)/($D$10-$B$10),$B$10+SQRT(C932*($D$10-$B$10)*($C$10-$B$10)),$D$10-SQRT((1-C932)*($D$10-$B$10)*($D$10-$C$10))),"PERT",_xlfn.BETA.INV(C932,1+$B$6*($C$10-$B$10)/($D$10-$B$10),1+$B$6*($D$10-$C$10)/($D$10-$B$10),$B$10,$D$10))</f>
        <v>5258.2512773381468</v>
      </c>
      <c r="F932" s="88">
        <f t="shared" ca="1" si="43"/>
        <v>0.55725389802773573</v>
      </c>
      <c r="G932" s="89">
        <f t="shared" ca="1" si="44"/>
        <v>1.5982200898108511E-4</v>
      </c>
    </row>
    <row r="933" spans="1:7" x14ac:dyDescent="0.35">
      <c r="A933" s="84">
        <v>918</v>
      </c>
      <c r="B933" s="84">
        <f t="shared" ca="1" si="42"/>
        <v>0.27517343025518715</v>
      </c>
      <c r="C933" s="84">
        <f t="shared" ca="1" si="42"/>
        <v>0.9040818170750885</v>
      </c>
      <c r="D933" s="93" cm="1">
        <f t="array" aca="1" ref="D933" ca="1">_xlfn.SWITCH($B$4,"Normal MLE",EXP(_xlfn.NORM.INV(B933,LN($C$9),$E$9/$C$9)),"Uniforme",$B$9+($D$9-$B$9)*B933,"Triangular",IF(B933&lt;=($C$9-$B$9)/($D$9-$B$9),$B$9+SQRT(B933*($D$9-$B$9)*($C$9-$B$9)),$D$9-SQRT((1-B933)*($D$9-$B$9)*($D$9-$C$9))),"PERT",_xlfn.BETA.INV(B933,1+$B$6*($C$9-$B$9)/($D$9-$B$9),1+$B$6*($D$9-$C$9)/($D$9-$B$9),$B$9,$D$9))</f>
        <v>1.867460357834295</v>
      </c>
      <c r="E933" s="94" cm="1">
        <f t="array" aca="1" ref="E933" ca="1">_xlfn.SWITCH($B$4,"Normal MLE",EXP(_xlfn.NORM.INV(C933,LN($C$10),$E$10/$C$10)),"Uniforme",$B$10+($D$10-$B$10)*C933,"Triangular",IF(C933&lt;=($C$10-$B$10)/($D$10-$B$10),$B$10+SQRT(C933*($D$10-$B$10)*($C$10-$B$10)),$D$10-SQRT((1-C933)*($D$10-$B$10)*($D$10-$C$10))),"PERT",_xlfn.BETA.INV(C933,1+$B$6*($C$10-$B$10)/($D$10-$B$10),1+$B$6*($D$10-$C$10)/($D$10-$B$10),$B$10,$D$10))</f>
        <v>5419.1099852968346</v>
      </c>
      <c r="F933" s="88">
        <f t="shared" ca="1" si="43"/>
        <v>0.56710700805889591</v>
      </c>
      <c r="G933" s="89">
        <f t="shared" ca="1" si="44"/>
        <v>1.5017519345947541E-4</v>
      </c>
    </row>
    <row r="934" spans="1:7" x14ac:dyDescent="0.35">
      <c r="A934" s="84">
        <v>919</v>
      </c>
      <c r="B934" s="84">
        <f t="shared" ca="1" si="42"/>
        <v>0.83348679241415036</v>
      </c>
      <c r="C934" s="84">
        <f t="shared" ca="1" si="42"/>
        <v>0.52872326305569439</v>
      </c>
      <c r="D934" s="93" cm="1">
        <f t="array" aca="1" ref="D934" ca="1">_xlfn.SWITCH($B$4,"Normal MLE",EXP(_xlfn.NORM.INV(B934,LN($C$9),$E$9/$C$9)),"Uniforme",$B$9+($D$9-$B$9)*B934,"Triangular",IF(B934&lt;=($C$9-$B$9)/($D$9-$B$9),$B$9+SQRT(B934*($D$9-$B$9)*($C$9-$B$9)),$D$9-SQRT((1-B934)*($D$9-$B$9)*($D$9-$C$9))),"PERT",_xlfn.BETA.INV(B934,1+$B$6*($C$9-$B$9)/($D$9-$B$9),1+$B$6*($D$9-$C$9)/($D$9-$B$9),$B$9,$D$9))</f>
        <v>2.0850760986249242</v>
      </c>
      <c r="E934" s="94" cm="1">
        <f t="array" aca="1" ref="E934" ca="1">_xlfn.SWITCH($B$4,"Normal MLE",EXP(_xlfn.NORM.INV(C934,LN($C$10),$E$10/$C$10)),"Uniforme",$B$10+($D$10-$B$10)*C934,"Triangular",IF(C934&lt;=($C$10-$B$10)/($D$10-$B$10),$B$10+SQRT(C934*($D$10-$B$10)*($C$10-$B$10)),$D$10-SQRT((1-C934)*($D$10-$B$10)*($D$10-$C$10))),"PERT",_xlfn.BETA.INV(C934,1+$B$6*($C$10-$B$10)/($D$10-$B$10),1+$B$6*($D$10-$C$10)/($D$10-$B$10),$B$10,$D$10))</f>
        <v>5116.9057737844041</v>
      </c>
      <c r="F934" s="88">
        <f t="shared" ca="1" si="43"/>
        <v>0.54967916090216218</v>
      </c>
      <c r="G934" s="89">
        <f t="shared" ca="1" si="44"/>
        <v>1.7146586100926425E-4</v>
      </c>
    </row>
    <row r="935" spans="1:7" x14ac:dyDescent="0.35">
      <c r="A935" s="84">
        <v>920</v>
      </c>
      <c r="B935" s="84">
        <f t="shared" ca="1" si="42"/>
        <v>3.9387651852247685E-2</v>
      </c>
      <c r="C935" s="84">
        <f t="shared" ca="1" si="42"/>
        <v>0.98498231605206221</v>
      </c>
      <c r="D935" s="93" cm="1">
        <f t="array" aca="1" ref="D935" ca="1">_xlfn.SWITCH($B$4,"Normal MLE",EXP(_xlfn.NORM.INV(B935,LN($C$9),$E$9/$C$9)),"Uniforme",$B$9+($D$9-$B$9)*B935,"Triangular",IF(B935&lt;=($C$9-$B$9)/($D$9-$B$9),$B$9+SQRT(B935*($D$9-$B$9)*($C$9-$B$9)),$D$9-SQRT((1-B935)*($D$9-$B$9)*($D$9-$C$9))),"PERT",_xlfn.BETA.INV(B935,1+$B$6*($C$9-$B$9)/($D$9-$B$9),1+$B$6*($D$9-$C$9)/($D$9-$B$9),$B$9,$D$9))</f>
        <v>1.7209058912040365</v>
      </c>
      <c r="E935" s="94" cm="1">
        <f t="array" aca="1" ref="E935" ca="1">_xlfn.SWITCH($B$4,"Normal MLE",EXP(_xlfn.NORM.INV(C935,LN($C$10),$E$10/$C$10)),"Uniforme",$B$10+($D$10-$B$10)*C935,"Triangular",IF(C935&lt;=($C$10-$B$10)/($D$10-$B$10),$B$10+SQRT(C935*($D$10-$B$10)*($C$10-$B$10)),$D$10-SQRT((1-C935)*($D$10-$B$10)*($D$10-$C$10))),"PERT",_xlfn.BETA.INV(C935,1+$B$6*($C$10-$B$10)/($D$10-$B$10),1+$B$6*($D$10-$C$10)/($D$10-$B$10),$B$10,$D$10))</f>
        <v>5641.5481810325955</v>
      </c>
      <c r="F935" s="88">
        <f t="shared" ca="1" si="43"/>
        <v>0.57501813183157902</v>
      </c>
      <c r="G935" s="89">
        <f t="shared" ca="1" si="44"/>
        <v>1.3689307892380024E-4</v>
      </c>
    </row>
    <row r="936" spans="1:7" x14ac:dyDescent="0.35">
      <c r="A936" s="84">
        <v>921</v>
      </c>
      <c r="B936" s="84">
        <f t="shared" ca="1" si="42"/>
        <v>0.98843137392172375</v>
      </c>
      <c r="C936" s="84">
        <f t="shared" ca="1" si="42"/>
        <v>0.92276274459322161</v>
      </c>
      <c r="D936" s="93" cm="1">
        <f t="array" aca="1" ref="D936" ca="1">_xlfn.SWITCH($B$4,"Normal MLE",EXP(_xlfn.NORM.INV(B936,LN($C$9),$E$9/$C$9)),"Uniforme",$B$9+($D$9-$B$9)*B936,"Triangular",IF(B936&lt;=($C$9-$B$9)/($D$9-$B$9),$B$9+SQRT(B936*($D$9-$B$9)*($C$9-$B$9)),$D$9-SQRT((1-B936)*($D$9-$B$9)*($D$9-$C$9))),"PERT",_xlfn.BETA.INV(B936,1+$B$6*($C$9-$B$9)/($D$9-$B$9),1+$B$6*($D$9-$C$9)/($D$9-$B$9),$B$9,$D$9))</f>
        <v>2.2854677613668262</v>
      </c>
      <c r="E936" s="94" cm="1">
        <f t="array" aca="1" ref="E936" ca="1">_xlfn.SWITCH($B$4,"Normal MLE",EXP(_xlfn.NORM.INV(C936,LN($C$10),$E$10/$C$10)),"Uniforme",$B$10+($D$10-$B$10)*C936,"Triangular",IF(C936&lt;=($C$10-$B$10)/($D$10-$B$10),$B$10+SQRT(C936*($D$10-$B$10)*($C$10-$B$10)),$D$10-SQRT((1-C936)*($D$10-$B$10)*($D$10-$C$10))),"PERT",_xlfn.BETA.INV(C936,1+$B$6*($C$10-$B$10)/($D$10-$B$10),1+$B$6*($D$10-$C$10)/($D$10-$B$10),$B$10,$D$10))</f>
        <v>5449.1353650232431</v>
      </c>
      <c r="F936" s="88">
        <f t="shared" ca="1" si="43"/>
        <v>0.61059099622745838</v>
      </c>
      <c r="G936" s="89">
        <f t="shared" ca="1" si="44"/>
        <v>1.7210806460885616E-4</v>
      </c>
    </row>
    <row r="937" spans="1:7" x14ac:dyDescent="0.35">
      <c r="A937" s="84">
        <v>922</v>
      </c>
      <c r="B937" s="84">
        <f t="shared" ca="1" si="42"/>
        <v>0.732906579220995</v>
      </c>
      <c r="C937" s="84">
        <f t="shared" ca="1" si="42"/>
        <v>0.29619601331865519</v>
      </c>
      <c r="D937" s="93" cm="1">
        <f t="array" aca="1" ref="D937" ca="1">_xlfn.SWITCH($B$4,"Normal MLE",EXP(_xlfn.NORM.INV(B937,LN($C$9),$E$9/$C$9)),"Uniforme",$B$9+($D$9-$B$9)*B937,"Triangular",IF(B937&lt;=($C$9-$B$9)/($D$9-$B$9),$B$9+SQRT(B937*($D$9-$B$9)*($C$9-$B$9)),$D$9-SQRT((1-B937)*($D$9-$B$9)*($D$9-$C$9))),"PERT",_xlfn.BETA.INV(B937,1+$B$6*($C$9-$B$9)/($D$9-$B$9),1+$B$6*($D$9-$C$9)/($D$9-$B$9),$B$9,$D$9))</f>
        <v>2.0348283177061406</v>
      </c>
      <c r="E937" s="94" cm="1">
        <f t="array" aca="1" ref="E937" ca="1">_xlfn.SWITCH($B$4,"Normal MLE",EXP(_xlfn.NORM.INV(C937,LN($C$10),$E$10/$C$10)),"Uniforme",$B$10+($D$10-$B$10)*C937,"Triangular",IF(C937&lt;=($C$10-$B$10)/($D$10-$B$10),$B$10+SQRT(C937*($D$10-$B$10)*($C$10-$B$10)),$D$10-SQRT((1-C937)*($D$10-$B$10)*($D$10-$C$10))),"PERT",_xlfn.BETA.INV(C937,1+$B$6*($C$10-$B$10)/($D$10-$B$10),1+$B$6*($D$10-$C$10)/($D$10-$B$10),$B$10,$D$10))</f>
        <v>4974.2938038879765</v>
      </c>
      <c r="F937" s="88">
        <f t="shared" ca="1" si="43"/>
        <v>0.52637514219084913</v>
      </c>
      <c r="G937" s="89">
        <f t="shared" ca="1" si="44"/>
        <v>1.7183950887254555E-4</v>
      </c>
    </row>
    <row r="938" spans="1:7" x14ac:dyDescent="0.35">
      <c r="A938" s="84">
        <v>923</v>
      </c>
      <c r="B938" s="84">
        <f t="shared" ca="1" si="42"/>
        <v>0.50168968670718794</v>
      </c>
      <c r="C938" s="84">
        <f t="shared" ca="1" si="42"/>
        <v>0.98202219594409901</v>
      </c>
      <c r="D938" s="93" cm="1">
        <f t="array" aca="1" ref="D938" ca="1">_xlfn.SWITCH($B$4,"Normal MLE",EXP(_xlfn.NORM.INV(B938,LN($C$9),$E$9/$C$9)),"Uniforme",$B$9+($D$9-$B$9)*B938,"Triangular",IF(B938&lt;=($C$9-$B$9)/($D$9-$B$9),$B$9+SQRT(B938*($D$9-$B$9)*($C$9-$B$9)),$D$9-SQRT((1-B938)*($D$9-$B$9)*($D$9-$C$9))),"PERT",_xlfn.BETA.INV(B938,1+$B$6*($C$9-$B$9)/($D$9-$B$9),1+$B$6*($D$9-$C$9)/($D$9-$B$9),$B$9,$D$9))</f>
        <v>1.9482568032988363</v>
      </c>
      <c r="E938" s="94" cm="1">
        <f t="array" aca="1" ref="E938" ca="1">_xlfn.SWITCH($B$4,"Normal MLE",EXP(_xlfn.NORM.INV(C938,LN($C$10),$E$10/$C$10)),"Uniforme",$B$10+($D$10-$B$10)*C938,"Triangular",IF(C938&lt;=($C$10-$B$10)/($D$10-$B$10),$B$10+SQRT(C938*($D$10-$B$10)*($C$10-$B$10)),$D$10-SQRT((1-C938)*($D$10-$B$10)*($D$10-$C$10))),"PERT",_xlfn.BETA.INV(C938,1+$B$6*($C$10-$B$10)/($D$10-$B$10),1+$B$6*($D$10-$C$10)/($D$10-$B$10),$B$10,$D$10))</f>
        <v>5622.6270688833674</v>
      </c>
      <c r="F938" s="88">
        <f t="shared" ca="1" si="43"/>
        <v>0.59743969841558286</v>
      </c>
      <c r="G938" s="89">
        <f t="shared" ca="1" si="44"/>
        <v>1.4989027581237889E-4</v>
      </c>
    </row>
    <row r="939" spans="1:7" x14ac:dyDescent="0.35">
      <c r="A939" s="84">
        <v>924</v>
      </c>
      <c r="B939" s="84">
        <f t="shared" ca="1" si="42"/>
        <v>0.56081556363431173</v>
      </c>
      <c r="C939" s="84">
        <f t="shared" ca="1" si="42"/>
        <v>0.23700865720277009</v>
      </c>
      <c r="D939" s="93" cm="1">
        <f t="array" aca="1" ref="D939" ca="1">_xlfn.SWITCH($B$4,"Normal MLE",EXP(_xlfn.NORM.INV(B939,LN($C$9),$E$9/$C$9)),"Uniforme",$B$9+($D$9-$B$9)*B939,"Triangular",IF(B939&lt;=($C$9-$B$9)/($D$9-$B$9),$B$9+SQRT(B939*($D$9-$B$9)*($C$9-$B$9)),$D$9-SQRT((1-B939)*($D$9-$B$9)*($D$9-$C$9))),"PERT",_xlfn.BETA.INV(B939,1+$B$6*($C$9-$B$9)/($D$9-$B$9),1+$B$6*($D$9-$C$9)/($D$9-$B$9),$B$9,$D$9))</f>
        <v>1.9687790406995367</v>
      </c>
      <c r="E939" s="94" cm="1">
        <f t="array" aca="1" ref="E939" ca="1">_xlfn.SWITCH($B$4,"Normal MLE",EXP(_xlfn.NORM.INV(C939,LN($C$10),$E$10/$C$10)),"Uniforme",$B$10+($D$10-$B$10)*C939,"Triangular",IF(C939&lt;=($C$10-$B$10)/($D$10-$B$10),$B$10+SQRT(C939*($D$10-$B$10)*($C$10-$B$10)),$D$10-SQRT((1-C939)*($D$10-$B$10)*($D$10-$C$10))),"PERT",_xlfn.BETA.INV(C939,1+$B$6*($C$10-$B$10)/($D$10-$B$10),1+$B$6*($D$10-$C$10)/($D$10-$B$10),$B$10,$D$10))</f>
        <v>4932.6679743803552</v>
      </c>
      <c r="F939" s="88">
        <f t="shared" ca="1" si="43"/>
        <v>0.5158658263075605</v>
      </c>
      <c r="G939" s="89">
        <f t="shared" ca="1" si="44"/>
        <v>1.6806286062012813E-4</v>
      </c>
    </row>
    <row r="940" spans="1:7" x14ac:dyDescent="0.35">
      <c r="A940" s="84">
        <v>925</v>
      </c>
      <c r="B940" s="84">
        <f t="shared" ca="1" si="42"/>
        <v>0.21377134461475789</v>
      </c>
      <c r="C940" s="84">
        <f t="shared" ca="1" si="42"/>
        <v>6.9795922212976258E-3</v>
      </c>
      <c r="D940" s="93" cm="1">
        <f t="array" aca="1" ref="D940" ca="1">_xlfn.SWITCH($B$4,"Normal MLE",EXP(_xlfn.NORM.INV(B940,LN($C$9),$E$9/$C$9)),"Uniforme",$B$9+($D$9-$B$9)*B940,"Triangular",IF(B940&lt;=($C$9-$B$9)/($D$9-$B$9),$B$9+SQRT(B940*($D$9-$B$9)*($C$9-$B$9)),$D$9-SQRT((1-B940)*($D$9-$B$9)*($D$9-$C$9))),"PERT",_xlfn.BETA.INV(B940,1+$B$6*($C$9-$B$9)/($D$9-$B$9),1+$B$6*($D$9-$C$9)/($D$9-$B$9),$B$9,$D$9))</f>
        <v>1.8418411584144481</v>
      </c>
      <c r="E940" s="94" cm="1">
        <f t="array" aca="1" ref="E940" ca="1">_xlfn.SWITCH($B$4,"Normal MLE",EXP(_xlfn.NORM.INV(C940,LN($C$10),$E$10/$C$10)),"Uniforme",$B$10+($D$10-$B$10)*C940,"Triangular",IF(C940&lt;=($C$10-$B$10)/($D$10-$B$10),$B$10+SQRT(C940*($D$10-$B$10)*($C$10-$B$10)),$D$10-SQRT((1-C940)*($D$10-$B$10)*($D$10-$C$10))),"PERT",_xlfn.BETA.INV(C940,1+$B$6*($C$10-$B$10)/($D$10-$B$10),1+$B$6*($D$10-$C$10)/($D$10-$B$10),$B$10,$D$10))</f>
        <v>4548.5149275786735</v>
      </c>
      <c r="F940" s="88">
        <f t="shared" ca="1" si="43"/>
        <v>0.45419114184786402</v>
      </c>
      <c r="G940" s="89">
        <f t="shared" ca="1" si="44"/>
        <v>1.6505867824479606E-4</v>
      </c>
    </row>
    <row r="941" spans="1:7" x14ac:dyDescent="0.35">
      <c r="A941" s="84">
        <v>926</v>
      </c>
      <c r="B941" s="84">
        <f t="shared" ca="1" si="42"/>
        <v>0.78353587548721004</v>
      </c>
      <c r="C941" s="84">
        <f t="shared" ca="1" si="42"/>
        <v>0.46632013583910037</v>
      </c>
      <c r="D941" s="93" cm="1">
        <f t="array" aca="1" ref="D941" ca="1">_xlfn.SWITCH($B$4,"Normal MLE",EXP(_xlfn.NORM.INV(B941,LN($C$9),$E$9/$C$9)),"Uniforme",$B$9+($D$9-$B$9)*B941,"Triangular",IF(B941&lt;=($C$9-$B$9)/($D$9-$B$9),$B$9+SQRT(B941*($D$9-$B$9)*($C$9-$B$9)),$D$9-SQRT((1-B941)*($D$9-$B$9)*($D$9-$C$9))),"PERT",_xlfn.BETA.INV(B941,1+$B$6*($C$9-$B$9)/($D$9-$B$9),1+$B$6*($D$9-$C$9)/($D$9-$B$9),$B$9,$D$9))</f>
        <v>2.0582560843769064</v>
      </c>
      <c r="E941" s="94" cm="1">
        <f t="array" aca="1" ref="E941" ca="1">_xlfn.SWITCH($B$4,"Normal MLE",EXP(_xlfn.NORM.INV(C941,LN($C$10),$E$10/$C$10)),"Uniforme",$B$10+($D$10-$B$10)*C941,"Triangular",IF(C941&lt;=($C$10-$B$10)/($D$10-$B$10),$B$10+SQRT(C941*($D$10-$B$10)*($C$10-$B$10)),$D$10-SQRT((1-C941)*($D$10-$B$10)*($D$10-$C$10))),"PERT",_xlfn.BETA.INV(C941,1+$B$6*($C$10-$B$10)/($D$10-$B$10),1+$B$6*($D$10-$C$10)/($D$10-$B$10),$B$10,$D$10))</f>
        <v>5079.7567420562827</v>
      </c>
      <c r="F941" s="88">
        <f t="shared" ca="1" si="43"/>
        <v>0.54254279133822736</v>
      </c>
      <c r="G941" s="89">
        <f t="shared" ca="1" si="44"/>
        <v>1.7071102857816868E-4</v>
      </c>
    </row>
    <row r="942" spans="1:7" x14ac:dyDescent="0.35">
      <c r="A942" s="84">
        <v>927</v>
      </c>
      <c r="B942" s="84">
        <f t="shared" ca="1" si="42"/>
        <v>0.48517007718856886</v>
      </c>
      <c r="C942" s="84">
        <f t="shared" ca="1" si="42"/>
        <v>5.9807408925483641E-2</v>
      </c>
      <c r="D942" s="93" cm="1">
        <f t="array" aca="1" ref="D942" ca="1">_xlfn.SWITCH($B$4,"Normal MLE",EXP(_xlfn.NORM.INV(B942,LN($C$9),$E$9/$C$9)),"Uniforme",$B$9+($D$9-$B$9)*B942,"Triangular",IF(B942&lt;=($C$9-$B$9)/($D$9-$B$9),$B$9+SQRT(B942*($D$9-$B$9)*($C$9-$B$9)),$D$9-SQRT((1-B942)*($D$9-$B$9)*($D$9-$C$9))),"PERT",_xlfn.BETA.INV(B942,1+$B$6*($C$9-$B$9)/($D$9-$B$9),1+$B$6*($D$9-$C$9)/($D$9-$B$9),$B$9,$D$9))</f>
        <v>1.9425828535714749</v>
      </c>
      <c r="E942" s="94" cm="1">
        <f t="array" aca="1" ref="E942" ca="1">_xlfn.SWITCH($B$4,"Normal MLE",EXP(_xlfn.NORM.INV(C942,LN($C$10),$E$10/$C$10)),"Uniforme",$B$10+($D$10-$B$10)*C942,"Triangular",IF(C942&lt;=($C$10-$B$10)/($D$10-$B$10),$B$10+SQRT(C942*($D$10-$B$10)*($C$10-$B$10)),$D$10-SQRT((1-C942)*($D$10-$B$10)*($D$10-$C$10))),"PERT",_xlfn.BETA.INV(C942,1+$B$6*($C$10-$B$10)/($D$10-$B$10),1+$B$6*($D$10-$C$10)/($D$10-$B$10),$B$10,$D$10))</f>
        <v>4743.4797309377664</v>
      </c>
      <c r="F942" s="88">
        <f t="shared" ca="1" si="43"/>
        <v>0.4876844522639166</v>
      </c>
      <c r="G942" s="89">
        <f t="shared" ca="1" si="44"/>
        <v>1.7007299151602654E-4</v>
      </c>
    </row>
    <row r="943" spans="1:7" x14ac:dyDescent="0.35">
      <c r="A943" s="84">
        <v>928</v>
      </c>
      <c r="B943" s="84">
        <f t="shared" ca="1" si="42"/>
        <v>0.15620899073085903</v>
      </c>
      <c r="C943" s="84">
        <f t="shared" ca="1" si="42"/>
        <v>0.41383238211929119</v>
      </c>
      <c r="D943" s="93" cm="1">
        <f t="array" aca="1" ref="D943" ca="1">_xlfn.SWITCH($B$4,"Normal MLE",EXP(_xlfn.NORM.INV(B943,LN($C$9),$E$9/$C$9)),"Uniforme",$B$9+($D$9-$B$9)*B943,"Triangular",IF(B943&lt;=($C$9-$B$9)/($D$9-$B$9),$B$9+SQRT(B943*($D$9-$B$9)*($C$9-$B$9)),$D$9-SQRT((1-B943)*($D$9-$B$9)*($D$9-$C$9))),"PERT",_xlfn.BETA.INV(B943,1+$B$6*($C$9-$B$9)/($D$9-$B$9),1+$B$6*($D$9-$C$9)/($D$9-$B$9),$B$9,$D$9))</f>
        <v>1.8139408345721539</v>
      </c>
      <c r="E943" s="94" cm="1">
        <f t="array" aca="1" ref="E943" ca="1">_xlfn.SWITCH($B$4,"Normal MLE",EXP(_xlfn.NORM.INV(C943,LN($C$10),$E$10/$C$10)),"Uniforme",$B$10+($D$10-$B$10)*C943,"Triangular",IF(C943&lt;=($C$10-$B$10)/($D$10-$B$10),$B$10+SQRT(C943*($D$10-$B$10)*($C$10-$B$10)),$D$10-SQRT((1-C943)*($D$10-$B$10)*($D$10-$C$10))),"PERT",_xlfn.BETA.INV(C943,1+$B$6*($C$10-$B$10)/($D$10-$B$10),1+$B$6*($D$10-$C$10)/($D$10-$B$10),$B$10,$D$10))</f>
        <v>5048.3739961992505</v>
      </c>
      <c r="F943" s="88">
        <f t="shared" ca="1" si="43"/>
        <v>0.51914067741601144</v>
      </c>
      <c r="G943" s="89">
        <f t="shared" ca="1" si="44"/>
        <v>1.5433844912038353E-4</v>
      </c>
    </row>
    <row r="944" spans="1:7" x14ac:dyDescent="0.35">
      <c r="A944" s="84">
        <v>929</v>
      </c>
      <c r="B944" s="84">
        <f t="shared" ca="1" si="42"/>
        <v>9.8151513402614965E-2</v>
      </c>
      <c r="C944" s="84">
        <f t="shared" ca="1" si="42"/>
        <v>0.20916974124230747</v>
      </c>
      <c r="D944" s="93" cm="1">
        <f t="array" aca="1" ref="D944" ca="1">_xlfn.SWITCH($B$4,"Normal MLE",EXP(_xlfn.NORM.INV(B944,LN($C$9),$E$9/$C$9)),"Uniforme",$B$9+($D$9-$B$9)*B944,"Triangular",IF(B944&lt;=($C$9-$B$9)/($D$9-$B$9),$B$9+SQRT(B944*($D$9-$B$9)*($C$9-$B$9)),$D$9-SQRT((1-B944)*($D$9-$B$9)*($D$9-$C$9))),"PERT",_xlfn.BETA.INV(B944,1+$B$6*($C$9-$B$9)/($D$9-$B$9),1+$B$6*($D$9-$C$9)/($D$9-$B$9),$B$9,$D$9))</f>
        <v>1.7782750145509265</v>
      </c>
      <c r="E944" s="94" cm="1">
        <f t="array" aca="1" ref="E944" ca="1">_xlfn.SWITCH($B$4,"Normal MLE",EXP(_xlfn.NORM.INV(C944,LN($C$10),$E$10/$C$10)),"Uniforme",$B$10+($D$10-$B$10)*C944,"Triangular",IF(C944&lt;=($C$10-$B$10)/($D$10-$B$10),$B$10+SQRT(C944*($D$10-$B$10)*($C$10-$B$10)),$D$10-SQRT((1-C944)*($D$10-$B$10)*($D$10-$C$10))),"PERT",_xlfn.BETA.INV(C944,1+$B$6*($C$10-$B$10)/($D$10-$B$10),1+$B$6*($D$10-$C$10)/($D$10-$B$10),$B$10,$D$10))</f>
        <v>4911.2876274842311</v>
      </c>
      <c r="F944" s="88">
        <f t="shared" ca="1" si="43"/>
        <v>0.49946734016582006</v>
      </c>
      <c r="G944" s="89">
        <f t="shared" ca="1" si="44"/>
        <v>1.541483268438448E-4</v>
      </c>
    </row>
    <row r="945" spans="1:7" x14ac:dyDescent="0.35">
      <c r="A945" s="84">
        <v>930</v>
      </c>
      <c r="B945" s="84">
        <f t="shared" ca="1" si="42"/>
        <v>0.42833041318520071</v>
      </c>
      <c r="C945" s="84">
        <f t="shared" ca="1" si="42"/>
        <v>0.85871500087809083</v>
      </c>
      <c r="D945" s="93" cm="1">
        <f t="array" aca="1" ref="D945" ca="1">_xlfn.SWITCH($B$4,"Normal MLE",EXP(_xlfn.NORM.INV(B945,LN($C$9),$E$9/$C$9)),"Uniforme",$B$9+($D$9-$B$9)*B945,"Triangular",IF(B945&lt;=($C$9-$B$9)/($D$9-$B$9),$B$9+SQRT(B945*($D$9-$B$9)*($C$9-$B$9)),$D$9-SQRT((1-B945)*($D$9-$B$9)*($D$9-$C$9))),"PERT",_xlfn.BETA.INV(B945,1+$B$6*($C$9-$B$9)/($D$9-$B$9),1+$B$6*($D$9-$C$9)/($D$9-$B$9),$B$9,$D$9))</f>
        <v>1.9230590092874829</v>
      </c>
      <c r="E945" s="94" cm="1">
        <f t="array" aca="1" ref="E945" ca="1">_xlfn.SWITCH($B$4,"Normal MLE",EXP(_xlfn.NORM.INV(C945,LN($C$10),$E$10/$C$10)),"Uniforme",$B$10+($D$10-$B$10)*C945,"Triangular",IF(C945&lt;=($C$10-$B$10)/($D$10-$B$10),$B$10+SQRT(C945*($D$10-$B$10)*($C$10-$B$10)),$D$10-SQRT((1-C945)*($D$10-$B$10)*($D$10-$C$10))),"PERT",_xlfn.BETA.INV(C945,1+$B$6*($C$10-$B$10)/($D$10-$B$10),1+$B$6*($D$10-$C$10)/($D$10-$B$10),$B$10,$D$10))</f>
        <v>5361.268959215633</v>
      </c>
      <c r="F945" s="88">
        <f t="shared" ca="1" si="43"/>
        <v>0.5658983824274656</v>
      </c>
      <c r="G945" s="89">
        <f t="shared" ca="1" si="44"/>
        <v>1.5489712022388085E-4</v>
      </c>
    </row>
    <row r="946" spans="1:7" x14ac:dyDescent="0.35">
      <c r="A946" s="84">
        <v>931</v>
      </c>
      <c r="B946" s="84">
        <f t="shared" ca="1" si="42"/>
        <v>0.65701543656010464</v>
      </c>
      <c r="C946" s="84">
        <f t="shared" ca="1" si="42"/>
        <v>0.76279995482677321</v>
      </c>
      <c r="D946" s="93" cm="1">
        <f t="array" aca="1" ref="D946" ca="1">_xlfn.SWITCH($B$4,"Normal MLE",EXP(_xlfn.NORM.INV(B946,LN($C$9),$E$9/$C$9)),"Uniforme",$B$9+($D$9-$B$9)*B946,"Triangular",IF(B946&lt;=($C$9-$B$9)/($D$9-$B$9),$B$9+SQRT(B946*($D$9-$B$9)*($C$9-$B$9)),$D$9-SQRT((1-B946)*($D$9-$B$9)*($D$9-$C$9))),"PERT",_xlfn.BETA.INV(B946,1+$B$6*($C$9-$B$9)/($D$9-$B$9),1+$B$6*($D$9-$C$9)/($D$9-$B$9),$B$9,$D$9))</f>
        <v>2.003928623468854</v>
      </c>
      <c r="E946" s="94" cm="1">
        <f t="array" aca="1" ref="E946" ca="1">_xlfn.SWITCH($B$4,"Normal MLE",EXP(_xlfn.NORM.INV(C946,LN($C$10),$E$10/$C$10)),"Uniforme",$B$10+($D$10-$B$10)*C946,"Triangular",IF(C946&lt;=($C$10-$B$10)/($D$10-$B$10),$B$10+SQRT(C946*($D$10-$B$10)*($C$10-$B$10)),$D$10-SQRT((1-C946)*($D$10-$B$10)*($D$10-$C$10))),"PERT",_xlfn.BETA.INV(C946,1+$B$6*($C$10-$B$10)/($D$10-$B$10),1+$B$6*($D$10-$C$10)/($D$10-$B$10),$B$10,$D$10))</f>
        <v>5272.3931879459951</v>
      </c>
      <c r="F946" s="88">
        <f t="shared" ca="1" si="43"/>
        <v>0.5627306996690753</v>
      </c>
      <c r="G946" s="89">
        <f t="shared" ca="1" si="44"/>
        <v>1.6208993138039474E-4</v>
      </c>
    </row>
    <row r="947" spans="1:7" x14ac:dyDescent="0.35">
      <c r="A947" s="84">
        <v>932</v>
      </c>
      <c r="B947" s="84">
        <f t="shared" ca="1" si="42"/>
        <v>0.88796808610966449</v>
      </c>
      <c r="C947" s="84">
        <f t="shared" ca="1" si="42"/>
        <v>0.47577385885955303</v>
      </c>
      <c r="D947" s="93" cm="1">
        <f t="array" aca="1" ref="D947" ca="1">_xlfn.SWITCH($B$4,"Normal MLE",EXP(_xlfn.NORM.INV(B947,LN($C$9),$E$9/$C$9)),"Uniforme",$B$9+($D$9-$B$9)*B947,"Triangular",IF(B947&lt;=($C$9-$B$9)/($D$9-$B$9),$B$9+SQRT(B947*($D$9-$B$9)*($C$9-$B$9)),$D$9-SQRT((1-B947)*($D$9-$B$9)*($D$9-$C$9))),"PERT",_xlfn.BETA.INV(B947,1+$B$6*($C$9-$B$9)/($D$9-$B$9),1+$B$6*($D$9-$C$9)/($D$9-$B$9),$B$9,$D$9))</f>
        <v>2.1217734380474589</v>
      </c>
      <c r="E947" s="94" cm="1">
        <f t="array" aca="1" ref="E947" ca="1">_xlfn.SWITCH($B$4,"Normal MLE",EXP(_xlfn.NORM.INV(C947,LN($C$10),$E$10/$C$10)),"Uniforme",$B$10+($D$10-$B$10)*C947,"Triangular",IF(C947&lt;=($C$10-$B$10)/($D$10-$B$10),$B$10+SQRT(C947*($D$10-$B$10)*($C$10-$B$10)),$D$10-SQRT((1-C947)*($D$10-$B$10)*($D$10-$C$10))),"PERT",_xlfn.BETA.INV(C947,1+$B$6*($C$10-$B$10)/($D$10-$B$10),1+$B$6*($D$10-$C$10)/($D$10-$B$10),$B$10,$D$10))</f>
        <v>5085.3763376950419</v>
      </c>
      <c r="F947" s="88">
        <f t="shared" ca="1" si="43"/>
        <v>0.54833681396280498</v>
      </c>
      <c r="G947" s="89">
        <f t="shared" ca="1" si="44"/>
        <v>1.7476873030538448E-4</v>
      </c>
    </row>
    <row r="948" spans="1:7" x14ac:dyDescent="0.35">
      <c r="A948" s="84">
        <v>933</v>
      </c>
      <c r="B948" s="84">
        <f t="shared" ca="1" si="42"/>
        <v>0.54517651089559938</v>
      </c>
      <c r="C948" s="84">
        <f t="shared" ca="1" si="42"/>
        <v>0.37641931897438763</v>
      </c>
      <c r="D948" s="93" cm="1">
        <f t="array" aca="1" ref="D948" ca="1">_xlfn.SWITCH($B$4,"Normal MLE",EXP(_xlfn.NORM.INV(B948,LN($C$9),$E$9/$C$9)),"Uniforme",$B$9+($D$9-$B$9)*B948,"Triangular",IF(B948&lt;=($C$9-$B$9)/($D$9-$B$9),$B$9+SQRT(B948*($D$9-$B$9)*($C$9-$B$9)),$D$9-SQRT((1-B948)*($D$9-$B$9)*($D$9-$C$9))),"PERT",_xlfn.BETA.INV(B948,1+$B$6*($C$9-$B$9)/($D$9-$B$9),1+$B$6*($D$9-$C$9)/($D$9-$B$9),$B$9,$D$9))</f>
        <v>1.9633029650113363</v>
      </c>
      <c r="E948" s="94" cm="1">
        <f t="array" aca="1" ref="E948" ca="1">_xlfn.SWITCH($B$4,"Normal MLE",EXP(_xlfn.NORM.INV(C948,LN($C$10),$E$10/$C$10)),"Uniforme",$B$10+($D$10-$B$10)*C948,"Triangular",IF(C948&lt;=($C$10-$B$10)/($D$10-$B$10),$B$10+SQRT(C948*($D$10-$B$10)*($C$10-$B$10)),$D$10-SQRT((1-C948)*($D$10-$B$10)*($D$10-$C$10))),"PERT",_xlfn.BETA.INV(C948,1+$B$6*($C$10-$B$10)/($D$10-$B$10),1+$B$6*($D$10-$C$10)/($D$10-$B$10),$B$10,$D$10))</f>
        <v>5025.5908440281855</v>
      </c>
      <c r="F948" s="88">
        <f t="shared" ca="1" si="43"/>
        <v>0.52791119557885147</v>
      </c>
      <c r="G948" s="89">
        <f t="shared" ca="1" si="44"/>
        <v>1.6552805135926888E-4</v>
      </c>
    </row>
    <row r="949" spans="1:7" x14ac:dyDescent="0.35">
      <c r="A949" s="84">
        <v>934</v>
      </c>
      <c r="B949" s="84">
        <f t="shared" ca="1" si="42"/>
        <v>0.3378297225601723</v>
      </c>
      <c r="C949" s="84">
        <f t="shared" ca="1" si="42"/>
        <v>0.61295904495368081</v>
      </c>
      <c r="D949" s="93" cm="1">
        <f t="array" aca="1" ref="D949" ca="1">_xlfn.SWITCH($B$4,"Normal MLE",EXP(_xlfn.NORM.INV(B949,LN($C$9),$E$9/$C$9)),"Uniforme",$B$9+($D$9-$B$9)*B949,"Triangular",IF(B949&lt;=($C$9-$B$9)/($D$9-$B$9),$B$9+SQRT(B949*($D$9-$B$9)*($C$9-$B$9)),$D$9-SQRT((1-B949)*($D$9-$B$9)*($D$9-$C$9))),"PERT",_xlfn.BETA.INV(B949,1+$B$6*($C$9-$B$9)/($D$9-$B$9),1+$B$6*($D$9-$C$9)/($D$9-$B$9),$B$9,$D$9))</f>
        <v>1.8911284587238155</v>
      </c>
      <c r="E949" s="94" cm="1">
        <f t="array" aca="1" ref="E949" ca="1">_xlfn.SWITCH($B$4,"Normal MLE",EXP(_xlfn.NORM.INV(C949,LN($C$10),$E$10/$C$10)),"Uniforme",$B$10+($D$10-$B$10)*C949,"Triangular",IF(C949&lt;=($C$10-$B$10)/($D$10-$B$10),$B$10+SQRT(C949*($D$10-$B$10)*($C$10-$B$10)),$D$10-SQRT((1-C949)*($D$10-$B$10)*($D$10-$C$10))),"PERT",_xlfn.BETA.INV(C949,1+$B$6*($C$10-$B$10)/($D$10-$B$10),1+$B$6*($D$10-$C$10)/($D$10-$B$10),$B$10,$D$10))</f>
        <v>5168.3516375695808</v>
      </c>
      <c r="F949" s="88">
        <f t="shared" ca="1" si="43"/>
        <v>0.54013752450625652</v>
      </c>
      <c r="G949" s="89">
        <f t="shared" ca="1" si="44"/>
        <v>1.5728880093752505E-4</v>
      </c>
    </row>
    <row r="950" spans="1:7" x14ac:dyDescent="0.35">
      <c r="A950" s="84">
        <v>935</v>
      </c>
      <c r="B950" s="84">
        <f t="shared" ca="1" si="42"/>
        <v>0.56544354473280378</v>
      </c>
      <c r="C950" s="84">
        <f t="shared" ca="1" si="42"/>
        <v>0.11438083280559808</v>
      </c>
      <c r="D950" s="93" cm="1">
        <f t="array" aca="1" ref="D950" ca="1">_xlfn.SWITCH($B$4,"Normal MLE",EXP(_xlfn.NORM.INV(B950,LN($C$9),$E$9/$C$9)),"Uniforme",$B$9+($D$9-$B$9)*B950,"Triangular",IF(B950&lt;=($C$9-$B$9)/($D$9-$B$9),$B$9+SQRT(B950*($D$9-$B$9)*($C$9-$B$9)),$D$9-SQRT((1-B950)*($D$9-$B$9)*($D$9-$C$9))),"PERT",_xlfn.BETA.INV(B950,1+$B$6*($C$9-$B$9)/($D$9-$B$9),1+$B$6*($D$9-$C$9)/($D$9-$B$9),$B$9,$D$9))</f>
        <v>1.9704084753307511</v>
      </c>
      <c r="E950" s="94" cm="1">
        <f t="array" aca="1" ref="E950" ca="1">_xlfn.SWITCH($B$4,"Normal MLE",EXP(_xlfn.NORM.INV(C950,LN($C$10),$E$10/$C$10)),"Uniforme",$B$10+($D$10-$B$10)*C950,"Triangular",IF(C950&lt;=($C$10-$B$10)/($D$10-$B$10),$B$10+SQRT(C950*($D$10-$B$10)*($C$10-$B$10)),$D$10-SQRT((1-C950)*($D$10-$B$10)*($D$10-$C$10))),"PERT",_xlfn.BETA.INV(C950,1+$B$6*($C$10-$B$10)/($D$10-$B$10),1+$B$6*($D$10-$C$10)/($D$10-$B$10),$B$10,$D$10))</f>
        <v>4822.0060368358636</v>
      </c>
      <c r="F950" s="88">
        <f t="shared" ca="1" si="43"/>
        <v>0.50060561081904775</v>
      </c>
      <c r="G950" s="89">
        <f t="shared" ca="1" si="44"/>
        <v>1.7063116238697553E-4</v>
      </c>
    </row>
    <row r="951" spans="1:7" x14ac:dyDescent="0.35">
      <c r="A951" s="84">
        <v>936</v>
      </c>
      <c r="B951" s="84">
        <f t="shared" ca="1" si="42"/>
        <v>7.8733258425977337E-2</v>
      </c>
      <c r="C951" s="84">
        <f t="shared" ca="1" si="42"/>
        <v>0.56800459435075257</v>
      </c>
      <c r="D951" s="93" cm="1">
        <f t="array" aca="1" ref="D951" ca="1">_xlfn.SWITCH($B$4,"Normal MLE",EXP(_xlfn.NORM.INV(B951,LN($C$9),$E$9/$C$9)),"Uniforme",$B$9+($D$9-$B$9)*B951,"Triangular",IF(B951&lt;=($C$9-$B$9)/($D$9-$B$9),$B$9+SQRT(B951*($D$9-$B$9)*($C$9-$B$9)),$D$9-SQRT((1-B951)*($D$9-$B$9)*($D$9-$C$9))),"PERT",_xlfn.BETA.INV(B951,1+$B$6*($C$9-$B$9)/($D$9-$B$9),1+$B$6*($D$9-$C$9)/($D$9-$B$9),$B$9,$D$9))</f>
        <v>1.7631266086295143</v>
      </c>
      <c r="E951" s="94" cm="1">
        <f t="array" aca="1" ref="E951" ca="1">_xlfn.SWITCH($B$4,"Normal MLE",EXP(_xlfn.NORM.INV(C951,LN($C$10),$E$10/$C$10)),"Uniforme",$B$10+($D$10-$B$10)*C951,"Triangular",IF(C951&lt;=($C$10-$B$10)/($D$10-$B$10),$B$10+SQRT(C951*($D$10-$B$10)*($C$10-$B$10)),$D$10-SQRT((1-C951)*($D$10-$B$10)*($D$10-$C$10))),"PERT",_xlfn.BETA.INV(C951,1+$B$6*($C$10-$B$10)/($D$10-$B$10),1+$B$6*($D$10-$C$10)/($D$10-$B$10),$B$10,$D$10))</f>
        <v>5140.5895203146392</v>
      </c>
      <c r="F951" s="88">
        <f t="shared" ca="1" si="43"/>
        <v>0.52595323521955839</v>
      </c>
      <c r="G951" s="89">
        <f t="shared" ca="1" si="44"/>
        <v>1.4896108265927312E-4</v>
      </c>
    </row>
    <row r="952" spans="1:7" x14ac:dyDescent="0.35">
      <c r="A952" s="84">
        <v>937</v>
      </c>
      <c r="B952" s="84">
        <f t="shared" ca="1" si="42"/>
        <v>0.95422000525084971</v>
      </c>
      <c r="C952" s="84">
        <f t="shared" ca="1" si="42"/>
        <v>0.85002420458020556</v>
      </c>
      <c r="D952" s="93" cm="1">
        <f t="array" aca="1" ref="D952" ca="1">_xlfn.SWITCH($B$4,"Normal MLE",EXP(_xlfn.NORM.INV(B952,LN($C$9),$E$9/$C$9)),"Uniforme",$B$9+($D$9-$B$9)*B952,"Triangular",IF(B952&lt;=($C$9-$B$9)/($D$9-$B$9),$B$9+SQRT(B952*($D$9-$B$9)*($C$9-$B$9)),$D$9-SQRT((1-B952)*($D$9-$B$9)*($D$9-$C$9))),"PERT",_xlfn.BETA.INV(B952,1+$B$6*($C$9-$B$9)/($D$9-$B$9),1+$B$6*($D$9-$C$9)/($D$9-$B$9),$B$9,$D$9))</f>
        <v>2.193394419570815</v>
      </c>
      <c r="E952" s="94" cm="1">
        <f t="array" aca="1" ref="E952" ca="1">_xlfn.SWITCH($B$4,"Normal MLE",EXP(_xlfn.NORM.INV(C952,LN($C$10),$E$10/$C$10)),"Uniforme",$B$10+($D$10-$B$10)*C952,"Triangular",IF(C952&lt;=($C$10-$B$10)/($D$10-$B$10),$B$10+SQRT(C952*($D$10-$B$10)*($C$10-$B$10)),$D$10-SQRT((1-C952)*($D$10-$B$10)*($D$10-$C$10))),"PERT",_xlfn.BETA.INV(C952,1+$B$6*($C$10-$B$10)/($D$10-$B$10),1+$B$6*($D$10-$C$10)/($D$10-$B$10),$B$10,$D$10))</f>
        <v>5351.790325847076</v>
      </c>
      <c r="F952" s="88">
        <f t="shared" ca="1" si="43"/>
        <v>0.58975807174572914</v>
      </c>
      <c r="G952" s="89">
        <f t="shared" ca="1" si="44"/>
        <v>1.7076537754996538E-4</v>
      </c>
    </row>
    <row r="953" spans="1:7" x14ac:dyDescent="0.35">
      <c r="A953" s="84">
        <v>938</v>
      </c>
      <c r="B953" s="84">
        <f t="shared" ca="1" si="42"/>
        <v>0.37434953527238601</v>
      </c>
      <c r="C953" s="84">
        <f t="shared" ca="1" si="42"/>
        <v>0.16453588499430571</v>
      </c>
      <c r="D953" s="93" cm="1">
        <f t="array" aca="1" ref="D953" ca="1">_xlfn.SWITCH($B$4,"Normal MLE",EXP(_xlfn.NORM.INV(B953,LN($C$9),$E$9/$C$9)),"Uniforme",$B$9+($D$9-$B$9)*B953,"Triangular",IF(B953&lt;=($C$9-$B$9)/($D$9-$B$9),$B$9+SQRT(B953*($D$9-$B$9)*($C$9-$B$9)),$D$9-SQRT((1-B953)*($D$9-$B$9)*($D$9-$C$9))),"PERT",_xlfn.BETA.INV(B953,1+$B$6*($C$9-$B$9)/($D$9-$B$9),1+$B$6*($D$9-$C$9)/($D$9-$B$9),$B$9,$D$9))</f>
        <v>1.904229610515116</v>
      </c>
      <c r="E953" s="94" cm="1">
        <f t="array" aca="1" ref="E953" ca="1">_xlfn.SWITCH($B$4,"Normal MLE",EXP(_xlfn.NORM.INV(C953,LN($C$10),$E$10/$C$10)),"Uniforme",$B$10+($D$10-$B$10)*C953,"Triangular",IF(C953&lt;=($C$10-$B$10)/($D$10-$B$10),$B$10+SQRT(C953*($D$10-$B$10)*($C$10-$B$10)),$D$10-SQRT((1-C953)*($D$10-$B$10)*($D$10-$C$10))),"PERT",_xlfn.BETA.INV(C953,1+$B$6*($C$10-$B$10)/($D$10-$B$10),1+$B$6*($D$10-$C$10)/($D$10-$B$10),$B$10,$D$10))</f>
        <v>4873.3414180609216</v>
      </c>
      <c r="F953" s="88">
        <f t="shared" ca="1" si="43"/>
        <v>0.50330308296660942</v>
      </c>
      <c r="G953" s="89">
        <f t="shared" ca="1" si="44"/>
        <v>1.6450122775801501E-4</v>
      </c>
    </row>
    <row r="954" spans="1:7" x14ac:dyDescent="0.35">
      <c r="A954" s="84">
        <v>939</v>
      </c>
      <c r="B954" s="84">
        <f t="shared" ca="1" si="42"/>
        <v>0.35764876421145331</v>
      </c>
      <c r="C954" s="84">
        <f t="shared" ca="1" si="42"/>
        <v>0.95654972357486912</v>
      </c>
      <c r="D954" s="93" cm="1">
        <f t="array" aca="1" ref="D954" ca="1">_xlfn.SWITCH($B$4,"Normal MLE",EXP(_xlfn.NORM.INV(B954,LN($C$9),$E$9/$C$9)),"Uniforme",$B$9+($D$9-$B$9)*B954,"Triangular",IF(B954&lt;=($C$9-$B$9)/($D$9-$B$9),$B$9+SQRT(B954*($D$9-$B$9)*($C$9-$B$9)),$D$9-SQRT((1-B954)*($D$9-$B$9)*($D$9-$C$9))),"PERT",_xlfn.BETA.INV(B954,1+$B$6*($C$9-$B$9)/($D$9-$B$9),1+$B$6*($D$9-$C$9)/($D$9-$B$9),$B$9,$D$9))</f>
        <v>1.8982857043083963</v>
      </c>
      <c r="E954" s="94" cm="1">
        <f t="array" aca="1" ref="E954" ca="1">_xlfn.SWITCH($B$4,"Normal MLE",EXP(_xlfn.NORM.INV(C954,LN($C$10),$E$10/$C$10)),"Uniforme",$B$10+($D$10-$B$10)*C954,"Triangular",IF(C954&lt;=($C$10-$B$10)/($D$10-$B$10),$B$10+SQRT(C954*($D$10-$B$10)*($C$10-$B$10)),$D$10-SQRT((1-C954)*($D$10-$B$10)*($D$10-$C$10))),"PERT",_xlfn.BETA.INV(C954,1+$B$6*($C$10-$B$10)/($D$10-$B$10),1+$B$6*($D$10-$C$10)/($D$10-$B$10),$B$10,$D$10))</f>
        <v>5522.6750396886382</v>
      </c>
      <c r="F954" s="88">
        <f t="shared" ca="1" si="43"/>
        <v>0.5815325151546723</v>
      </c>
      <c r="G954" s="89">
        <f t="shared" ca="1" si="44"/>
        <v>1.4960485801688311E-4</v>
      </c>
    </row>
    <row r="955" spans="1:7" x14ac:dyDescent="0.35">
      <c r="A955" s="84">
        <v>940</v>
      </c>
      <c r="B955" s="84">
        <f t="shared" ca="1" si="42"/>
        <v>0.88785170971175331</v>
      </c>
      <c r="C955" s="84">
        <f t="shared" ca="1" si="42"/>
        <v>8.3093876602253647E-2</v>
      </c>
      <c r="D955" s="93" cm="1">
        <f t="array" aca="1" ref="D955" ca="1">_xlfn.SWITCH($B$4,"Normal MLE",EXP(_xlfn.NORM.INV(B955,LN($C$9),$E$9/$C$9)),"Uniforme",$B$9+($D$9-$B$9)*B955,"Triangular",IF(B955&lt;=($C$9-$B$9)/($D$9-$B$9),$B$9+SQRT(B955*($D$9-$B$9)*($C$9-$B$9)),$D$9-SQRT((1-B955)*($D$9-$B$9)*($D$9-$C$9))),"PERT",_xlfn.BETA.INV(B955,1+$B$6*($C$9-$B$9)/($D$9-$B$9),1+$B$6*($D$9-$C$9)/($D$9-$B$9),$B$9,$D$9))</f>
        <v>2.1216822048669322</v>
      </c>
      <c r="E955" s="94" cm="1">
        <f t="array" aca="1" ref="E955" ca="1">_xlfn.SWITCH($B$4,"Normal MLE",EXP(_xlfn.NORM.INV(C955,LN($C$10),$E$10/$C$10)),"Uniforme",$B$10+($D$10-$B$10)*C955,"Triangular",IF(C955&lt;=($C$10-$B$10)/($D$10-$B$10),$B$10+SQRT(C955*($D$10-$B$10)*($C$10-$B$10)),$D$10-SQRT((1-C955)*($D$10-$B$10)*($D$10-$C$10))),"PERT",_xlfn.BETA.INV(C955,1+$B$6*($C$10-$B$10)/($D$10-$B$10),1+$B$6*($D$10-$C$10)/($D$10-$B$10),$B$10,$D$10))</f>
        <v>4781.5616238904486</v>
      </c>
      <c r="F955" s="88">
        <f t="shared" ca="1" si="43"/>
        <v>0.50420285782207364</v>
      </c>
      <c r="G955" s="89">
        <f t="shared" ca="1" si="44"/>
        <v>1.8313635006281468E-4</v>
      </c>
    </row>
    <row r="956" spans="1:7" x14ac:dyDescent="0.35">
      <c r="A956" s="84">
        <v>941</v>
      </c>
      <c r="B956" s="84">
        <f t="shared" ca="1" si="42"/>
        <v>0.58218380729585018</v>
      </c>
      <c r="C956" s="84">
        <f t="shared" ca="1" si="42"/>
        <v>0.33467844853638806</v>
      </c>
      <c r="D956" s="93" cm="1">
        <f t="array" aca="1" ref="D956" ca="1">_xlfn.SWITCH($B$4,"Normal MLE",EXP(_xlfn.NORM.INV(B956,LN($C$9),$E$9/$C$9)),"Uniforme",$B$9+($D$9-$B$9)*B956,"Triangular",IF(B956&lt;=($C$9-$B$9)/($D$9-$B$9),$B$9+SQRT(B956*($D$9-$B$9)*($C$9-$B$9)),$D$9-SQRT((1-B956)*($D$9-$B$9)*($D$9-$C$9))),"PERT",_xlfn.BETA.INV(B956,1+$B$6*($C$9-$B$9)/($D$9-$B$9),1+$B$6*($D$9-$C$9)/($D$9-$B$9),$B$9,$D$9))</f>
        <v>1.9763419549749619</v>
      </c>
      <c r="E956" s="94" cm="1">
        <f t="array" aca="1" ref="E956" ca="1">_xlfn.SWITCH($B$4,"Normal MLE",EXP(_xlfn.NORM.INV(C956,LN($C$10),$E$10/$C$10)),"Uniforme",$B$10+($D$10-$B$10)*C956,"Triangular",IF(C956&lt;=($C$10-$B$10)/($D$10-$B$10),$B$10+SQRT(C956*($D$10-$B$10)*($C$10-$B$10)),$D$10-SQRT((1-C956)*($D$10-$B$10)*($D$10-$C$10))),"PERT",_xlfn.BETA.INV(C956,1+$B$6*($C$10-$B$10)/($D$10-$B$10),1+$B$6*($D$10-$C$10)/($D$10-$B$10),$B$10,$D$10))</f>
        <v>4999.4356460835479</v>
      </c>
      <c r="F956" s="88">
        <f t="shared" ca="1" si="43"/>
        <v>0.52543376997395852</v>
      </c>
      <c r="G956" s="89">
        <f t="shared" ca="1" si="44"/>
        <v>1.6706660224605877E-4</v>
      </c>
    </row>
    <row r="957" spans="1:7" x14ac:dyDescent="0.35">
      <c r="A957" s="84">
        <v>942</v>
      </c>
      <c r="B957" s="84">
        <f t="shared" ca="1" si="42"/>
        <v>0.58743978758241566</v>
      </c>
      <c r="C957" s="84">
        <f t="shared" ca="1" si="42"/>
        <v>0.67437520847147636</v>
      </c>
      <c r="D957" s="93" cm="1">
        <f t="array" aca="1" ref="D957" ca="1">_xlfn.SWITCH($B$4,"Normal MLE",EXP(_xlfn.NORM.INV(B957,LN($C$9),$E$9/$C$9)),"Uniforme",$B$9+($D$9-$B$9)*B957,"Triangular",IF(B957&lt;=($C$9-$B$9)/($D$9-$B$9),$B$9+SQRT(B957*($D$9-$B$9)*($C$9-$B$9)),$D$9-SQRT((1-B957)*($D$9-$B$9)*($D$9-$C$9))),"PERT",_xlfn.BETA.INV(B957,1+$B$6*($C$9-$B$9)/($D$9-$B$9),1+$B$6*($D$9-$C$9)/($D$9-$B$9),$B$9,$D$9))</f>
        <v>1.9782189931515086</v>
      </c>
      <c r="E957" s="94" cm="1">
        <f t="array" aca="1" ref="E957" ca="1">_xlfn.SWITCH($B$4,"Normal MLE",EXP(_xlfn.NORM.INV(C957,LN($C$10),$E$10/$C$10)),"Uniforme",$B$10+($D$10-$B$10)*C957,"Triangular",IF(C957&lt;=($C$10-$B$10)/($D$10-$B$10),$B$10+SQRT(C957*($D$10-$B$10)*($C$10-$B$10)),$D$10-SQRT((1-C957)*($D$10-$B$10)*($D$10-$C$10))),"PERT",_xlfn.BETA.INV(C957,1+$B$6*($C$10-$B$10)/($D$10-$B$10),1+$B$6*($D$10-$C$10)/($D$10-$B$10),$B$10,$D$10))</f>
        <v>5208.1847036601212</v>
      </c>
      <c r="F957" s="88">
        <f t="shared" ca="1" si="43"/>
        <v>0.55252399725932966</v>
      </c>
      <c r="G957" s="89">
        <f t="shared" ca="1" si="44"/>
        <v>1.6210985837522606E-4</v>
      </c>
    </row>
    <row r="958" spans="1:7" x14ac:dyDescent="0.35">
      <c r="A958" s="84">
        <v>943</v>
      </c>
      <c r="B958" s="84">
        <f t="shared" ca="1" si="42"/>
        <v>0.13336488739708086</v>
      </c>
      <c r="C958" s="84">
        <f t="shared" ca="1" si="42"/>
        <v>0.55584738249009968</v>
      </c>
      <c r="D958" s="93" cm="1">
        <f t="array" aca="1" ref="D958" ca="1">_xlfn.SWITCH($B$4,"Normal MLE",EXP(_xlfn.NORM.INV(B958,LN($C$9),$E$9/$C$9)),"Uniforme",$B$9+($D$9-$B$9)*B958,"Triangular",IF(B958&lt;=($C$9-$B$9)/($D$9-$B$9),$B$9+SQRT(B958*($D$9-$B$9)*($C$9-$B$9)),$D$9-SQRT((1-B958)*($D$9-$B$9)*($D$9-$C$9))),"PERT",_xlfn.BETA.INV(B958,1+$B$6*($C$9-$B$9)/($D$9-$B$9),1+$B$6*($D$9-$C$9)/($D$9-$B$9),$B$9,$D$9))</f>
        <v>1.8011532167130648</v>
      </c>
      <c r="E958" s="94" cm="1">
        <f t="array" aca="1" ref="E958" ca="1">_xlfn.SWITCH($B$4,"Normal MLE",EXP(_xlfn.NORM.INV(C958,LN($C$10),$E$10/$C$10)),"Uniforme",$B$10+($D$10-$B$10)*C958,"Triangular",IF(C958&lt;=($C$10-$B$10)/($D$10-$B$10),$B$10+SQRT(C958*($D$10-$B$10)*($C$10-$B$10)),$D$10-SQRT((1-C958)*($D$10-$B$10)*($D$10-$C$10))),"PERT",_xlfn.BETA.INV(C958,1+$B$6*($C$10-$B$10)/($D$10-$B$10),1+$B$6*($D$10-$C$10)/($D$10-$B$10),$B$10,$D$10))</f>
        <v>5133.2157260234289</v>
      </c>
      <c r="F958" s="88">
        <f t="shared" ca="1" si="43"/>
        <v>0.52830052314910436</v>
      </c>
      <c r="G958" s="89">
        <f t="shared" ca="1" si="44"/>
        <v>1.5179366097922575E-4</v>
      </c>
    </row>
    <row r="959" spans="1:7" x14ac:dyDescent="0.35">
      <c r="A959" s="84">
        <v>944</v>
      </c>
      <c r="B959" s="84">
        <f t="shared" ca="1" si="42"/>
        <v>0.45383239220987637</v>
      </c>
      <c r="C959" s="84">
        <f t="shared" ca="1" si="42"/>
        <v>0.40325179483392737</v>
      </c>
      <c r="D959" s="93" cm="1">
        <f t="array" aca="1" ref="D959" ca="1">_xlfn.SWITCH($B$4,"Normal MLE",EXP(_xlfn.NORM.INV(B959,LN($C$9),$E$9/$C$9)),"Uniforme",$B$9+($D$9-$B$9)*B959,"Triangular",IF(B959&lt;=($C$9-$B$9)/($D$9-$B$9),$B$9+SQRT(B959*($D$9-$B$9)*($C$9-$B$9)),$D$9-SQRT((1-B959)*($D$9-$B$9)*($D$9-$C$9))),"PERT",_xlfn.BETA.INV(B959,1+$B$6*($C$9-$B$9)/($D$9-$B$9),1+$B$6*($D$9-$C$9)/($D$9-$B$9),$B$9,$D$9))</f>
        <v>1.9318328156753923</v>
      </c>
      <c r="E959" s="94" cm="1">
        <f t="array" aca="1" ref="E959" ca="1">_xlfn.SWITCH($B$4,"Normal MLE",EXP(_xlfn.NORM.INV(C959,LN($C$10),$E$10/$C$10)),"Uniforme",$B$10+($D$10-$B$10)*C959,"Triangular",IF(C959&lt;=($C$10-$B$10)/($D$10-$B$10),$B$10+SQRT(C959*($D$10-$B$10)*($C$10-$B$10)),$D$10-SQRT((1-C959)*($D$10-$B$10)*($D$10-$C$10))),"PERT",_xlfn.BETA.INV(C959,1+$B$6*($C$10-$B$10)/($D$10-$B$10),1+$B$6*($D$10-$C$10)/($D$10-$B$10),$B$10,$D$10))</f>
        <v>5041.9784002451779</v>
      </c>
      <c r="F959" s="88">
        <f t="shared" ca="1" si="43"/>
        <v>0.52760968269664998</v>
      </c>
      <c r="G959" s="89">
        <f t="shared" ca="1" si="44"/>
        <v>1.6292732306883353E-4</v>
      </c>
    </row>
    <row r="960" spans="1:7" x14ac:dyDescent="0.35">
      <c r="A960" s="84">
        <v>945</v>
      </c>
      <c r="B960" s="84">
        <f t="shared" ca="1" si="42"/>
        <v>0.85634900816802817</v>
      </c>
      <c r="C960" s="84">
        <f t="shared" ca="1" si="42"/>
        <v>0.73058685184791328</v>
      </c>
      <c r="D960" s="93" cm="1">
        <f t="array" aca="1" ref="D960" ca="1">_xlfn.SWITCH($B$4,"Normal MLE",EXP(_xlfn.NORM.INV(B960,LN($C$9),$E$9/$C$9)),"Uniforme",$B$9+($D$9-$B$9)*B960,"Triangular",IF(B960&lt;=($C$9-$B$9)/($D$9-$B$9),$B$9+SQRT(B960*($D$9-$B$9)*($C$9-$B$9)),$D$9-SQRT((1-B960)*($D$9-$B$9)*($D$9-$C$9))),"PERT",_xlfn.BETA.INV(B960,1+$B$6*($C$9-$B$9)/($D$9-$B$9),1+$B$6*($D$9-$C$9)/($D$9-$B$9),$B$9,$D$9))</f>
        <v>2.0992229317137241</v>
      </c>
      <c r="E960" s="94" cm="1">
        <f t="array" aca="1" ref="E960" ca="1">_xlfn.SWITCH($B$4,"Normal MLE",EXP(_xlfn.NORM.INV(C960,LN($C$10),$E$10/$C$10)),"Uniforme",$B$10+($D$10-$B$10)*C960,"Triangular",IF(C960&lt;=($C$10-$B$10)/($D$10-$B$10),$B$10+SQRT(C960*($D$10-$B$10)*($C$10-$B$10)),$D$10-SQRT((1-C960)*($D$10-$B$10)*($D$10-$C$10))),"PERT",_xlfn.BETA.INV(C960,1+$B$6*($C$10-$B$10)/($D$10-$B$10),1+$B$6*($D$10-$C$10)/($D$10-$B$10),$B$10,$D$10))</f>
        <v>5247.732473118529</v>
      </c>
      <c r="F960" s="88">
        <f t="shared" ca="1" si="43"/>
        <v>0.56804315319135112</v>
      </c>
      <c r="G960" s="89">
        <f t="shared" ca="1" si="44"/>
        <v>1.6859976503015957E-4</v>
      </c>
    </row>
    <row r="961" spans="1:7" x14ac:dyDescent="0.35">
      <c r="A961" s="84">
        <v>946</v>
      </c>
      <c r="B961" s="84">
        <f t="shared" ca="1" si="42"/>
        <v>0.62754109647333511</v>
      </c>
      <c r="C961" s="84">
        <f t="shared" ca="1" si="42"/>
        <v>0.81120099165496595</v>
      </c>
      <c r="D961" s="93" cm="1">
        <f t="array" aca="1" ref="D961" ca="1">_xlfn.SWITCH($B$4,"Normal MLE",EXP(_xlfn.NORM.INV(B961,LN($C$9),$E$9/$C$9)),"Uniforme",$B$9+($D$9-$B$9)*B961,"Triangular",IF(B961&lt;=($C$9-$B$9)/($D$9-$B$9),$B$9+SQRT(B961*($D$9-$B$9)*($C$9-$B$9)),$D$9-SQRT((1-B961)*($D$9-$B$9)*($D$9-$C$9))),"PERT",_xlfn.BETA.INV(B961,1+$B$6*($C$9-$B$9)/($D$9-$B$9),1+$B$6*($D$9-$C$9)/($D$9-$B$9),$B$9,$D$9))</f>
        <v>1.9928137705650608</v>
      </c>
      <c r="E961" s="94" cm="1">
        <f t="array" aca="1" ref="E961" ca="1">_xlfn.SWITCH($B$4,"Normal MLE",EXP(_xlfn.NORM.INV(C961,LN($C$10),$E$10/$C$10)),"Uniforme",$B$10+($D$10-$B$10)*C961,"Triangular",IF(C961&lt;=($C$10-$B$10)/($D$10-$B$10),$B$10+SQRT(C961*($D$10-$B$10)*($C$10-$B$10)),$D$10-SQRT((1-C961)*($D$10-$B$10)*($D$10-$C$10))),"PERT",_xlfn.BETA.INV(C961,1+$B$6*($C$10-$B$10)/($D$10-$B$10),1+$B$6*($D$10-$C$10)/($D$10-$B$10),$B$10,$D$10))</f>
        <v>5313.5239127653967</v>
      </c>
      <c r="F961" s="88">
        <f t="shared" ca="1" si="43"/>
        <v>0.56673721792261189</v>
      </c>
      <c r="G961" s="89">
        <f t="shared" ca="1" si="44"/>
        <v>1.6033538791240779E-4</v>
      </c>
    </row>
    <row r="962" spans="1:7" x14ac:dyDescent="0.35">
      <c r="A962" s="84">
        <v>947</v>
      </c>
      <c r="B962" s="84">
        <f t="shared" ca="1" si="42"/>
        <v>0.20931952530497355</v>
      </c>
      <c r="C962" s="84">
        <f t="shared" ca="1" si="42"/>
        <v>0.77749157022908588</v>
      </c>
      <c r="D962" s="93" cm="1">
        <f t="array" aca="1" ref="D962" ca="1">_xlfn.SWITCH($B$4,"Normal MLE",EXP(_xlfn.NORM.INV(B962,LN($C$9),$E$9/$C$9)),"Uniforme",$B$9+($D$9-$B$9)*B962,"Triangular",IF(B962&lt;=($C$9-$B$9)/($D$9-$B$9),$B$9+SQRT(B962*($D$9-$B$9)*($C$9-$B$9)),$D$9-SQRT((1-B962)*($D$9-$B$9)*($D$9-$C$9))),"PERT",_xlfn.BETA.INV(B962,1+$B$6*($C$9-$B$9)/($D$9-$B$9),1+$B$6*($D$9-$C$9)/($D$9-$B$9),$B$9,$D$9))</f>
        <v>1.8398473041483541</v>
      </c>
      <c r="E962" s="94" cm="1">
        <f t="array" aca="1" ref="E962" ca="1">_xlfn.SWITCH($B$4,"Normal MLE",EXP(_xlfn.NORM.INV(C962,LN($C$10),$E$10/$C$10)),"Uniforme",$B$10+($D$10-$B$10)*C962,"Triangular",IF(C962&lt;=($C$10-$B$10)/($D$10-$B$10),$B$10+SQRT(C962*($D$10-$B$10)*($C$10-$B$10)),$D$10-SQRT((1-C962)*($D$10-$B$10)*($D$10-$C$10))),"PERT",_xlfn.BETA.INV(C962,1+$B$6*($C$10-$B$10)/($D$10-$B$10),1+$B$6*($D$10-$C$10)/($D$10-$B$10),$B$10,$D$10))</f>
        <v>5284.2840166399801</v>
      </c>
      <c r="F962" s="88">
        <f t="shared" ca="1" si="43"/>
        <v>0.54929441483199526</v>
      </c>
      <c r="G962" s="89">
        <f t="shared" ca="1" si="44"/>
        <v>1.5137051981479636E-4</v>
      </c>
    </row>
    <row r="963" spans="1:7" x14ac:dyDescent="0.35">
      <c r="A963" s="84">
        <v>948</v>
      </c>
      <c r="B963" s="84">
        <f t="shared" ca="1" si="42"/>
        <v>5.8864387714119726E-2</v>
      </c>
      <c r="C963" s="84">
        <f t="shared" ca="1" si="42"/>
        <v>8.0894635439238582E-2</v>
      </c>
      <c r="D963" s="93" cm="1">
        <f t="array" aca="1" ref="D963" ca="1">_xlfn.SWITCH($B$4,"Normal MLE",EXP(_xlfn.NORM.INV(B963,LN($C$9),$E$9/$C$9)),"Uniforme",$B$9+($D$9-$B$9)*B963,"Triangular",IF(B963&lt;=($C$9-$B$9)/($D$9-$B$9),$B$9+SQRT(B963*($D$9-$B$9)*($C$9-$B$9)),$D$9-SQRT((1-B963)*($D$9-$B$9)*($D$9-$C$9))),"PERT",_xlfn.BETA.INV(B963,1+$B$6*($C$9-$B$9)/($D$9-$B$9),1+$B$6*($D$9-$C$9)/($D$9-$B$9),$B$9,$D$9))</f>
        <v>1.7445106327228304</v>
      </c>
      <c r="E963" s="94" cm="1">
        <f t="array" aca="1" ref="E963" ca="1">_xlfn.SWITCH($B$4,"Normal MLE",EXP(_xlfn.NORM.INV(C963,LN($C$10),$E$10/$C$10)),"Uniforme",$B$10+($D$10-$B$10)*C963,"Triangular",IF(C963&lt;=($C$10-$B$10)/($D$10-$B$10),$B$10+SQRT(C963*($D$10-$B$10)*($C$10-$B$10)),$D$10-SQRT((1-C963)*($D$10-$B$10)*($D$10-$C$10))),"PERT",_xlfn.BETA.INV(C963,1+$B$6*($C$10-$B$10)/($D$10-$B$10),1+$B$6*($D$10-$C$10)/($D$10-$B$10),$B$10,$D$10))</f>
        <v>4778.3316127434155</v>
      </c>
      <c r="F963" s="88">
        <f t="shared" ca="1" si="43"/>
        <v>0.48031022683876007</v>
      </c>
      <c r="G963" s="89">
        <f t="shared" ca="1" si="44"/>
        <v>1.5361400631667613E-4</v>
      </c>
    </row>
    <row r="964" spans="1:7" x14ac:dyDescent="0.35">
      <c r="A964" s="84">
        <v>949</v>
      </c>
      <c r="B964" s="84">
        <f t="shared" ca="1" si="42"/>
        <v>0.32606229727149416</v>
      </c>
      <c r="C964" s="84">
        <f t="shared" ca="1" si="42"/>
        <v>1.8947825885328173E-3</v>
      </c>
      <c r="D964" s="93" cm="1">
        <f t="array" aca="1" ref="D964" ca="1">_xlfn.SWITCH($B$4,"Normal MLE",EXP(_xlfn.NORM.INV(B964,LN($C$9),$E$9/$C$9)),"Uniforme",$B$9+($D$9-$B$9)*B964,"Triangular",IF(B964&lt;=($C$9-$B$9)/($D$9-$B$9),$B$9+SQRT(B964*($D$9-$B$9)*($C$9-$B$9)),$D$9-SQRT((1-B964)*($D$9-$B$9)*($D$9-$C$9))),"PERT",_xlfn.BETA.INV(B964,1+$B$6*($C$9-$B$9)/($D$9-$B$9),1+$B$6*($D$9-$C$9)/($D$9-$B$9),$B$9,$D$9))</f>
        <v>1.8868160519753496</v>
      </c>
      <c r="E964" s="94" cm="1">
        <f t="array" aca="1" ref="E964" ca="1">_xlfn.SWITCH($B$4,"Normal MLE",EXP(_xlfn.NORM.INV(C964,LN($C$10),$E$10/$C$10)),"Uniforme",$B$10+($D$10-$B$10)*C964,"Triangular",IF(C964&lt;=($C$10-$B$10)/($D$10-$B$10),$B$10+SQRT(C964*($D$10-$B$10)*($C$10-$B$10)),$D$10-SQRT((1-C964)*($D$10-$B$10)*($D$10-$C$10))),"PERT",_xlfn.BETA.INV(C964,1+$B$6*($C$10-$B$10)/($D$10-$B$10),1+$B$6*($D$10-$C$10)/($D$10-$B$10),$B$10,$D$10))</f>
        <v>4456.9828031800189</v>
      </c>
      <c r="F964" s="88">
        <f t="shared" ca="1" si="43"/>
        <v>0.44247489258633593</v>
      </c>
      <c r="G964" s="89">
        <f t="shared" ca="1" si="44"/>
        <v>1.7018205385717795E-4</v>
      </c>
    </row>
    <row r="965" spans="1:7" x14ac:dyDescent="0.35">
      <c r="A965" s="84">
        <v>950</v>
      </c>
      <c r="B965" s="84">
        <f t="shared" ca="1" si="42"/>
        <v>0.5204176746448973</v>
      </c>
      <c r="C965" s="84">
        <f t="shared" ca="1" si="42"/>
        <v>0.68134953545448806</v>
      </c>
      <c r="D965" s="93" cm="1">
        <f t="array" aca="1" ref="D965" ca="1">_xlfn.SWITCH($B$4,"Normal MLE",EXP(_xlfn.NORM.INV(B965,LN($C$9),$E$9/$C$9)),"Uniforme",$B$9+($D$9-$B$9)*B965,"Triangular",IF(B965&lt;=($C$9-$B$9)/($D$9-$B$9),$B$9+SQRT(B965*($D$9-$B$9)*($C$9-$B$9)),$D$9-SQRT((1-B965)*($D$9-$B$9)*($D$9-$C$9))),"PERT",_xlfn.BETA.INV(B965,1+$B$6*($C$9-$B$9)/($D$9-$B$9),1+$B$6*($D$9-$C$9)/($D$9-$B$9),$B$9,$D$9))</f>
        <v>1.9547110438095034</v>
      </c>
      <c r="E965" s="94" cm="1">
        <f t="array" aca="1" ref="E965" ca="1">_xlfn.SWITCH($B$4,"Normal MLE",EXP(_xlfn.NORM.INV(C965,LN($C$10),$E$10/$C$10)),"Uniforme",$B$10+($D$10-$B$10)*C965,"Triangular",IF(C965&lt;=($C$10-$B$10)/($D$10-$B$10),$B$10+SQRT(C965*($D$10-$B$10)*($C$10-$B$10)),$D$10-SQRT((1-C965)*($D$10-$B$10)*($D$10-$C$10))),"PERT",_xlfn.BETA.INV(C965,1+$B$6*($C$10-$B$10)/($D$10-$B$10),1+$B$6*($D$10-$C$10)/($D$10-$B$10),$B$10,$D$10))</f>
        <v>5212.9004737714886</v>
      </c>
      <c r="F965" s="88">
        <f t="shared" ca="1" si="43"/>
        <v>0.55106877143279598</v>
      </c>
      <c r="G965" s="89">
        <f t="shared" ca="1" si="44"/>
        <v>1.6047175505607523E-4</v>
      </c>
    </row>
    <row r="966" spans="1:7" x14ac:dyDescent="0.35">
      <c r="A966" s="84">
        <v>951</v>
      </c>
      <c r="B966" s="84">
        <f t="shared" ca="1" si="42"/>
        <v>0.54511330044247697</v>
      </c>
      <c r="C966" s="84">
        <f t="shared" ca="1" si="42"/>
        <v>0.46593706492755571</v>
      </c>
      <c r="D966" s="93" cm="1">
        <f t="array" aca="1" ref="D966" ca="1">_xlfn.SWITCH($B$4,"Normal MLE",EXP(_xlfn.NORM.INV(B966,LN($C$9),$E$9/$C$9)),"Uniforme",$B$9+($D$9-$B$9)*B966,"Triangular",IF(B966&lt;=($C$9-$B$9)/($D$9-$B$9),$B$9+SQRT(B966*($D$9-$B$9)*($C$9-$B$9)),$D$9-SQRT((1-B966)*($D$9-$B$9)*($D$9-$C$9))),"PERT",_xlfn.BETA.INV(B966,1+$B$6*($C$9-$B$9)/($D$9-$B$9),1+$B$6*($D$9-$C$9)/($D$9-$B$9),$B$9,$D$9))</f>
        <v>1.9632809180304052</v>
      </c>
      <c r="E966" s="94" cm="1">
        <f t="array" aca="1" ref="E966" ca="1">_xlfn.SWITCH($B$4,"Normal MLE",EXP(_xlfn.NORM.INV(C966,LN($C$10),$E$10/$C$10)),"Uniforme",$B$10+($D$10-$B$10)*C966,"Triangular",IF(C966&lt;=($C$10-$B$10)/($D$10-$B$10),$B$10+SQRT(C966*($D$10-$B$10)*($C$10-$B$10)),$D$10-SQRT((1-C966)*($D$10-$B$10)*($D$10-$C$10))),"PERT",_xlfn.BETA.INV(C966,1+$B$6*($C$10-$B$10)/($D$10-$B$10),1+$B$6*($D$10-$C$10)/($D$10-$B$10),$B$10,$D$10))</f>
        <v>5079.5289468625897</v>
      </c>
      <c r="F966" s="88">
        <f t="shared" ca="1" si="43"/>
        <v>0.53495080005938689</v>
      </c>
      <c r="G966" s="89">
        <f t="shared" ca="1" si="44"/>
        <v>1.6425534002166198E-4</v>
      </c>
    </row>
    <row r="967" spans="1:7" x14ac:dyDescent="0.35">
      <c r="A967" s="84">
        <v>952</v>
      </c>
      <c r="B967" s="84">
        <f t="shared" ca="1" si="42"/>
        <v>0.98771107226825994</v>
      </c>
      <c r="C967" s="84">
        <f t="shared" ca="1" si="42"/>
        <v>0.37336874791590169</v>
      </c>
      <c r="D967" s="93" cm="1">
        <f t="array" aca="1" ref="D967" ca="1">_xlfn.SWITCH($B$4,"Normal MLE",EXP(_xlfn.NORM.INV(B967,LN($C$9),$E$9/$C$9)),"Uniforme",$B$9+($D$9-$B$9)*B967,"Triangular",IF(B967&lt;=($C$9-$B$9)/($D$9-$B$9),$B$9+SQRT(B967*($D$9-$B$9)*($C$9-$B$9)),$D$9-SQRT((1-B967)*($D$9-$B$9)*($D$9-$C$9))),"PERT",_xlfn.BETA.INV(B967,1+$B$6*($C$9-$B$9)/($D$9-$B$9),1+$B$6*($D$9-$C$9)/($D$9-$B$9),$B$9,$D$9))</f>
        <v>2.2817390878735613</v>
      </c>
      <c r="E967" s="94" cm="1">
        <f t="array" aca="1" ref="E967" ca="1">_xlfn.SWITCH($B$4,"Normal MLE",EXP(_xlfn.NORM.INV(C967,LN($C$10),$E$10/$C$10)),"Uniforme",$B$10+($D$10-$B$10)*C967,"Triangular",IF(C967&lt;=($C$10-$B$10)/($D$10-$B$10),$B$10+SQRT(C967*($D$10-$B$10)*($C$10-$B$10)),$D$10-SQRT((1-C967)*($D$10-$B$10)*($D$10-$C$10))),"PERT",_xlfn.BETA.INV(C967,1+$B$6*($C$10-$B$10)/($D$10-$B$10),1+$B$6*($D$10-$C$10)/($D$10-$B$10),$B$10,$D$10))</f>
        <v>5023.7096336489449</v>
      </c>
      <c r="F967" s="88">
        <f t="shared" ca="1" si="43"/>
        <v>0.5518105519410762</v>
      </c>
      <c r="G967" s="89">
        <f t="shared" ca="1" si="44"/>
        <v>1.8714780451291031E-4</v>
      </c>
    </row>
    <row r="968" spans="1:7" x14ac:dyDescent="0.35">
      <c r="A968" s="84">
        <v>953</v>
      </c>
      <c r="B968" s="84">
        <f t="shared" ca="1" si="42"/>
        <v>0.20599480279493554</v>
      </c>
      <c r="C968" s="84">
        <f t="shared" ca="1" si="42"/>
        <v>0.4315757339927061</v>
      </c>
      <c r="D968" s="93" cm="1">
        <f t="array" aca="1" ref="D968" ca="1">_xlfn.SWITCH($B$4,"Normal MLE",EXP(_xlfn.NORM.INV(B968,LN($C$9),$E$9/$C$9)),"Uniforme",$B$9+($D$9-$B$9)*B968,"Triangular",IF(B968&lt;=($C$9-$B$9)/($D$9-$B$9),$B$9+SQRT(B968*($D$9-$B$9)*($C$9-$B$9)),$D$9-SQRT((1-B968)*($D$9-$B$9)*($D$9-$C$9))),"PERT",_xlfn.BETA.INV(B968,1+$B$6*($C$9-$B$9)/($D$9-$B$9),1+$B$6*($D$9-$C$9)/($D$9-$B$9),$B$9,$D$9))</f>
        <v>1.8383433553308792</v>
      </c>
      <c r="E968" s="94" cm="1">
        <f t="array" aca="1" ref="E968" ca="1">_xlfn.SWITCH($B$4,"Normal MLE",EXP(_xlfn.NORM.INV(C968,LN($C$10),$E$10/$C$10)),"Uniforme",$B$10+($D$10-$B$10)*C968,"Triangular",IF(C968&lt;=($C$10-$B$10)/($D$10-$B$10),$B$10+SQRT(C968*($D$10-$B$10)*($C$10-$B$10)),$D$10-SQRT((1-C968)*($D$10-$B$10)*($D$10-$C$10))),"PERT",_xlfn.BETA.INV(C968,1+$B$6*($C$10-$B$10)/($D$10-$B$10),1+$B$6*($D$10-$C$10)/($D$10-$B$10),$B$10,$D$10))</f>
        <v>5059.0351413618491</v>
      </c>
      <c r="F968" s="88">
        <f t="shared" ca="1" si="43"/>
        <v>0.52238836543594336</v>
      </c>
      <c r="G968" s="89">
        <f t="shared" ca="1" si="44"/>
        <v>1.5589599127688314E-4</v>
      </c>
    </row>
    <row r="969" spans="1:7" x14ac:dyDescent="0.35">
      <c r="A969" s="84">
        <v>954</v>
      </c>
      <c r="B969" s="84">
        <f t="shared" ca="1" si="42"/>
        <v>0.21443763384013348</v>
      </c>
      <c r="C969" s="84">
        <f t="shared" ca="1" si="42"/>
        <v>4.9018304679572577E-2</v>
      </c>
      <c r="D969" s="93" cm="1">
        <f t="array" aca="1" ref="D969" ca="1">_xlfn.SWITCH($B$4,"Normal MLE",EXP(_xlfn.NORM.INV(B969,LN($C$9),$E$9/$C$9)),"Uniforme",$B$9+($D$9-$B$9)*B969,"Triangular",IF(B969&lt;=($C$9-$B$9)/($D$9-$B$9),$B$9+SQRT(B969*($D$9-$B$9)*($C$9-$B$9)),$D$9-SQRT((1-B969)*($D$9-$B$9)*($D$9-$C$9))),"PERT",_xlfn.BETA.INV(B969,1+$B$6*($C$9-$B$9)/($D$9-$B$9),1+$B$6*($D$9-$C$9)/($D$9-$B$9),$B$9,$D$9))</f>
        <v>1.8421376627223476</v>
      </c>
      <c r="E969" s="94" cm="1">
        <f t="array" aca="1" ref="E969" ca="1">_xlfn.SWITCH($B$4,"Normal MLE",EXP(_xlfn.NORM.INV(C969,LN($C$10),$E$10/$C$10)),"Uniforme",$B$10+($D$10-$B$10)*C969,"Triangular",IF(C969&lt;=($C$10-$B$10)/($D$10-$B$10),$B$10+SQRT(C969*($D$10-$B$10)*($C$10-$B$10)),$D$10-SQRT((1-C969)*($D$10-$B$10)*($D$10-$C$10))),"PERT",_xlfn.BETA.INV(C969,1+$B$6*($C$10-$B$10)/($D$10-$B$10),1+$B$6*($D$10-$C$10)/($D$10-$B$10),$B$10,$D$10))</f>
        <v>4721.8848728899666</v>
      </c>
      <c r="F969" s="88">
        <f t="shared" ca="1" si="43"/>
        <v>0.47871262483338939</v>
      </c>
      <c r="G969" s="89">
        <f t="shared" ca="1" si="44"/>
        <v>1.6240560001628597E-4</v>
      </c>
    </row>
    <row r="970" spans="1:7" x14ac:dyDescent="0.35">
      <c r="A970" s="84">
        <v>955</v>
      </c>
      <c r="B970" s="84">
        <f t="shared" ca="1" si="42"/>
        <v>0.71950624918130324</v>
      </c>
      <c r="C970" s="84">
        <f t="shared" ca="1" si="42"/>
        <v>0.10889288724288826</v>
      </c>
      <c r="D970" s="93" cm="1">
        <f t="array" aca="1" ref="D970" ca="1">_xlfn.SWITCH($B$4,"Normal MLE",EXP(_xlfn.NORM.INV(B970,LN($C$9),$E$9/$C$9)),"Uniforme",$B$9+($D$9-$B$9)*B970,"Triangular",IF(B970&lt;=($C$9-$B$9)/($D$9-$B$9),$B$9+SQRT(B970*($D$9-$B$9)*($C$9-$B$9)),$D$9-SQRT((1-B970)*($D$9-$B$9)*($D$9-$C$9))),"PERT",_xlfn.BETA.INV(B970,1+$B$6*($C$9-$B$9)/($D$9-$B$9),1+$B$6*($D$9-$C$9)/($D$9-$B$9),$B$9,$D$9))</f>
        <v>2.0290686946214151</v>
      </c>
      <c r="E970" s="94" cm="1">
        <f t="array" aca="1" ref="E970" ca="1">_xlfn.SWITCH($B$4,"Normal MLE",EXP(_xlfn.NORM.INV(C970,LN($C$10),$E$10/$C$10)),"Uniforme",$B$10+($D$10-$B$10)*C970,"Triangular",IF(C970&lt;=($C$10-$B$10)/($D$10-$B$10),$B$10+SQRT(C970*($D$10-$B$10)*($C$10-$B$10)),$D$10-SQRT((1-C970)*($D$10-$B$10)*($D$10-$C$10))),"PERT",_xlfn.BETA.INV(C970,1+$B$6*($C$10-$B$10)/($D$10-$B$10),1+$B$6*($D$10-$C$10)/($D$10-$B$10),$B$10,$D$10))</f>
        <v>4815.5295034525152</v>
      </c>
      <c r="F970" s="88">
        <f t="shared" ca="1" si="43"/>
        <v>0.50345489720583125</v>
      </c>
      <c r="G970" s="89">
        <f t="shared" ca="1" si="44"/>
        <v>1.7526158787066042E-4</v>
      </c>
    </row>
    <row r="971" spans="1:7" x14ac:dyDescent="0.35">
      <c r="A971" s="84">
        <v>956</v>
      </c>
      <c r="B971" s="84">
        <f t="shared" ca="1" si="42"/>
        <v>0.8560121923691798</v>
      </c>
      <c r="C971" s="84">
        <f t="shared" ca="1" si="42"/>
        <v>0.93957092644871709</v>
      </c>
      <c r="D971" s="93" cm="1">
        <f t="array" aca="1" ref="D971" ca="1">_xlfn.SWITCH($B$4,"Normal MLE",EXP(_xlfn.NORM.INV(B971,LN($C$9),$E$9/$C$9)),"Uniforme",$B$9+($D$9-$B$9)*B971,"Triangular",IF(B971&lt;=($C$9-$B$9)/($D$9-$B$9),$B$9+SQRT(B971*($D$9-$B$9)*($C$9-$B$9)),$D$9-SQRT((1-B971)*($D$9-$B$9)*($D$9-$C$9))),"PERT",_xlfn.BETA.INV(B971,1+$B$6*($C$9-$B$9)/($D$9-$B$9),1+$B$6*($D$9-$C$9)/($D$9-$B$9),$B$9,$D$9))</f>
        <v>2.0990032840598714</v>
      </c>
      <c r="E971" s="94" cm="1">
        <f t="array" aca="1" ref="E971" ca="1">_xlfn.SWITCH($B$4,"Normal MLE",EXP(_xlfn.NORM.INV(C971,LN($C$10),$E$10/$C$10)),"Uniforme",$B$10+($D$10-$B$10)*C971,"Triangular",IF(C971&lt;=($C$10-$B$10)/($D$10-$B$10),$B$10+SQRT(C971*($D$10-$B$10)*($C$10-$B$10)),$D$10-SQRT((1-C971)*($D$10-$B$10)*($D$10-$C$10))),"PERT",_xlfn.BETA.INV(C971,1+$B$6*($C$10-$B$10)/($D$10-$B$10),1+$B$6*($D$10-$C$10)/($D$10-$B$10),$B$10,$D$10))</f>
        <v>5481.5053683848982</v>
      </c>
      <c r="F971" s="88">
        <f t="shared" ca="1" si="43"/>
        <v>0.59681615588070824</v>
      </c>
      <c r="G971" s="89">
        <f t="shared" ca="1" si="44"/>
        <v>1.6164653441514901E-4</v>
      </c>
    </row>
    <row r="972" spans="1:7" x14ac:dyDescent="0.35">
      <c r="A972" s="84">
        <v>957</v>
      </c>
      <c r="B972" s="84">
        <f t="shared" ca="1" si="42"/>
        <v>0.97467500242252547</v>
      </c>
      <c r="C972" s="84">
        <f t="shared" ca="1" si="42"/>
        <v>0.88904308675181443</v>
      </c>
      <c r="D972" s="93" cm="1">
        <f t="array" aca="1" ref="D972" ca="1">_xlfn.SWITCH($B$4,"Normal MLE",EXP(_xlfn.NORM.INV(B972,LN($C$9),$E$9/$C$9)),"Uniforme",$B$9+($D$9-$B$9)*B972,"Triangular",IF(B972&lt;=($C$9-$B$9)/($D$9-$B$9),$B$9+SQRT(B972*($D$9-$B$9)*($C$9-$B$9)),$D$9-SQRT((1-B972)*($D$9-$B$9)*($D$9-$C$9))),"PERT",_xlfn.BETA.INV(B972,1+$B$6*($C$9-$B$9)/($D$9-$B$9),1+$B$6*($D$9-$C$9)/($D$9-$B$9),$B$9,$D$9))</f>
        <v>2.2350574596703741</v>
      </c>
      <c r="E972" s="94" cm="1">
        <f t="array" aca="1" ref="E972" ca="1">_xlfn.SWITCH($B$4,"Normal MLE",EXP(_xlfn.NORM.INV(C972,LN($C$10),$E$10/$C$10)),"Uniforme",$B$10+($D$10-$B$10)*C972,"Triangular",IF(C972&lt;=($C$10-$B$10)/($D$10-$B$10),$B$10+SQRT(C972*($D$10-$B$10)*($C$10-$B$10)),$D$10-SQRT((1-C972)*($D$10-$B$10)*($D$10-$C$10))),"PERT",_xlfn.BETA.INV(C972,1+$B$6*($C$10-$B$10)/($D$10-$B$10),1+$B$6*($D$10-$C$10)/($D$10-$B$10),$B$10,$D$10))</f>
        <v>5398.0412754475501</v>
      </c>
      <c r="F972" s="88">
        <f t="shared" ca="1" si="43"/>
        <v>0.59945210060610421</v>
      </c>
      <c r="G972" s="89">
        <f t="shared" ca="1" si="44"/>
        <v>1.7140831242437867E-4</v>
      </c>
    </row>
    <row r="973" spans="1:7" x14ac:dyDescent="0.35">
      <c r="A973" s="84">
        <v>958</v>
      </c>
      <c r="B973" s="84">
        <f t="shared" ca="1" si="42"/>
        <v>0.77654423016546104</v>
      </c>
      <c r="C973" s="84">
        <f t="shared" ca="1" si="42"/>
        <v>0.46183739275894065</v>
      </c>
      <c r="D973" s="93" cm="1">
        <f t="array" aca="1" ref="D973" ca="1">_xlfn.SWITCH($B$4,"Normal MLE",EXP(_xlfn.NORM.INV(B973,LN($C$9),$E$9/$C$9)),"Uniforme",$B$9+($D$9-$B$9)*B973,"Triangular",IF(B973&lt;=($C$9-$B$9)/($D$9-$B$9),$B$9+SQRT(B973*($D$9-$B$9)*($C$9-$B$9)),$D$9-SQRT((1-B973)*($D$9-$B$9)*($D$9-$C$9))),"PERT",_xlfn.BETA.INV(B973,1+$B$6*($C$9-$B$9)/($D$9-$B$9),1+$B$6*($D$9-$C$9)/($D$9-$B$9),$B$9,$D$9))</f>
        <v>2.0548359040265232</v>
      </c>
      <c r="E973" s="94" cm="1">
        <f t="array" aca="1" ref="E973" ca="1">_xlfn.SWITCH($B$4,"Normal MLE",EXP(_xlfn.NORM.INV(C973,LN($C$10),$E$10/$C$10)),"Uniforme",$B$10+($D$10-$B$10)*C973,"Triangular",IF(C973&lt;=($C$10-$B$10)/($D$10-$B$10),$B$10+SQRT(C973*($D$10-$B$10)*($C$10-$B$10)),$D$10-SQRT((1-C973)*($D$10-$B$10)*($D$10-$C$10))),"PERT",_xlfn.BETA.INV(C973,1+$B$6*($C$10-$B$10)/($D$10-$B$10),1+$B$6*($D$10-$C$10)/($D$10-$B$10),$B$10,$D$10))</f>
        <v>5077.0904759953628</v>
      </c>
      <c r="F973" s="88">
        <f t="shared" ca="1" si="43"/>
        <v>0.54191349779909104</v>
      </c>
      <c r="G973" s="89">
        <f t="shared" ca="1" si="44"/>
        <v>1.7055276810422945E-4</v>
      </c>
    </row>
    <row r="974" spans="1:7" x14ac:dyDescent="0.35">
      <c r="A974" s="84">
        <v>959</v>
      </c>
      <c r="B974" s="84">
        <f t="shared" ca="1" si="42"/>
        <v>0.62426861361976649</v>
      </c>
      <c r="C974" s="84">
        <f t="shared" ca="1" si="42"/>
        <v>0.14308602884142096</v>
      </c>
      <c r="D974" s="93" cm="1">
        <f t="array" aca="1" ref="D974" ca="1">_xlfn.SWITCH($B$4,"Normal MLE",EXP(_xlfn.NORM.INV(B974,LN($C$9),$E$9/$C$9)),"Uniforme",$B$9+($D$9-$B$9)*B974,"Triangular",IF(B974&lt;=($C$9-$B$9)/($D$9-$B$9),$B$9+SQRT(B974*($D$9-$B$9)*($C$9-$B$9)),$D$9-SQRT((1-B974)*($D$9-$B$9)*($D$9-$C$9))),"PERT",_xlfn.BETA.INV(B974,1+$B$6*($C$9-$B$9)/($D$9-$B$9),1+$B$6*($D$9-$C$9)/($D$9-$B$9),$B$9,$D$9))</f>
        <v>1.9916021262523402</v>
      </c>
      <c r="E974" s="94" cm="1">
        <f t="array" aca="1" ref="E974" ca="1">_xlfn.SWITCH($B$4,"Normal MLE",EXP(_xlfn.NORM.INV(C974,LN($C$10),$E$10/$C$10)),"Uniforme",$B$10+($D$10-$B$10)*C974,"Triangular",IF(C974&lt;=($C$10-$B$10)/($D$10-$B$10),$B$10+SQRT(C974*($D$10-$B$10)*($C$10-$B$10)),$D$10-SQRT((1-C974)*($D$10-$B$10)*($D$10-$C$10))),"PERT",_xlfn.BETA.INV(C974,1+$B$6*($C$10-$B$10)/($D$10-$B$10),1+$B$6*($D$10-$C$10)/($D$10-$B$10),$B$10,$D$10))</f>
        <v>4852.8450716062471</v>
      </c>
      <c r="F974" s="88">
        <f t="shared" ca="1" si="43"/>
        <v>0.50636066268459123</v>
      </c>
      <c r="G974" s="89">
        <f t="shared" ca="1" si="44"/>
        <v>1.715673197087989E-4</v>
      </c>
    </row>
    <row r="975" spans="1:7" x14ac:dyDescent="0.35">
      <c r="A975" s="84">
        <v>960</v>
      </c>
      <c r="B975" s="84">
        <f t="shared" ca="1" si="42"/>
        <v>0.20728636773899767</v>
      </c>
      <c r="C975" s="84">
        <f t="shared" ca="1" si="42"/>
        <v>0.1027059742091383</v>
      </c>
      <c r="D975" s="93" cm="1">
        <f t="array" aca="1" ref="D975" ca="1">_xlfn.SWITCH($B$4,"Normal MLE",EXP(_xlfn.NORM.INV(B975,LN($C$9),$E$9/$C$9)),"Uniforme",$B$9+($D$9-$B$9)*B975,"Triangular",IF(B975&lt;=($C$9-$B$9)/($D$9-$B$9),$B$9+SQRT(B975*($D$9-$B$9)*($C$9-$B$9)),$D$9-SQRT((1-B975)*($D$9-$B$9)*($D$9-$C$9))),"PERT",_xlfn.BETA.INV(B975,1+$B$6*($C$9-$B$9)/($D$9-$B$9),1+$B$6*($D$9-$C$9)/($D$9-$B$9),$B$9,$D$9))</f>
        <v>1.8389291445557836</v>
      </c>
      <c r="E975" s="94" cm="1">
        <f t="array" aca="1" ref="E975" ca="1">_xlfn.SWITCH($B$4,"Normal MLE",EXP(_xlfn.NORM.INV(C975,LN($C$10),$E$10/$C$10)),"Uniforme",$B$10+($D$10-$B$10)*C975,"Triangular",IF(C975&lt;=($C$10-$B$10)/($D$10-$B$10),$B$10+SQRT(C975*($D$10-$B$10)*($C$10-$B$10)),$D$10-SQRT((1-C975)*($D$10-$B$10)*($D$10-$C$10))),"PERT",_xlfn.BETA.INV(C975,1+$B$6*($C$10-$B$10)/($D$10-$B$10),1+$B$6*($D$10-$C$10)/($D$10-$B$10),$B$10,$D$10))</f>
        <v>4807.9511866695611</v>
      </c>
      <c r="F975" s="88">
        <f t="shared" ca="1" si="43"/>
        <v>0.49018763082692929</v>
      </c>
      <c r="G975" s="89">
        <f t="shared" ca="1" si="44"/>
        <v>1.6067074470044385E-4</v>
      </c>
    </row>
    <row r="976" spans="1:7" x14ac:dyDescent="0.35">
      <c r="A976" s="84">
        <v>961</v>
      </c>
      <c r="B976" s="84">
        <f t="shared" ca="1" si="42"/>
        <v>0.83730591244748676</v>
      </c>
      <c r="C976" s="84">
        <f t="shared" ca="1" si="42"/>
        <v>0.17450642468221178</v>
      </c>
      <c r="D976" s="93" cm="1">
        <f t="array" aca="1" ref="D976" ca="1">_xlfn.SWITCH($B$4,"Normal MLE",EXP(_xlfn.NORM.INV(B976,LN($C$9),$E$9/$C$9)),"Uniforme",$B$9+($D$9-$B$9)*B976,"Triangular",IF(B976&lt;=($C$9-$B$9)/($D$9-$B$9),$B$9+SQRT(B976*($D$9-$B$9)*($C$9-$B$9)),$D$9-SQRT((1-B976)*($D$9-$B$9)*($D$9-$C$9))),"PERT",_xlfn.BETA.INV(B976,1+$B$6*($C$9-$B$9)/($D$9-$B$9),1+$B$6*($D$9-$C$9)/($D$9-$B$9),$B$9,$D$9))</f>
        <v>2.0873399253720231</v>
      </c>
      <c r="E976" s="94" cm="1">
        <f t="array" aca="1" ref="E976" ca="1">_xlfn.SWITCH($B$4,"Normal MLE",EXP(_xlfn.NORM.INV(C976,LN($C$10),$E$10/$C$10)),"Uniforme",$B$10+($D$10-$B$10)*C976,"Triangular",IF(C976&lt;=($C$10-$B$10)/($D$10-$B$10),$B$10+SQRT(C976*($D$10-$B$10)*($C$10-$B$10)),$D$10-SQRT((1-C976)*($D$10-$B$10)*($D$10-$C$10))),"PERT",_xlfn.BETA.INV(C976,1+$B$6*($C$10-$B$10)/($D$10-$B$10),1+$B$6*($D$10-$C$10)/($D$10-$B$10),$B$10,$D$10))</f>
        <v>4882.3027103309614</v>
      </c>
      <c r="F976" s="88">
        <f t="shared" ca="1" si="43"/>
        <v>0.5170350482770848</v>
      </c>
      <c r="G976" s="89">
        <f t="shared" ca="1" si="44"/>
        <v>1.7797671803324668E-4</v>
      </c>
    </row>
    <row r="977" spans="1:7" x14ac:dyDescent="0.35">
      <c r="A977" s="84">
        <v>962</v>
      </c>
      <c r="B977" s="84">
        <f t="shared" ref="B977:C1015" ca="1" si="45">RAND()</f>
        <v>0.10478066225589255</v>
      </c>
      <c r="C977" s="84">
        <f t="shared" ca="1" si="45"/>
        <v>0.1295948734485044</v>
      </c>
      <c r="D977" s="93" cm="1">
        <f t="array" aca="1" ref="D977" ca="1">_xlfn.SWITCH($B$4,"Normal MLE",EXP(_xlfn.NORM.INV(B977,LN($C$9),$E$9/$C$9)),"Uniforme",$B$9+($D$9-$B$9)*B977,"Triangular",IF(B977&lt;=($C$9-$B$9)/($D$9-$B$9),$B$9+SQRT(B977*($D$9-$B$9)*($C$9-$B$9)),$D$9-SQRT((1-B977)*($D$9-$B$9)*($D$9-$C$9))),"PERT",_xlfn.BETA.INV(B977,1+$B$6*($C$9-$B$9)/($D$9-$B$9),1+$B$6*($D$9-$C$9)/($D$9-$B$9),$B$9,$D$9))</f>
        <v>1.7829625621009684</v>
      </c>
      <c r="E977" s="94" cm="1">
        <f t="array" aca="1" ref="E977" ca="1">_xlfn.SWITCH($B$4,"Normal MLE",EXP(_xlfn.NORM.INV(C977,LN($C$10),$E$10/$C$10)),"Uniforme",$B$10+($D$10-$B$10)*C977,"Triangular",IF(C977&lt;=($C$10-$B$10)/($D$10-$B$10),$B$10+SQRT(C977*($D$10-$B$10)*($C$10-$B$10)),$D$10-SQRT((1-C977)*($D$10-$B$10)*($D$10-$C$10))),"PERT",_xlfn.BETA.INV(C977,1+$B$6*($C$10-$B$10)/($D$10-$B$10),1+$B$6*($D$10-$C$10)/($D$10-$B$10),$B$10,$D$10))</f>
        <v>4838.9201172605462</v>
      </c>
      <c r="F977" s="88">
        <f t="shared" ref="F977:F1015" ca="1" si="46">EXP(-POWER($B$12/E977,D977))</f>
        <v>0.49058983406055101</v>
      </c>
      <c r="G977" s="89">
        <f t="shared" ref="G977:G1015" ca="1" si="47">(D977/E977)*POWER($B$12/E977,D977-1)*EXP(-POWER($B$12/E977,D977))</f>
        <v>1.5572930539039815E-4</v>
      </c>
    </row>
    <row r="978" spans="1:7" x14ac:dyDescent="0.35">
      <c r="A978" s="84">
        <v>963</v>
      </c>
      <c r="B978" s="84">
        <f t="shared" ca="1" si="45"/>
        <v>0.59118996522630352</v>
      </c>
      <c r="C978" s="84">
        <f t="shared" ca="1" si="45"/>
        <v>0.32496127047739931</v>
      </c>
      <c r="D978" s="93" cm="1">
        <f t="array" aca="1" ref="D978" ca="1">_xlfn.SWITCH($B$4,"Normal MLE",EXP(_xlfn.NORM.INV(B978,LN($C$9),$E$9/$C$9)),"Uniforme",$B$9+($D$9-$B$9)*B978,"Triangular",IF(B978&lt;=($C$9-$B$9)/($D$9-$B$9),$B$9+SQRT(B978*($D$9-$B$9)*($C$9-$B$9)),$D$9-SQRT((1-B978)*($D$9-$B$9)*($D$9-$C$9))),"PERT",_xlfn.BETA.INV(B978,1+$B$6*($C$9-$B$9)/($D$9-$B$9),1+$B$6*($D$9-$C$9)/($D$9-$B$9),$B$9,$D$9))</f>
        <v>1.979562772499238</v>
      </c>
      <c r="E978" s="94" cm="1">
        <f t="array" aca="1" ref="E978" ca="1">_xlfn.SWITCH($B$4,"Normal MLE",EXP(_xlfn.NORM.INV(C978,LN($C$10),$E$10/$C$10)),"Uniforme",$B$10+($D$10-$B$10)*C978,"Triangular",IF(C978&lt;=($C$10-$B$10)/($D$10-$B$10),$B$10+SQRT(C978*($D$10-$B$10)*($C$10-$B$10)),$D$10-SQRT((1-C978)*($D$10-$B$10)*($D$10-$C$10))),"PERT",_xlfn.BETA.INV(C978,1+$B$6*($C$10-$B$10)/($D$10-$B$10),1+$B$6*($D$10-$C$10)/($D$10-$B$10),$B$10,$D$10))</f>
        <v>4993.1955773188738</v>
      </c>
      <c r="F978" s="88">
        <f t="shared" ca="1" si="46"/>
        <v>0.52484049858070958</v>
      </c>
      <c r="G978" s="89">
        <f t="shared" ca="1" si="47"/>
        <v>1.67443363452187E-4</v>
      </c>
    </row>
    <row r="979" spans="1:7" x14ac:dyDescent="0.35">
      <c r="A979" s="84">
        <v>964</v>
      </c>
      <c r="B979" s="84">
        <f t="shared" ca="1" si="45"/>
        <v>0.21621323417502625</v>
      </c>
      <c r="C979" s="84">
        <f t="shared" ca="1" si="45"/>
        <v>0.63885711639773957</v>
      </c>
      <c r="D979" s="93" cm="1">
        <f t="array" aca="1" ref="D979" ca="1">_xlfn.SWITCH($B$4,"Normal MLE",EXP(_xlfn.NORM.INV(B979,LN($C$9),$E$9/$C$9)),"Uniforme",$B$9+($D$9-$B$9)*B979,"Triangular",IF(B979&lt;=($C$9-$B$9)/($D$9-$B$9),$B$9+SQRT(B979*($D$9-$B$9)*($C$9-$B$9)),$D$9-SQRT((1-B979)*($D$9-$B$9)*($D$9-$C$9))),"PERT",_xlfn.BETA.INV(B979,1+$B$6*($C$9-$B$9)/($D$9-$B$9),1+$B$6*($D$9-$C$9)/($D$9-$B$9),$B$9,$D$9))</f>
        <v>1.8429254472682499</v>
      </c>
      <c r="E979" s="94" cm="1">
        <f t="array" aca="1" ref="E979" ca="1">_xlfn.SWITCH($B$4,"Normal MLE",EXP(_xlfn.NORM.INV(C979,LN($C$10),$E$10/$C$10)),"Uniforme",$B$10+($D$10-$B$10)*C979,"Triangular",IF(C979&lt;=($C$10-$B$10)/($D$10-$B$10),$B$10+SQRT(C979*($D$10-$B$10)*($C$10-$B$10)),$D$10-SQRT((1-C979)*($D$10-$B$10)*($D$10-$C$10))),"PERT",_xlfn.BETA.INV(C979,1+$B$6*($C$10-$B$10)/($D$10-$B$10),1+$B$6*($D$10-$C$10)/($D$10-$B$10),$B$10,$D$10))</f>
        <v>5184.8201947388106</v>
      </c>
      <c r="F979" s="88">
        <f t="shared" ca="1" si="46"/>
        <v>0.53797587351897613</v>
      </c>
      <c r="G979" s="89">
        <f t="shared" ca="1" si="47"/>
        <v>1.5366017729590269E-4</v>
      </c>
    </row>
    <row r="980" spans="1:7" x14ac:dyDescent="0.35">
      <c r="A980" s="84">
        <v>965</v>
      </c>
      <c r="B980" s="84">
        <f t="shared" ca="1" si="45"/>
        <v>0.77251201229563771</v>
      </c>
      <c r="C980" s="84">
        <f t="shared" ca="1" si="45"/>
        <v>0.21159690606439274</v>
      </c>
      <c r="D980" s="93" cm="1">
        <f t="array" aca="1" ref="D980" ca="1">_xlfn.SWITCH($B$4,"Normal MLE",EXP(_xlfn.NORM.INV(B980,LN($C$9),$E$9/$C$9)),"Uniforme",$B$9+($D$9-$B$9)*B980,"Triangular",IF(B980&lt;=($C$9-$B$9)/($D$9-$B$9),$B$9+SQRT(B980*($D$9-$B$9)*($C$9-$B$9)),$D$9-SQRT((1-B980)*($D$9-$B$9)*($D$9-$C$9))),"PERT",_xlfn.BETA.INV(B980,1+$B$6*($C$9-$B$9)/($D$9-$B$9),1+$B$6*($D$9-$C$9)/($D$9-$B$9),$B$9,$D$9))</f>
        <v>2.0528936517880614</v>
      </c>
      <c r="E980" s="94" cm="1">
        <f t="array" aca="1" ref="E980" ca="1">_xlfn.SWITCH($B$4,"Normal MLE",EXP(_xlfn.NORM.INV(C980,LN($C$10),$E$10/$C$10)),"Uniforme",$B$10+($D$10-$B$10)*C980,"Triangular",IF(C980&lt;=($C$10-$B$10)/($D$10-$B$10),$B$10+SQRT(C980*($D$10-$B$10)*($C$10-$B$10)),$D$10-SQRT((1-C980)*($D$10-$B$10)*($D$10-$C$10))),"PERT",_xlfn.BETA.INV(C980,1+$B$6*($C$10-$B$10)/($D$10-$B$10),1+$B$6*($D$10-$C$10)/($D$10-$B$10),$B$10,$D$10))</f>
        <v>4913.2106956033631</v>
      </c>
      <c r="F980" s="88">
        <f t="shared" ca="1" si="46"/>
        <v>0.51910966704544115</v>
      </c>
      <c r="G980" s="89">
        <f t="shared" ca="1" si="47"/>
        <v>1.7467513751535661E-4</v>
      </c>
    </row>
    <row r="981" spans="1:7" x14ac:dyDescent="0.35">
      <c r="A981" s="84">
        <v>966</v>
      </c>
      <c r="B981" s="84">
        <f t="shared" ca="1" si="45"/>
        <v>0.46293775944968307</v>
      </c>
      <c r="C981" s="84">
        <f t="shared" ca="1" si="45"/>
        <v>0.5835824223295617</v>
      </c>
      <c r="D981" s="93" cm="1">
        <f t="array" aca="1" ref="D981" ca="1">_xlfn.SWITCH($B$4,"Normal MLE",EXP(_xlfn.NORM.INV(B981,LN($C$9),$E$9/$C$9)),"Uniforme",$B$9+($D$9-$B$9)*B981,"Triangular",IF(B981&lt;=($C$9-$B$9)/($D$9-$B$9),$B$9+SQRT(B981*($D$9-$B$9)*($C$9-$B$9)),$D$9-SQRT((1-B981)*($D$9-$B$9)*($D$9-$C$9))),"PERT",_xlfn.BETA.INV(B981,1+$B$6*($C$9-$B$9)/($D$9-$B$9),1+$B$6*($D$9-$C$9)/($D$9-$B$9),$B$9,$D$9))</f>
        <v>1.9349573253686221</v>
      </c>
      <c r="E981" s="94" cm="1">
        <f t="array" aca="1" ref="E981" ca="1">_xlfn.SWITCH($B$4,"Normal MLE",EXP(_xlfn.NORM.INV(C981,LN($C$10),$E$10/$C$10)),"Uniforme",$B$10+($D$10-$B$10)*C981,"Triangular",IF(C981&lt;=($C$10-$B$10)/($D$10-$B$10),$B$10+SQRT(C981*($D$10-$B$10)*($C$10-$B$10)),$D$10-SQRT((1-C981)*($D$10-$B$10)*($D$10-$C$10))),"PERT",_xlfn.BETA.INV(C981,1+$B$6*($C$10-$B$10)/($D$10-$B$10),1+$B$6*($D$10-$C$10)/($D$10-$B$10),$B$10,$D$10))</f>
        <v>5150.1119825093901</v>
      </c>
      <c r="F981" s="88">
        <f t="shared" ca="1" si="46"/>
        <v>0.5415970610425157</v>
      </c>
      <c r="G981" s="89">
        <f t="shared" ca="1" si="47"/>
        <v>1.6066201335566735E-4</v>
      </c>
    </row>
    <row r="982" spans="1:7" x14ac:dyDescent="0.35">
      <c r="A982" s="84">
        <v>967</v>
      </c>
      <c r="B982" s="84">
        <f t="shared" ca="1" si="45"/>
        <v>0.27479412104317136</v>
      </c>
      <c r="C982" s="84">
        <f t="shared" ca="1" si="45"/>
        <v>0.10620236354967938</v>
      </c>
      <c r="D982" s="93" cm="1">
        <f t="array" aca="1" ref="D982" ca="1">_xlfn.SWITCH($B$4,"Normal MLE",EXP(_xlfn.NORM.INV(B982,LN($C$9),$E$9/$C$9)),"Uniforme",$B$9+($D$9-$B$9)*B982,"Triangular",IF(B982&lt;=($C$9-$B$9)/($D$9-$B$9),$B$9+SQRT(B982*($D$9-$B$9)*($C$9-$B$9)),$D$9-SQRT((1-B982)*($D$9-$B$9)*($D$9-$C$9))),"PERT",_xlfn.BETA.INV(B982,1+$B$6*($C$9-$B$9)/($D$9-$B$9),1+$B$6*($D$9-$C$9)/($D$9-$B$9),$B$9,$D$9))</f>
        <v>1.8673108674639258</v>
      </c>
      <c r="E982" s="94" cm="1">
        <f t="array" aca="1" ref="E982" ca="1">_xlfn.SWITCH($B$4,"Normal MLE",EXP(_xlfn.NORM.INV(C982,LN($C$10),$E$10/$C$10)),"Uniforme",$B$10+($D$10-$B$10)*C982,"Triangular",IF(C982&lt;=($C$10-$B$10)/($D$10-$B$10),$B$10+SQRT(C982*($D$10-$B$10)*($C$10-$B$10)),$D$10-SQRT((1-C982)*($D$10-$B$10)*($D$10-$C$10))),"PERT",_xlfn.BETA.INV(C982,1+$B$6*($C$10-$B$10)/($D$10-$B$10),1+$B$6*($D$10-$C$10)/($D$10-$B$10),$B$10,$D$10))</f>
        <v>4812.2717083554098</v>
      </c>
      <c r="F982" s="88">
        <f t="shared" ca="1" si="46"/>
        <v>0.49259628555907414</v>
      </c>
      <c r="G982" s="89">
        <f t="shared" ca="1" si="47"/>
        <v>1.628250043265129E-4</v>
      </c>
    </row>
    <row r="983" spans="1:7" x14ac:dyDescent="0.35">
      <c r="A983" s="84">
        <v>968</v>
      </c>
      <c r="B983" s="84">
        <f t="shared" ca="1" si="45"/>
        <v>0.97850274426962369</v>
      </c>
      <c r="C983" s="84">
        <f t="shared" ca="1" si="45"/>
        <v>0.81103253806361075</v>
      </c>
      <c r="D983" s="93" cm="1">
        <f t="array" aca="1" ref="D983" ca="1">_xlfn.SWITCH($B$4,"Normal MLE",EXP(_xlfn.NORM.INV(B983,LN($C$9),$E$9/$C$9)),"Uniforme",$B$9+($D$9-$B$9)*B983,"Triangular",IF(B983&lt;=($C$9-$B$9)/($D$9-$B$9),$B$9+SQRT(B983*($D$9-$B$9)*($C$9-$B$9)),$D$9-SQRT((1-B983)*($D$9-$B$9)*($D$9-$C$9))),"PERT",_xlfn.BETA.INV(B983,1+$B$6*($C$9-$B$9)/($D$9-$B$9),1+$B$6*($D$9-$C$9)/($D$9-$B$9),$B$9,$D$9))</f>
        <v>2.2459960979681357</v>
      </c>
      <c r="E983" s="94" cm="1">
        <f t="array" aca="1" ref="E983" ca="1">_xlfn.SWITCH($B$4,"Normal MLE",EXP(_xlfn.NORM.INV(C983,LN($C$10),$E$10/$C$10)),"Uniforme",$B$10+($D$10-$B$10)*C983,"Triangular",IF(C983&lt;=($C$10-$B$10)/($D$10-$B$10),$B$10+SQRT(C983*($D$10-$B$10)*($C$10-$B$10)),$D$10-SQRT((1-C983)*($D$10-$B$10)*($D$10-$C$10))),"PERT",_xlfn.BETA.INV(C983,1+$B$6*($C$10-$B$10)/($D$10-$B$10),1+$B$6*($D$10-$C$10)/($D$10-$B$10),$B$10,$D$10))</f>
        <v>5313.3698665219399</v>
      </c>
      <c r="F983" s="88">
        <f t="shared" ca="1" si="46"/>
        <v>0.58948774964824535</v>
      </c>
      <c r="G983" s="89">
        <f t="shared" ca="1" si="47"/>
        <v>1.749322504674347E-4</v>
      </c>
    </row>
    <row r="984" spans="1:7" x14ac:dyDescent="0.35">
      <c r="A984" s="84">
        <v>969</v>
      </c>
      <c r="B984" s="84">
        <f t="shared" ca="1" si="45"/>
        <v>0.96481511608130877</v>
      </c>
      <c r="C984" s="84">
        <f t="shared" ca="1" si="45"/>
        <v>0.16667221860690207</v>
      </c>
      <c r="D984" s="93" cm="1">
        <f t="array" aca="1" ref="D984" ca="1">_xlfn.SWITCH($B$4,"Normal MLE",EXP(_xlfn.NORM.INV(B984,LN($C$9),$E$9/$C$9)),"Uniforme",$B$9+($D$9-$B$9)*B984,"Triangular",IF(B984&lt;=($C$9-$B$9)/($D$9-$B$9),$B$9+SQRT(B984*($D$9-$B$9)*($C$9-$B$9)),$D$9-SQRT((1-B984)*($D$9-$B$9)*($D$9-$C$9))),"PERT",_xlfn.BETA.INV(B984,1+$B$6*($C$9-$B$9)/($D$9-$B$9),1+$B$6*($D$9-$C$9)/($D$9-$B$9),$B$9,$D$9))</f>
        <v>2.2123657968735144</v>
      </c>
      <c r="E984" s="94" cm="1">
        <f t="array" aca="1" ref="E984" ca="1">_xlfn.SWITCH($B$4,"Normal MLE",EXP(_xlfn.NORM.INV(C984,LN($C$10),$E$10/$C$10)),"Uniforme",$B$10+($D$10-$B$10)*C984,"Triangular",IF(C984&lt;=($C$10-$B$10)/($D$10-$B$10),$B$10+SQRT(C984*($D$10-$B$10)*($C$10-$B$10)),$D$10-SQRT((1-C984)*($D$10-$B$10)*($D$10-$C$10))),"PERT",_xlfn.BETA.INV(C984,1+$B$6*($C$10-$B$10)/($D$10-$B$10),1+$B$6*($D$10-$C$10)/($D$10-$B$10),$B$10,$D$10))</f>
        <v>4875.2888990241181</v>
      </c>
      <c r="F984" s="88">
        <f t="shared" ca="1" si="46"/>
        <v>0.52442192104817753</v>
      </c>
      <c r="G984" s="89">
        <f t="shared" ca="1" si="47"/>
        <v>1.8721742073018202E-4</v>
      </c>
    </row>
    <row r="985" spans="1:7" x14ac:dyDescent="0.35">
      <c r="A985" s="84">
        <v>970</v>
      </c>
      <c r="B985" s="84">
        <f t="shared" ca="1" si="45"/>
        <v>0.79425972953661117</v>
      </c>
      <c r="C985" s="84">
        <f t="shared" ca="1" si="45"/>
        <v>0.23333665655717839</v>
      </c>
      <c r="D985" s="93" cm="1">
        <f t="array" aca="1" ref="D985" ca="1">_xlfn.SWITCH($B$4,"Normal MLE",EXP(_xlfn.NORM.INV(B985,LN($C$9),$E$9/$C$9)),"Uniforme",$B$9+($D$9-$B$9)*B985,"Triangular",IF(B985&lt;=($C$9-$B$9)/($D$9-$B$9),$B$9+SQRT(B985*($D$9-$B$9)*($C$9-$B$9)),$D$9-SQRT((1-B985)*($D$9-$B$9)*($D$9-$C$9))),"PERT",_xlfn.BETA.INV(B985,1+$B$6*($C$9-$B$9)/($D$9-$B$9),1+$B$6*($D$9-$C$9)/($D$9-$B$9),$B$9,$D$9))</f>
        <v>2.0636404859386013</v>
      </c>
      <c r="E985" s="94" cm="1">
        <f t="array" aca="1" ref="E985" ca="1">_xlfn.SWITCH($B$4,"Normal MLE",EXP(_xlfn.NORM.INV(C985,LN($C$10),$E$10/$C$10)),"Uniforme",$B$10+($D$10-$B$10)*C985,"Triangular",IF(C985&lt;=($C$10-$B$10)/($D$10-$B$10),$B$10+SQRT(C985*($D$10-$B$10)*($C$10-$B$10)),$D$10-SQRT((1-C985)*($D$10-$B$10)*($D$10-$C$10))),"PERT",_xlfn.BETA.INV(C985,1+$B$6*($C$10-$B$10)/($D$10-$B$10),1+$B$6*($D$10-$C$10)/($D$10-$B$10),$B$10,$D$10))</f>
        <v>4929.9270202025755</v>
      </c>
      <c r="F985" s="88">
        <f t="shared" ca="1" si="46"/>
        <v>0.52224239525113902</v>
      </c>
      <c r="G985" s="89">
        <f t="shared" ca="1" si="47"/>
        <v>1.7502813285702985E-4</v>
      </c>
    </row>
    <row r="986" spans="1:7" x14ac:dyDescent="0.35">
      <c r="A986" s="84">
        <v>971</v>
      </c>
      <c r="B986" s="84">
        <f t="shared" ca="1" si="45"/>
        <v>0.26632332900596267</v>
      </c>
      <c r="C986" s="84">
        <f t="shared" ca="1" si="45"/>
        <v>0.14695120677278706</v>
      </c>
      <c r="D986" s="93" cm="1">
        <f t="array" aca="1" ref="D986" ca="1">_xlfn.SWITCH($B$4,"Normal MLE",EXP(_xlfn.NORM.INV(B986,LN($C$9),$E$9/$C$9)),"Uniforme",$B$9+($D$9-$B$9)*B986,"Triangular",IF(B986&lt;=($C$9-$B$9)/($D$9-$B$9),$B$9+SQRT(B986*($D$9-$B$9)*($C$9-$B$9)),$D$9-SQRT((1-B986)*($D$9-$B$9)*($D$9-$C$9))),"PERT",_xlfn.BETA.INV(B986,1+$B$6*($C$9-$B$9)/($D$9-$B$9),1+$B$6*($D$9-$C$9)/($D$9-$B$9),$B$9,$D$9))</f>
        <v>1.8639484524608878</v>
      </c>
      <c r="E986" s="94" cm="1">
        <f t="array" aca="1" ref="E986" ca="1">_xlfn.SWITCH($B$4,"Normal MLE",EXP(_xlfn.NORM.INV(C986,LN($C$10),$E$10/$C$10)),"Uniforme",$B$10+($D$10-$B$10)*C986,"Triangular",IF(C986&lt;=($C$10-$B$10)/($D$10-$B$10),$B$10+SQRT(C986*($D$10-$B$10)*($C$10-$B$10)),$D$10-SQRT((1-C986)*($D$10-$B$10)*($D$10-$C$10))),"PERT",_xlfn.BETA.INV(C986,1+$B$6*($C$10-$B$10)/($D$10-$B$10),1+$B$6*($D$10-$C$10)/($D$10-$B$10),$B$10,$D$10))</f>
        <v>4856.6759855191158</v>
      </c>
      <c r="F986" s="88">
        <f t="shared" ca="1" si="46"/>
        <v>0.49833686008661704</v>
      </c>
      <c r="G986" s="89">
        <f t="shared" ca="1" si="47"/>
        <v>1.6173534792592584E-4</v>
      </c>
    </row>
    <row r="987" spans="1:7" x14ac:dyDescent="0.35">
      <c r="A987" s="84">
        <v>972</v>
      </c>
      <c r="B987" s="84">
        <f t="shared" ca="1" si="45"/>
        <v>4.7147071902005289E-2</v>
      </c>
      <c r="C987" s="84">
        <f t="shared" ca="1" si="45"/>
        <v>0.85373433061297888</v>
      </c>
      <c r="D987" s="93" cm="1">
        <f t="array" aca="1" ref="D987" ca="1">_xlfn.SWITCH($B$4,"Normal MLE",EXP(_xlfn.NORM.INV(B987,LN($C$9),$E$9/$C$9)),"Uniforme",$B$9+($D$9-$B$9)*B987,"Triangular",IF(B987&lt;=($C$9-$B$9)/($D$9-$B$9),$B$9+SQRT(B987*($D$9-$B$9)*($C$9-$B$9)),$D$9-SQRT((1-B987)*($D$9-$B$9)*($D$9-$C$9))),"PERT",_xlfn.BETA.INV(B987,1+$B$6*($C$9-$B$9)/($D$9-$B$9),1+$B$6*($D$9-$C$9)/($D$9-$B$9),$B$9,$D$9))</f>
        <v>1.7311970859256616</v>
      </c>
      <c r="E987" s="94" cm="1">
        <f t="array" aca="1" ref="E987" ca="1">_xlfn.SWITCH($B$4,"Normal MLE",EXP(_xlfn.NORM.INV(C987,LN($C$10),$E$10/$C$10)),"Uniforme",$B$10+($D$10-$B$10)*C987,"Triangular",IF(C987&lt;=($C$10-$B$10)/($D$10-$B$10),$B$10+SQRT(C987*($D$10-$B$10)*($C$10-$B$10)),$D$10-SQRT((1-C987)*($D$10-$B$10)*($D$10-$C$10))),"PERT",_xlfn.BETA.INV(C987,1+$B$6*($C$10-$B$10)/($D$10-$B$10),1+$B$6*($D$10-$C$10)/($D$10-$B$10),$B$10,$D$10))</f>
        <v>5355.788333469025</v>
      </c>
      <c r="F987" s="88">
        <f t="shared" ca="1" si="46"/>
        <v>0.54699273535846937</v>
      </c>
      <c r="G987" s="89">
        <f t="shared" ca="1" si="47"/>
        <v>1.4282874736953351E-4</v>
      </c>
    </row>
    <row r="988" spans="1:7" x14ac:dyDescent="0.35">
      <c r="A988" s="84">
        <v>973</v>
      </c>
      <c r="B988" s="84">
        <f t="shared" ca="1" si="45"/>
        <v>0.75822641884597397</v>
      </c>
      <c r="C988" s="84">
        <f t="shared" ca="1" si="45"/>
        <v>0.34159143847845042</v>
      </c>
      <c r="D988" s="93" cm="1">
        <f t="array" aca="1" ref="D988" ca="1">_xlfn.SWITCH($B$4,"Normal MLE",EXP(_xlfn.NORM.INV(B988,LN($C$9),$E$9/$C$9)),"Uniforme",$B$9+($D$9-$B$9)*B988,"Triangular",IF(B988&lt;=($C$9-$B$9)/($D$9-$B$9),$B$9+SQRT(B988*($D$9-$B$9)*($C$9-$B$9)),$D$9-SQRT((1-B988)*($D$9-$B$9)*($D$9-$C$9))),"PERT",_xlfn.BETA.INV(B988,1+$B$6*($C$9-$B$9)/($D$9-$B$9),1+$B$6*($D$9-$C$9)/($D$9-$B$9),$B$9,$D$9))</f>
        <v>2.046177207879107</v>
      </c>
      <c r="E988" s="94" cm="1">
        <f t="array" aca="1" ref="E988" ca="1">_xlfn.SWITCH($B$4,"Normal MLE",EXP(_xlfn.NORM.INV(C988,LN($C$10),$E$10/$C$10)),"Uniforme",$B$10+($D$10-$B$10)*C988,"Triangular",IF(C988&lt;=($C$10-$B$10)/($D$10-$B$10),$B$10+SQRT(C988*($D$10-$B$10)*($C$10-$B$10)),$D$10-SQRT((1-C988)*($D$10-$B$10)*($D$10-$C$10))),"PERT",_xlfn.BETA.INV(C988,1+$B$6*($C$10-$B$10)/($D$10-$B$10),1+$B$6*($D$10-$C$10)/($D$10-$B$10),$B$10,$D$10))</f>
        <v>5003.8362324133714</v>
      </c>
      <c r="F988" s="88">
        <f t="shared" ca="1" si="46"/>
        <v>0.53129071760196411</v>
      </c>
      <c r="G988" s="89">
        <f t="shared" ca="1" si="47"/>
        <v>1.7188535392519342E-4</v>
      </c>
    </row>
    <row r="989" spans="1:7" x14ac:dyDescent="0.35">
      <c r="A989" s="84">
        <v>974</v>
      </c>
      <c r="B989" s="84">
        <f t="shared" ca="1" si="45"/>
        <v>0.69628451982713613</v>
      </c>
      <c r="C989" s="84">
        <f t="shared" ca="1" si="45"/>
        <v>0.22691732134986642</v>
      </c>
      <c r="D989" s="93" cm="1">
        <f t="array" aca="1" ref="D989" ca="1">_xlfn.SWITCH($B$4,"Normal MLE",EXP(_xlfn.NORM.INV(B989,LN($C$9),$E$9/$C$9)),"Uniforme",$B$9+($D$9-$B$9)*B989,"Triangular",IF(B989&lt;=($C$9-$B$9)/($D$9-$B$9),$B$9+SQRT(B989*($D$9-$B$9)*($C$9-$B$9)),$D$9-SQRT((1-B989)*($D$9-$B$9)*($D$9-$C$9))),"PERT",_xlfn.BETA.INV(B989,1+$B$6*($C$9-$B$9)/($D$9-$B$9),1+$B$6*($D$9-$C$9)/($D$9-$B$9),$B$9,$D$9))</f>
        <v>2.0194281038066277</v>
      </c>
      <c r="E989" s="94" cm="1">
        <f t="array" aca="1" ref="E989" ca="1">_xlfn.SWITCH($B$4,"Normal MLE",EXP(_xlfn.NORM.INV(C989,LN($C$10),$E$10/$C$10)),"Uniforme",$B$10+($D$10-$B$10)*C989,"Triangular",IF(C989&lt;=($C$10-$B$10)/($D$10-$B$10),$B$10+SQRT(C989*($D$10-$B$10)*($C$10-$B$10)),$D$10-SQRT((1-C989)*($D$10-$B$10)*($D$10-$C$10))),"PERT",_xlfn.BETA.INV(C989,1+$B$6*($C$10-$B$10)/($D$10-$B$10),1+$B$6*($D$10-$C$10)/($D$10-$B$10),$B$10,$D$10))</f>
        <v>4925.08080847573</v>
      </c>
      <c r="F989" s="88">
        <f t="shared" ca="1" si="46"/>
        <v>0.51842578519495985</v>
      </c>
      <c r="G989" s="89">
        <f t="shared" ca="1" si="47"/>
        <v>1.7194631210316254E-4</v>
      </c>
    </row>
    <row r="990" spans="1:7" x14ac:dyDescent="0.35">
      <c r="A990" s="84">
        <v>975</v>
      </c>
      <c r="B990" s="84">
        <f t="shared" ca="1" si="45"/>
        <v>6.3597513871506139E-2</v>
      </c>
      <c r="C990" s="84">
        <f t="shared" ca="1" si="45"/>
        <v>5.7877902721736985E-2</v>
      </c>
      <c r="D990" s="93" cm="1">
        <f t="array" aca="1" ref="D990" ca="1">_xlfn.SWITCH($B$4,"Normal MLE",EXP(_xlfn.NORM.INV(B990,LN($C$9),$E$9/$C$9)),"Uniforme",$B$9+($D$9-$B$9)*B990,"Triangular",IF(B990&lt;=($C$9-$B$9)/($D$9-$B$9),$B$9+SQRT(B990*($D$9-$B$9)*($C$9-$B$9)),$D$9-SQRT((1-B990)*($D$9-$B$9)*($D$9-$C$9))),"PERT",_xlfn.BETA.INV(B990,1+$B$6*($C$9-$B$9)/($D$9-$B$9),1+$B$6*($D$9-$C$9)/($D$9-$B$9),$B$9,$D$9))</f>
        <v>1.7493232117237634</v>
      </c>
      <c r="E990" s="94" cm="1">
        <f t="array" aca="1" ref="E990" ca="1">_xlfn.SWITCH($B$4,"Normal MLE",EXP(_xlfn.NORM.INV(C990,LN($C$10),$E$10/$C$10)),"Uniforme",$B$10+($D$10-$B$10)*C990,"Triangular",IF(C990&lt;=($C$10-$B$10)/($D$10-$B$10),$B$10+SQRT(C990*($D$10-$B$10)*($C$10-$B$10)),$D$10-SQRT((1-C990)*($D$10-$B$10)*($D$10-$C$10))),"PERT",_xlfn.BETA.INV(C990,1+$B$6*($C$10-$B$10)/($D$10-$B$10),1+$B$6*($D$10-$C$10)/($D$10-$B$10),$B$10,$D$10))</f>
        <v>4739.8504986708103</v>
      </c>
      <c r="F990" s="88">
        <f t="shared" ca="1" si="46"/>
        <v>0.47562129921281487</v>
      </c>
      <c r="G990" s="89">
        <f t="shared" ca="1" si="47"/>
        <v>1.5457459001491948E-4</v>
      </c>
    </row>
    <row r="991" spans="1:7" x14ac:dyDescent="0.35">
      <c r="A991" s="84">
        <v>976</v>
      </c>
      <c r="B991" s="84">
        <f t="shared" ca="1" si="45"/>
        <v>0.60162962970972322</v>
      </c>
      <c r="C991" s="84">
        <f t="shared" ca="1" si="45"/>
        <v>0.47752672329546619</v>
      </c>
      <c r="D991" s="93" cm="1">
        <f t="array" aca="1" ref="D991" ca="1">_xlfn.SWITCH($B$4,"Normal MLE",EXP(_xlfn.NORM.INV(B991,LN($C$9),$E$9/$C$9)),"Uniforme",$B$9+($D$9-$B$9)*B991,"Triangular",IF(B991&lt;=($C$9-$B$9)/($D$9-$B$9),$B$9+SQRT(B991*($D$9-$B$9)*($C$9-$B$9)),$D$9-SQRT((1-B991)*($D$9-$B$9)*($D$9-$C$9))),"PERT",_xlfn.BETA.INV(B991,1+$B$6*($C$9-$B$9)/($D$9-$B$9),1+$B$6*($D$9-$C$9)/($D$9-$B$9),$B$9,$D$9))</f>
        <v>1.9833246145940253</v>
      </c>
      <c r="E991" s="94" cm="1">
        <f t="array" aca="1" ref="E991" ca="1">_xlfn.SWITCH($B$4,"Normal MLE",EXP(_xlfn.NORM.INV(C991,LN($C$10),$E$10/$C$10)),"Uniforme",$B$10+($D$10-$B$10)*C991,"Triangular",IF(C991&lt;=($C$10-$B$10)/($D$10-$B$10),$B$10+SQRT(C991*($D$10-$B$10)*($C$10-$B$10)),$D$10-SQRT((1-C991)*($D$10-$B$10)*($D$10-$C$10))),"PERT",_xlfn.BETA.INV(C991,1+$B$6*($C$10-$B$10)/($D$10-$B$10),1+$B$6*($D$10-$C$10)/($D$10-$B$10),$B$10,$D$10))</f>
        <v>5086.4179931201033</v>
      </c>
      <c r="F991" s="88">
        <f t="shared" ca="1" si="46"/>
        <v>0.53744948672834136</v>
      </c>
      <c r="G991" s="89">
        <f t="shared" ca="1" si="47"/>
        <v>1.6546550252532116E-4</v>
      </c>
    </row>
    <row r="992" spans="1:7" x14ac:dyDescent="0.35">
      <c r="A992" s="84">
        <v>977</v>
      </c>
      <c r="B992" s="84">
        <f t="shared" ca="1" si="45"/>
        <v>0.31395206125143482</v>
      </c>
      <c r="C992" s="84">
        <f t="shared" ca="1" si="45"/>
        <v>0.40801937750065609</v>
      </c>
      <c r="D992" s="93" cm="1">
        <f t="array" aca="1" ref="D992" ca="1">_xlfn.SWITCH($B$4,"Normal MLE",EXP(_xlfn.NORM.INV(B992,LN($C$9),$E$9/$C$9)),"Uniforme",$B$9+($D$9-$B$9)*B992,"Triangular",IF(B992&lt;=($C$9-$B$9)/($D$9-$B$9),$B$9+SQRT(B992*($D$9-$B$9)*($C$9-$B$9)),$D$9-SQRT((1-B992)*($D$9-$B$9)*($D$9-$C$9))),"PERT",_xlfn.BETA.INV(B992,1+$B$6*($C$9-$B$9)/($D$9-$B$9),1+$B$6*($D$9-$C$9)/($D$9-$B$9),$B$9,$D$9))</f>
        <v>1.8823216476255176</v>
      </c>
      <c r="E992" s="94" cm="1">
        <f t="array" aca="1" ref="E992" ca="1">_xlfn.SWITCH($B$4,"Normal MLE",EXP(_xlfn.NORM.INV(C992,LN($C$10),$E$10/$C$10)),"Uniforme",$B$10+($D$10-$B$10)*C992,"Triangular",IF(C992&lt;=($C$10-$B$10)/($D$10-$B$10),$B$10+SQRT(C992*($D$10-$B$10)*($C$10-$B$10)),$D$10-SQRT((1-C992)*($D$10-$B$10)*($D$10-$C$10))),"PERT",_xlfn.BETA.INV(C992,1+$B$6*($C$10-$B$10)/($D$10-$B$10),1+$B$6*($D$10-$C$10)/($D$10-$B$10),$B$10,$D$10))</f>
        <v>5044.8642328372498</v>
      </c>
      <c r="F992" s="88">
        <f t="shared" ca="1" si="46"/>
        <v>0.52409975161842037</v>
      </c>
      <c r="G992" s="89">
        <f t="shared" ca="1" si="47"/>
        <v>1.5934174074958381E-4</v>
      </c>
    </row>
    <row r="993" spans="1:7" x14ac:dyDescent="0.35">
      <c r="A993" s="84">
        <v>978</v>
      </c>
      <c r="B993" s="84">
        <f t="shared" ca="1" si="45"/>
        <v>0.82239884281107156</v>
      </c>
      <c r="C993" s="84">
        <f t="shared" ca="1" si="45"/>
        <v>0.37503859166982922</v>
      </c>
      <c r="D993" s="93" cm="1">
        <f t="array" aca="1" ref="D993" ca="1">_xlfn.SWITCH($B$4,"Normal MLE",EXP(_xlfn.NORM.INV(B993,LN($C$9),$E$9/$C$9)),"Uniforme",$B$9+($D$9-$B$9)*B993,"Triangular",IF(B993&lt;=($C$9-$B$9)/($D$9-$B$9),$B$9+SQRT(B993*($D$9-$B$9)*($C$9-$B$9)),$D$9-SQRT((1-B993)*($D$9-$B$9)*($D$9-$C$9))),"PERT",_xlfn.BETA.INV(B993,1+$B$6*($C$9-$B$9)/($D$9-$B$9),1+$B$6*($D$9-$C$9)/($D$9-$B$9),$B$9,$D$9))</f>
        <v>2.0787001821803299</v>
      </c>
      <c r="E993" s="94" cm="1">
        <f t="array" aca="1" ref="E993" ca="1">_xlfn.SWITCH($B$4,"Normal MLE",EXP(_xlfn.NORM.INV(C993,LN($C$10),$E$10/$C$10)),"Uniforme",$B$10+($D$10-$B$10)*C993,"Triangular",IF(C993&lt;=($C$10-$B$10)/($D$10-$B$10),$B$10+SQRT(C993*($D$10-$B$10)*($C$10-$B$10)),$D$10-SQRT((1-C993)*($D$10-$B$10)*($D$10-$C$10))),"PERT",_xlfn.BETA.INV(C993,1+$B$6*($C$10-$B$10)/($D$10-$B$10),1+$B$6*($D$10-$C$10)/($D$10-$B$10),$B$10,$D$10))</f>
        <v>5024.7398946868607</v>
      </c>
      <c r="F993" s="88">
        <f t="shared" ca="1" si="46"/>
        <v>0.53663362103093959</v>
      </c>
      <c r="G993" s="89">
        <f t="shared" ca="1" si="47"/>
        <v>1.7358293093865801E-4</v>
      </c>
    </row>
    <row r="994" spans="1:7" x14ac:dyDescent="0.35">
      <c r="A994" s="84">
        <v>979</v>
      </c>
      <c r="B994" s="84">
        <f t="shared" ca="1" si="45"/>
        <v>0.60544469640403586</v>
      </c>
      <c r="C994" s="84">
        <f t="shared" ca="1" si="45"/>
        <v>0.69979131710556919</v>
      </c>
      <c r="D994" s="93" cm="1">
        <f t="array" aca="1" ref="D994" ca="1">_xlfn.SWITCH($B$4,"Normal MLE",EXP(_xlfn.NORM.INV(B994,LN($C$9),$E$9/$C$9)),"Uniforme",$B$9+($D$9-$B$9)*B994,"Triangular",IF(B994&lt;=($C$9-$B$9)/($D$9-$B$9),$B$9+SQRT(B994*($D$9-$B$9)*($C$9-$B$9)),$D$9-SQRT((1-B994)*($D$9-$B$9)*($D$9-$C$9))),"PERT",_xlfn.BETA.INV(B994,1+$B$6*($C$9-$B$9)/($D$9-$B$9),1+$B$6*($D$9-$C$9)/($D$9-$B$9),$B$9,$D$9))</f>
        <v>1.9847075323925369</v>
      </c>
      <c r="E994" s="94" cm="1">
        <f t="array" aca="1" ref="E994" ca="1">_xlfn.SWITCH($B$4,"Normal MLE",EXP(_xlfn.NORM.INV(C994,LN($C$10),$E$10/$C$10)),"Uniforme",$B$10+($D$10-$B$10)*C994,"Triangular",IF(C994&lt;=($C$10-$B$10)/($D$10-$B$10),$B$10+SQRT(C994*($D$10-$B$10)*($C$10-$B$10)),$D$10-SQRT((1-C994)*($D$10-$B$10)*($D$10-$C$10))),"PERT",_xlfn.BETA.INV(C994,1+$B$6*($C$10-$B$10)/($D$10-$B$10),1+$B$6*($D$10-$C$10)/($D$10-$B$10),$B$10,$D$10))</f>
        <v>5225.6087508337359</v>
      </c>
      <c r="F994" s="88">
        <f t="shared" ca="1" si="46"/>
        <v>0.55525355167556312</v>
      </c>
      <c r="G994" s="89">
        <f t="shared" ca="1" si="47"/>
        <v>1.6208737018016541E-4</v>
      </c>
    </row>
    <row r="995" spans="1:7" x14ac:dyDescent="0.35">
      <c r="A995" s="84">
        <v>980</v>
      </c>
      <c r="B995" s="84">
        <f t="shared" ca="1" si="45"/>
        <v>0.96536583351049621</v>
      </c>
      <c r="C995" s="84">
        <f t="shared" ca="1" si="45"/>
        <v>0.36442179249850326</v>
      </c>
      <c r="D995" s="93" cm="1">
        <f t="array" aca="1" ref="D995" ca="1">_xlfn.SWITCH($B$4,"Normal MLE",EXP(_xlfn.NORM.INV(B995,LN($C$9),$E$9/$C$9)),"Uniforme",$B$9+($D$9-$B$9)*B995,"Triangular",IF(B995&lt;=($C$9-$B$9)/($D$9-$B$9),$B$9+SQRT(B995*($D$9-$B$9)*($C$9-$B$9)),$D$9-SQRT((1-B995)*($D$9-$B$9)*($D$9-$C$9))),"PERT",_xlfn.BETA.INV(B995,1+$B$6*($C$9-$B$9)/($D$9-$B$9),1+$B$6*($D$9-$C$9)/($D$9-$B$9),$B$9,$D$9))</f>
        <v>2.2134788250074826</v>
      </c>
      <c r="E995" s="94" cm="1">
        <f t="array" aca="1" ref="E995" ca="1">_xlfn.SWITCH($B$4,"Normal MLE",EXP(_xlfn.NORM.INV(C995,LN($C$10),$E$10/$C$10)),"Uniforme",$B$10+($D$10-$B$10)*C995,"Triangular",IF(C995&lt;=($C$10-$B$10)/($D$10-$B$10),$B$10+SQRT(C995*($D$10-$B$10)*($C$10-$B$10)),$D$10-SQRT((1-C995)*($D$10-$B$10)*($D$10-$C$10))),"PERT",_xlfn.BETA.INV(C995,1+$B$6*($C$10-$B$10)/($D$10-$B$10),1+$B$6*($D$10-$C$10)/($D$10-$B$10),$B$10,$D$10))</f>
        <v>5018.1675489860472</v>
      </c>
      <c r="F995" s="88">
        <f t="shared" ca="1" si="46"/>
        <v>0.54588438176845544</v>
      </c>
      <c r="G995" s="89">
        <f t="shared" ca="1" si="47"/>
        <v>1.8286105416462784E-4</v>
      </c>
    </row>
    <row r="996" spans="1:7" x14ac:dyDescent="0.35">
      <c r="A996" s="84">
        <v>981</v>
      </c>
      <c r="B996" s="84">
        <f t="shared" ca="1" si="45"/>
        <v>0.30810851074264656</v>
      </c>
      <c r="C996" s="84">
        <f t="shared" ca="1" si="45"/>
        <v>0.28628114755527367</v>
      </c>
      <c r="D996" s="93" cm="1">
        <f t="array" aca="1" ref="D996" ca="1">_xlfn.SWITCH($B$4,"Normal MLE",EXP(_xlfn.NORM.INV(B996,LN($C$9),$E$9/$C$9)),"Uniforme",$B$9+($D$9-$B$9)*B996,"Triangular",IF(B996&lt;=($C$9-$B$9)/($D$9-$B$9),$B$9+SQRT(B996*($D$9-$B$9)*($C$9-$B$9)),$D$9-SQRT((1-B996)*($D$9-$B$9)*($D$9-$C$9))),"PERT",_xlfn.BETA.INV(B996,1+$B$6*($C$9-$B$9)/($D$9-$B$9),1+$B$6*($D$9-$C$9)/($D$9-$B$9),$B$9,$D$9))</f>
        <v>1.8801305047419623</v>
      </c>
      <c r="E996" s="94" cm="1">
        <f t="array" aca="1" ref="E996" ca="1">_xlfn.SWITCH($B$4,"Normal MLE",EXP(_xlfn.NORM.INV(C996,LN($C$10),$E$10/$C$10)),"Uniforme",$B$10+($D$10-$B$10)*C996,"Triangular",IF(C996&lt;=($C$10-$B$10)/($D$10-$B$10),$B$10+SQRT(C996*($D$10-$B$10)*($C$10-$B$10)),$D$10-SQRT((1-C996)*($D$10-$B$10)*($D$10-$C$10))),"PERT",_xlfn.BETA.INV(C996,1+$B$6*($C$10-$B$10)/($D$10-$B$10),1+$B$6*($D$10-$C$10)/($D$10-$B$10),$B$10,$D$10))</f>
        <v>4967.6065831492642</v>
      </c>
      <c r="F996" s="88">
        <f t="shared" ca="1" si="46"/>
        <v>0.51405133201666453</v>
      </c>
      <c r="G996" s="89">
        <f t="shared" ca="1" si="47"/>
        <v>1.6078231355055373E-4</v>
      </c>
    </row>
    <row r="997" spans="1:7" x14ac:dyDescent="0.35">
      <c r="A997" s="84">
        <v>982</v>
      </c>
      <c r="B997" s="84">
        <f t="shared" ca="1" si="45"/>
        <v>5.4212593381795071E-2</v>
      </c>
      <c r="C997" s="84">
        <f t="shared" ca="1" si="45"/>
        <v>7.5173799990960855E-2</v>
      </c>
      <c r="D997" s="93" cm="1">
        <f t="array" aca="1" ref="D997" ca="1">_xlfn.SWITCH($B$4,"Normal MLE",EXP(_xlfn.NORM.INV(B997,LN($C$9),$E$9/$C$9)),"Uniforme",$B$9+($D$9-$B$9)*B997,"Triangular",IF(B997&lt;=($C$9-$B$9)/($D$9-$B$9),$B$9+SQRT(B997*($D$9-$B$9)*($C$9-$B$9)),$D$9-SQRT((1-B997)*($D$9-$B$9)*($D$9-$C$9))),"PERT",_xlfn.BETA.INV(B997,1+$B$6*($C$9-$B$9)/($D$9-$B$9),1+$B$6*($D$9-$C$9)/($D$9-$B$9),$B$9,$D$9))</f>
        <v>1.7394892734245684</v>
      </c>
      <c r="E997" s="94" cm="1">
        <f t="array" aca="1" ref="E997" ca="1">_xlfn.SWITCH($B$4,"Normal MLE",EXP(_xlfn.NORM.INV(C997,LN($C$10),$E$10/$C$10)),"Uniforme",$B$10+($D$10-$B$10)*C997,"Triangular",IF(C997&lt;=($C$10-$B$10)/($D$10-$B$10),$B$10+SQRT(C997*($D$10-$B$10)*($C$10-$B$10)),$D$10-SQRT((1-C997)*($D$10-$B$10)*($D$10-$C$10))),"PERT",_xlfn.BETA.INV(C997,1+$B$6*($C$10-$B$10)/($D$10-$B$10),1+$B$6*($D$10-$C$10)/($D$10-$B$10),$B$10,$D$10))</f>
        <v>4769.6174889518497</v>
      </c>
      <c r="F997" s="88">
        <f t="shared" ca="1" si="46"/>
        <v>0.47887663119422036</v>
      </c>
      <c r="G997" s="89">
        <f t="shared" ca="1" si="47"/>
        <v>1.5333717065587192E-4</v>
      </c>
    </row>
    <row r="998" spans="1:7" x14ac:dyDescent="0.35">
      <c r="A998" s="84">
        <v>983</v>
      </c>
      <c r="B998" s="84">
        <f t="shared" ca="1" si="45"/>
        <v>0.20563637878199026</v>
      </c>
      <c r="C998" s="84">
        <f t="shared" ca="1" si="45"/>
        <v>0.49669489572106129</v>
      </c>
      <c r="D998" s="93" cm="1">
        <f t="array" aca="1" ref="D998" ca="1">_xlfn.SWITCH($B$4,"Normal MLE",EXP(_xlfn.NORM.INV(B998,LN($C$9),$E$9/$C$9)),"Uniforme",$B$9+($D$9-$B$9)*B998,"Triangular",IF(B998&lt;=($C$9-$B$9)/($D$9-$B$9),$B$9+SQRT(B998*($D$9-$B$9)*($C$9-$B$9)),$D$9-SQRT((1-B998)*($D$9-$B$9)*($D$9-$C$9))),"PERT",_xlfn.BETA.INV(B998,1+$B$6*($C$9-$B$9)/($D$9-$B$9),1+$B$6*($D$9-$C$9)/($D$9-$B$9),$B$9,$D$9))</f>
        <v>1.8381804396617907</v>
      </c>
      <c r="E998" s="94" cm="1">
        <f t="array" aca="1" ref="E998" ca="1">_xlfn.SWITCH($B$4,"Normal MLE",EXP(_xlfn.NORM.INV(C998,LN($C$10),$E$10/$C$10)),"Uniforme",$B$10+($D$10-$B$10)*C998,"Triangular",IF(C998&lt;=($C$10-$B$10)/($D$10-$B$10),$B$10+SQRT(C998*($D$10-$B$10)*($C$10-$B$10)),$D$10-SQRT((1-C998)*($D$10-$B$10)*($D$10-$C$10))),"PERT",_xlfn.BETA.INV(C998,1+$B$6*($C$10-$B$10)/($D$10-$B$10),1+$B$6*($D$10-$C$10)/($D$10-$B$10),$B$10,$D$10))</f>
        <v>5097.8102669513773</v>
      </c>
      <c r="F998" s="88">
        <f t="shared" ca="1" si="46"/>
        <v>0.52712448576042348</v>
      </c>
      <c r="G998" s="89">
        <f t="shared" ca="1" si="47"/>
        <v>1.551091499640629E-4</v>
      </c>
    </row>
    <row r="999" spans="1:7" x14ac:dyDescent="0.35">
      <c r="A999" s="84">
        <v>984</v>
      </c>
      <c r="B999" s="84">
        <f t="shared" ca="1" si="45"/>
        <v>0.21794315120124663</v>
      </c>
      <c r="C999" s="84">
        <f t="shared" ca="1" si="45"/>
        <v>0.18751569121528167</v>
      </c>
      <c r="D999" s="93" cm="1">
        <f t="array" aca="1" ref="D999" ca="1">_xlfn.SWITCH($B$4,"Normal MLE",EXP(_xlfn.NORM.INV(B999,LN($C$9),$E$9/$C$9)),"Uniforme",$B$9+($D$9-$B$9)*B999,"Triangular",IF(B999&lt;=($C$9-$B$9)/($D$9-$B$9),$B$9+SQRT(B999*($D$9-$B$9)*($C$9-$B$9)),$D$9-SQRT((1-B999)*($D$9-$B$9)*($D$9-$C$9))),"PERT",_xlfn.BETA.INV(B999,1+$B$6*($C$9-$B$9)/($D$9-$B$9),1+$B$6*($D$9-$C$9)/($D$9-$B$9),$B$9,$D$9))</f>
        <v>1.8436896904368116</v>
      </c>
      <c r="E999" s="94" cm="1">
        <f t="array" aca="1" ref="E999" ca="1">_xlfn.SWITCH($B$4,"Normal MLE",EXP(_xlfn.NORM.INV(C999,LN($C$10),$E$10/$C$10)),"Uniforme",$B$10+($D$10-$B$10)*C999,"Triangular",IF(C999&lt;=($C$10-$B$10)/($D$10-$B$10),$B$10+SQRT(C999*($D$10-$B$10)*($C$10-$B$10)),$D$10-SQRT((1-C999)*($D$10-$B$10)*($D$10-$C$10))),"PERT",_xlfn.BETA.INV(C999,1+$B$6*($C$10-$B$10)/($D$10-$B$10),1+$B$6*($D$10-$C$10)/($D$10-$B$10),$B$10,$D$10))</f>
        <v>4893.543014022328</v>
      </c>
      <c r="F999" s="88">
        <f t="shared" ca="1" si="46"/>
        <v>0.50180623921105427</v>
      </c>
      <c r="G999" s="89">
        <f t="shared" ca="1" si="47"/>
        <v>1.5948657082644787E-4</v>
      </c>
    </row>
    <row r="1000" spans="1:7" x14ac:dyDescent="0.35">
      <c r="A1000" s="84">
        <v>985</v>
      </c>
      <c r="B1000" s="84">
        <f t="shared" ca="1" si="45"/>
        <v>0.81404010847457342</v>
      </c>
      <c r="C1000" s="84">
        <f t="shared" ca="1" si="45"/>
        <v>0.91700055691807814</v>
      </c>
      <c r="D1000" s="93" cm="1">
        <f t="array" aca="1" ref="D1000" ca="1">_xlfn.SWITCH($B$4,"Normal MLE",EXP(_xlfn.NORM.INV(B1000,LN($C$9),$E$9/$C$9)),"Uniforme",$B$9+($D$9-$B$9)*B1000,"Triangular",IF(B1000&lt;=($C$9-$B$9)/($D$9-$B$9),$B$9+SQRT(B1000*($D$9-$B$9)*($C$9-$B$9)),$D$9-SQRT((1-B1000)*($D$9-$B$9)*($D$9-$C$9))),"PERT",_xlfn.BETA.INV(B1000,1+$B$6*($C$9-$B$9)/($D$9-$B$9),1+$B$6*($D$9-$C$9)/($D$9-$B$9),$B$9,$D$9))</f>
        <v>2.0740705544261426</v>
      </c>
      <c r="E1000" s="94" cm="1">
        <f t="array" aca="1" ref="E1000" ca="1">_xlfn.SWITCH($B$4,"Normal MLE",EXP(_xlfn.NORM.INV(C1000,LN($C$10),$E$10/$C$10)),"Uniforme",$B$10+($D$10-$B$10)*C1000,"Triangular",IF(C1000&lt;=($C$10-$B$10)/($D$10-$B$10),$B$10+SQRT(C1000*($D$10-$B$10)*($C$10-$B$10)),$D$10-SQRT((1-C1000)*($D$10-$B$10)*($D$10-$C$10))),"PERT",_xlfn.BETA.INV(C1000,1+$B$6*($C$10-$B$10)/($D$10-$B$10),1+$B$6*($D$10-$C$10)/($D$10-$B$10),$B$10,$D$10))</f>
        <v>5439.3239108745502</v>
      </c>
      <c r="F1000" s="88">
        <f t="shared" ca="1" si="46"/>
        <v>0.58941834622001676</v>
      </c>
      <c r="G1000" s="89">
        <f t="shared" ca="1" si="47"/>
        <v>1.6155857743589181E-4</v>
      </c>
    </row>
    <row r="1001" spans="1:7" x14ac:dyDescent="0.35">
      <c r="A1001" s="84">
        <v>986</v>
      </c>
      <c r="B1001" s="84">
        <f t="shared" ca="1" si="45"/>
        <v>0.32336360393054364</v>
      </c>
      <c r="C1001" s="84">
        <f t="shared" ca="1" si="45"/>
        <v>0.4895944803803941</v>
      </c>
      <c r="D1001" s="93" cm="1">
        <f t="array" aca="1" ref="D1001" ca="1">_xlfn.SWITCH($B$4,"Normal MLE",EXP(_xlfn.NORM.INV(B1001,LN($C$9),$E$9/$C$9)),"Uniforme",$B$9+($D$9-$B$9)*B1001,"Triangular",IF(B1001&lt;=($C$9-$B$9)/($D$9-$B$9),$B$9+SQRT(B1001*($D$9-$B$9)*($C$9-$B$9)),$D$9-SQRT((1-B1001)*($D$9-$B$9)*($D$9-$C$9))),"PERT",_xlfn.BETA.INV(B1001,1+$B$6*($C$9-$B$9)/($D$9-$B$9),1+$B$6*($D$9-$C$9)/($D$9-$B$9),$B$9,$D$9))</f>
        <v>1.885819682202222</v>
      </c>
      <c r="E1001" s="94" cm="1">
        <f t="array" aca="1" ref="E1001" ca="1">_xlfn.SWITCH($B$4,"Normal MLE",EXP(_xlfn.NORM.INV(C1001,LN($C$10),$E$10/$C$10)),"Uniforme",$B$10+($D$10-$B$10)*C1001,"Triangular",IF(C1001&lt;=($C$10-$B$10)/($D$10-$B$10),$B$10+SQRT(C1001*($D$10-$B$10)*($C$10-$B$10)),$D$10-SQRT((1-C1001)*($D$10-$B$10)*($D$10-$C$10))),"PERT",_xlfn.BETA.INV(C1001,1+$B$6*($C$10-$B$10)/($D$10-$B$10),1+$B$6*($D$10-$C$10)/($D$10-$B$10),$B$10,$D$10))</f>
        <v>5093.5892166748436</v>
      </c>
      <c r="F1001" s="88">
        <f t="shared" ca="1" si="46"/>
        <v>0.53049069810404537</v>
      </c>
      <c r="G1001" s="89">
        <f t="shared" ca="1" si="47"/>
        <v>1.5855316224583336E-4</v>
      </c>
    </row>
    <row r="1002" spans="1:7" x14ac:dyDescent="0.35">
      <c r="A1002" s="84">
        <v>987</v>
      </c>
      <c r="B1002" s="84">
        <f t="shared" ca="1" si="45"/>
        <v>0.45842410657835531</v>
      </c>
      <c r="C1002" s="84">
        <f t="shared" ca="1" si="45"/>
        <v>0.2354267390330903</v>
      </c>
      <c r="D1002" s="93" cm="1">
        <f t="array" aca="1" ref="D1002" ca="1">_xlfn.SWITCH($B$4,"Normal MLE",EXP(_xlfn.NORM.INV(B1002,LN($C$9),$E$9/$C$9)),"Uniforme",$B$9+($D$9-$B$9)*B1002,"Triangular",IF(B1002&lt;=($C$9-$B$9)/($D$9-$B$9),$B$9+SQRT(B1002*($D$9-$B$9)*($C$9-$B$9)),$D$9-SQRT((1-B1002)*($D$9-$B$9)*($D$9-$C$9))),"PERT",_xlfn.BETA.INV(B1002,1+$B$6*($C$9-$B$9)/($D$9-$B$9),1+$B$6*($D$9-$C$9)/($D$9-$B$9),$B$9,$D$9))</f>
        <v>1.9334087691449755</v>
      </c>
      <c r="E1002" s="94" cm="1">
        <f t="array" aca="1" ref="E1002" ca="1">_xlfn.SWITCH($B$4,"Normal MLE",EXP(_xlfn.NORM.INV(C1002,LN($C$10),$E$10/$C$10)),"Uniforme",$B$10+($D$10-$B$10)*C1002,"Triangular",IF(C1002&lt;=($C$10-$B$10)/($D$10-$B$10),$B$10+SQRT(C1002*($D$10-$B$10)*($C$10-$B$10)),$D$10-SQRT((1-C1002)*($D$10-$B$10)*($D$10-$C$10))),"PERT",_xlfn.BETA.INV(C1002,1+$B$6*($C$10-$B$10)/($D$10-$B$10),1+$B$6*($D$10-$C$10)/($D$10-$B$10),$B$10,$D$10))</f>
        <v>4931.4898650547384</v>
      </c>
      <c r="F1002" s="88">
        <f t="shared" ca="1" si="46"/>
        <v>0.51317332037392716</v>
      </c>
      <c r="G1002" s="89">
        <f t="shared" ca="1" si="47"/>
        <v>1.6548011225014515E-4</v>
      </c>
    </row>
    <row r="1003" spans="1:7" x14ac:dyDescent="0.35">
      <c r="A1003" s="84">
        <v>988</v>
      </c>
      <c r="B1003" s="84">
        <f t="shared" ca="1" si="45"/>
        <v>0.47824977403584712</v>
      </c>
      <c r="C1003" s="84">
        <f t="shared" ca="1" si="45"/>
        <v>0.43757857617581708</v>
      </c>
      <c r="D1003" s="93" cm="1">
        <f t="array" aca="1" ref="D1003" ca="1">_xlfn.SWITCH($B$4,"Normal MLE",EXP(_xlfn.NORM.INV(B1003,LN($C$9),$E$9/$C$9)),"Uniforme",$B$9+($D$9-$B$9)*B1003,"Triangular",IF(B1003&lt;=($C$9-$B$9)/($D$9-$B$9),$B$9+SQRT(B1003*($D$9-$B$9)*($C$9-$B$9)),$D$9-SQRT((1-B1003)*($D$9-$B$9)*($D$9-$C$9))),"PERT",_xlfn.BETA.INV(B1003,1+$B$6*($C$9-$B$9)/($D$9-$B$9),1+$B$6*($D$9-$C$9)/($D$9-$B$9),$B$9,$D$9))</f>
        <v>1.9402088350663727</v>
      </c>
      <c r="E1003" s="94" cm="1">
        <f t="array" aca="1" ref="E1003" ca="1">_xlfn.SWITCH($B$4,"Normal MLE",EXP(_xlfn.NORM.INV(C1003,LN($C$10),$E$10/$C$10)),"Uniforme",$B$10+($D$10-$B$10)*C1003,"Triangular",IF(C1003&lt;=($C$10-$B$10)/($D$10-$B$10),$B$10+SQRT(C1003*($D$10-$B$10)*($C$10-$B$10)),$D$10-SQRT((1-C1003)*($D$10-$B$10)*($D$10-$C$10))),"PERT",_xlfn.BETA.INV(C1003,1+$B$6*($C$10-$B$10)/($D$10-$B$10),1+$B$6*($D$10-$C$10)/($D$10-$B$10),$B$10,$D$10))</f>
        <v>5062.6271634461318</v>
      </c>
      <c r="F1003" s="88">
        <f t="shared" ca="1" si="46"/>
        <v>0.53093297518458971</v>
      </c>
      <c r="G1003" s="89">
        <f t="shared" ca="1" si="47"/>
        <v>1.6304739654602387E-4</v>
      </c>
    </row>
    <row r="1004" spans="1:7" x14ac:dyDescent="0.35">
      <c r="A1004" s="84">
        <v>989</v>
      </c>
      <c r="B1004" s="84">
        <f t="shared" ca="1" si="45"/>
        <v>0.89031333313476635</v>
      </c>
      <c r="C1004" s="84">
        <f t="shared" ca="1" si="45"/>
        <v>0.62559583378292871</v>
      </c>
      <c r="D1004" s="93" cm="1">
        <f t="array" aca="1" ref="D1004" ca="1">_xlfn.SWITCH($B$4,"Normal MLE",EXP(_xlfn.NORM.INV(B1004,LN($C$9),$E$9/$C$9)),"Uniforme",$B$9+($D$9-$B$9)*B1004,"Triangular",IF(B1004&lt;=($C$9-$B$9)/($D$9-$B$9),$B$9+SQRT(B1004*($D$9-$B$9)*($C$9-$B$9)),$D$9-SQRT((1-B1004)*($D$9-$B$9)*($D$9-$C$9))),"PERT",_xlfn.BETA.INV(B1004,1+$B$6*($C$9-$B$9)/($D$9-$B$9),1+$B$6*($D$9-$C$9)/($D$9-$B$9),$B$9,$D$9))</f>
        <v>2.1236274743098913</v>
      </c>
      <c r="E1004" s="94" cm="1">
        <f t="array" aca="1" ref="E1004" ca="1">_xlfn.SWITCH($B$4,"Normal MLE",EXP(_xlfn.NORM.INV(C1004,LN($C$10),$E$10/$C$10)),"Uniforme",$B$10+($D$10-$B$10)*C1004,"Triangular",IF(C1004&lt;=($C$10-$B$10)/($D$10-$B$10),$B$10+SQRT(C1004*($D$10-$B$10)*($C$10-$B$10)),$D$10-SQRT((1-C1004)*($D$10-$B$10)*($D$10-$C$10))),"PERT",_xlfn.BETA.INV(C1004,1+$B$6*($C$10-$B$10)/($D$10-$B$10),1+$B$6*($D$10-$C$10)/($D$10-$B$10),$B$10,$D$10))</f>
        <v>5176.3356948849832</v>
      </c>
      <c r="F1004" s="88">
        <f t="shared" ca="1" si="46"/>
        <v>0.5607910389585492</v>
      </c>
      <c r="G1004" s="89">
        <f t="shared" ca="1" si="47"/>
        <v>1.7220782885796979E-4</v>
      </c>
    </row>
    <row r="1005" spans="1:7" x14ac:dyDescent="0.35">
      <c r="A1005" s="84">
        <v>990</v>
      </c>
      <c r="B1005" s="84">
        <f t="shared" ca="1" si="45"/>
        <v>4.2491636903147167E-2</v>
      </c>
      <c r="C1005" s="84">
        <f t="shared" ca="1" si="45"/>
        <v>0.56170336720255909</v>
      </c>
      <c r="D1005" s="93" cm="1">
        <f t="array" aca="1" ref="D1005" ca="1">_xlfn.SWITCH($B$4,"Normal MLE",EXP(_xlfn.NORM.INV(B1005,LN($C$9),$E$9/$C$9)),"Uniforme",$B$9+($D$9-$B$9)*B1005,"Triangular",IF(B1005&lt;=($C$9-$B$9)/($D$9-$B$9),$B$9+SQRT(B1005*($D$9-$B$9)*($C$9-$B$9)),$D$9-SQRT((1-B1005)*($D$9-$B$9)*($D$9-$C$9))),"PERT",_xlfn.BETA.INV(B1005,1+$B$6*($C$9-$B$9)/($D$9-$B$9),1+$B$6*($D$9-$C$9)/($D$9-$B$9),$B$9,$D$9))</f>
        <v>1.7251963885676449</v>
      </c>
      <c r="E1005" s="94" cm="1">
        <f t="array" aca="1" ref="E1005" ca="1">_xlfn.SWITCH($B$4,"Normal MLE",EXP(_xlfn.NORM.INV(C1005,LN($C$10),$E$10/$C$10)),"Uniforme",$B$10+($D$10-$B$10)*C1005,"Triangular",IF(C1005&lt;=($C$10-$B$10)/($D$10-$B$10),$B$10+SQRT(C1005*($D$10-$B$10)*($C$10-$B$10)),$D$10-SQRT((1-C1005)*($D$10-$B$10)*($D$10-$C$10))),"PERT",_xlfn.BETA.INV(C1005,1+$B$6*($C$10-$B$10)/($D$10-$B$10),1+$B$6*($D$10-$C$10)/($D$10-$B$10),$B$10,$D$10))</f>
        <v>5136.7618539985488</v>
      </c>
      <c r="F1005" s="88">
        <f t="shared" ca="1" si="46"/>
        <v>0.52229614300074501</v>
      </c>
      <c r="G1005" s="89">
        <f t="shared" ca="1" si="47"/>
        <v>1.4631479707344472E-4</v>
      </c>
    </row>
    <row r="1006" spans="1:7" x14ac:dyDescent="0.35">
      <c r="A1006" s="84">
        <v>991</v>
      </c>
      <c r="B1006" s="84">
        <f t="shared" ca="1" si="45"/>
        <v>0.70148206717235273</v>
      </c>
      <c r="C1006" s="84">
        <f t="shared" ca="1" si="45"/>
        <v>0.66403133040446127</v>
      </c>
      <c r="D1006" s="93" cm="1">
        <f t="array" aca="1" ref="D1006" ca="1">_xlfn.SWITCH($B$4,"Normal MLE",EXP(_xlfn.NORM.INV(B1006,LN($C$9),$E$9/$C$9)),"Uniforme",$B$9+($D$9-$B$9)*B1006,"Triangular",IF(B1006&lt;=($C$9-$B$9)/($D$9-$B$9),$B$9+SQRT(B1006*($D$9-$B$9)*($C$9-$B$9)),$D$9-SQRT((1-B1006)*($D$9-$B$9)*($D$9-$C$9))),"PERT",_xlfn.BETA.INV(B1006,1+$B$6*($C$9-$B$9)/($D$9-$B$9),1+$B$6*($D$9-$C$9)/($D$9-$B$9),$B$9,$D$9))</f>
        <v>2.0215514949650975</v>
      </c>
      <c r="E1006" s="94" cm="1">
        <f t="array" aca="1" ref="E1006" ca="1">_xlfn.SWITCH($B$4,"Normal MLE",EXP(_xlfn.NORM.INV(C1006,LN($C$10),$E$10/$C$10)),"Uniforme",$B$10+($D$10-$B$10)*C1006,"Triangular",IF(C1006&lt;=($C$10-$B$10)/($D$10-$B$10),$B$10+SQRT(C1006*($D$10-$B$10)*($C$10-$B$10)),$D$10-SQRT((1-C1006)*($D$10-$B$10)*($D$10-$C$10))),"PERT",_xlfn.BETA.INV(C1006,1+$B$6*($C$10-$B$10)/($D$10-$B$10),1+$B$6*($D$10-$C$10)/($D$10-$B$10),$B$10,$D$10))</f>
        <v>5201.2732566020195</v>
      </c>
      <c r="F1006" s="88">
        <f t="shared" ca="1" si="46"/>
        <v>0.55538788469214984</v>
      </c>
      <c r="G1006" s="89">
        <f t="shared" ca="1" si="47"/>
        <v>1.6506839145469097E-4</v>
      </c>
    </row>
    <row r="1007" spans="1:7" x14ac:dyDescent="0.35">
      <c r="A1007" s="84">
        <v>992</v>
      </c>
      <c r="B1007" s="84">
        <f t="shared" ca="1" si="45"/>
        <v>0.99269388008922366</v>
      </c>
      <c r="C1007" s="84">
        <f t="shared" ca="1" si="45"/>
        <v>0.19056698984630671</v>
      </c>
      <c r="D1007" s="93" cm="1">
        <f t="array" aca="1" ref="D1007" ca="1">_xlfn.SWITCH($B$4,"Normal MLE",EXP(_xlfn.NORM.INV(B1007,LN($C$9),$E$9/$C$9)),"Uniforme",$B$9+($D$9-$B$9)*B1007,"Triangular",IF(B1007&lt;=($C$9-$B$9)/($D$9-$B$9),$B$9+SQRT(B1007*($D$9-$B$9)*($C$9-$B$9)),$D$9-SQRT((1-B1007)*($D$9-$B$9)*($D$9-$C$9))),"PERT",_xlfn.BETA.INV(B1007,1+$B$6*($C$9-$B$9)/($D$9-$B$9),1+$B$6*($D$9-$C$9)/($D$9-$B$9),$B$9,$D$9))</f>
        <v>2.3131044131787806</v>
      </c>
      <c r="E1007" s="94" cm="1">
        <f t="array" aca="1" ref="E1007" ca="1">_xlfn.SWITCH($B$4,"Normal MLE",EXP(_xlfn.NORM.INV(C1007,LN($C$10),$E$10/$C$10)),"Uniforme",$B$10+($D$10-$B$10)*C1007,"Triangular",IF(C1007&lt;=($C$10-$B$10)/($D$10-$B$10),$B$10+SQRT(C1007*($D$10-$B$10)*($C$10-$B$10)),$D$10-SQRT((1-C1007)*($D$10-$B$10)*($D$10-$C$10))),"PERT",_xlfn.BETA.INV(C1007,1+$B$6*($C$10-$B$10)/($D$10-$B$10),1+$B$6*($D$10-$C$10)/($D$10-$B$10),$B$10,$D$10))</f>
        <v>4896.1122180985312</v>
      </c>
      <c r="F1007" s="88">
        <f t="shared" ca="1" si="46"/>
        <v>0.53445272745717554</v>
      </c>
      <c r="G1007" s="89">
        <f t="shared" ca="1" si="47"/>
        <v>1.9363057443695775E-4</v>
      </c>
    </row>
    <row r="1008" spans="1:7" x14ac:dyDescent="0.35">
      <c r="A1008" s="84">
        <v>993</v>
      </c>
      <c r="B1008" s="84">
        <f t="shared" ca="1" si="45"/>
        <v>8.5246740787416009E-2</v>
      </c>
      <c r="C1008" s="84">
        <f t="shared" ca="1" si="45"/>
        <v>0.5029961271947635</v>
      </c>
      <c r="D1008" s="93" cm="1">
        <f t="array" aca="1" ref="D1008" ca="1">_xlfn.SWITCH($B$4,"Normal MLE",EXP(_xlfn.NORM.INV(B1008,LN($C$9),$E$9/$C$9)),"Uniforme",$B$9+($D$9-$B$9)*B1008,"Triangular",IF(B1008&lt;=($C$9-$B$9)/($D$9-$B$9),$B$9+SQRT(B1008*($D$9-$B$9)*($C$9-$B$9)),$D$9-SQRT((1-B1008)*($D$9-$B$9)*($D$9-$C$9))),"PERT",_xlfn.BETA.INV(B1008,1+$B$6*($C$9-$B$9)/($D$9-$B$9),1+$B$6*($D$9-$C$9)/($D$9-$B$9),$B$9,$D$9))</f>
        <v>1.7684764906102195</v>
      </c>
      <c r="E1008" s="94" cm="1">
        <f t="array" aca="1" ref="E1008" ca="1">_xlfn.SWITCH($B$4,"Normal MLE",EXP(_xlfn.NORM.INV(C1008,LN($C$10),$E$10/$C$10)),"Uniforme",$B$10+($D$10-$B$10)*C1008,"Triangular",IF(C1008&lt;=($C$10-$B$10)/($D$10-$B$10),$B$10+SQRT(C1008*($D$10-$B$10)*($C$10-$B$10)),$D$10-SQRT((1-C1008)*($D$10-$B$10)*($D$10-$C$10))),"PERT",_xlfn.BETA.INV(C1008,1+$B$6*($C$10-$B$10)/($D$10-$B$10),1+$B$6*($D$10-$C$10)/($D$10-$B$10),$B$10,$D$10))</f>
        <v>5101.5585844195384</v>
      </c>
      <c r="F1008" s="88">
        <f t="shared" ca="1" si="46"/>
        <v>0.52184285723907509</v>
      </c>
      <c r="G1008" s="89">
        <f t="shared" ca="1" si="47"/>
        <v>1.5005555619596663E-4</v>
      </c>
    </row>
    <row r="1009" spans="1:7" x14ac:dyDescent="0.35">
      <c r="A1009" s="84">
        <v>994</v>
      </c>
      <c r="B1009" s="84">
        <f t="shared" ca="1" si="45"/>
        <v>0.69108802989367468</v>
      </c>
      <c r="C1009" s="84">
        <f t="shared" ca="1" si="45"/>
        <v>0.38797898698632727</v>
      </c>
      <c r="D1009" s="93" cm="1">
        <f t="array" aca="1" ref="D1009" ca="1">_xlfn.SWITCH($B$4,"Normal MLE",EXP(_xlfn.NORM.INV(B1009,LN($C$9),$E$9/$C$9)),"Uniforme",$B$9+($D$9-$B$9)*B1009,"Triangular",IF(B1009&lt;=($C$9-$B$9)/($D$9-$B$9),$B$9+SQRT(B1009*($D$9-$B$9)*($C$9-$B$9)),$D$9-SQRT((1-B1009)*($D$9-$B$9)*($D$9-$C$9))),"PERT",_xlfn.BETA.INV(B1009,1+$B$6*($C$9-$B$9)/($D$9-$B$9),1+$B$6*($D$9-$C$9)/($D$9-$B$9),$B$9,$D$9))</f>
        <v>2.0173235012690691</v>
      </c>
      <c r="E1009" s="94" cm="1">
        <f t="array" aca="1" ref="E1009" ca="1">_xlfn.SWITCH($B$4,"Normal MLE",EXP(_xlfn.NORM.INV(C1009,LN($C$10),$E$10/$C$10)),"Uniforme",$B$10+($D$10-$B$10)*C1009,"Triangular",IF(C1009&lt;=($C$10-$B$10)/($D$10-$B$10),$B$10+SQRT(C1009*($D$10-$B$10)*($C$10-$B$10)),$D$10-SQRT((1-C1009)*($D$10-$B$10)*($D$10-$C$10))),"PERT",_xlfn.BETA.INV(C1009,1+$B$6*($C$10-$B$10)/($D$10-$B$10),1+$B$6*($D$10-$C$10)/($D$10-$B$10),$B$10,$D$10))</f>
        <v>5032.6837955735136</v>
      </c>
      <c r="F1009" s="88">
        <f t="shared" ca="1" si="46"/>
        <v>0.53301484805017785</v>
      </c>
      <c r="G1009" s="89">
        <f t="shared" ca="1" si="47"/>
        <v>1.691405418714755E-4</v>
      </c>
    </row>
    <row r="1010" spans="1:7" x14ac:dyDescent="0.35">
      <c r="A1010" s="84">
        <v>995</v>
      </c>
      <c r="B1010" s="84">
        <f t="shared" ca="1" si="45"/>
        <v>0.49825684874938969</v>
      </c>
      <c r="C1010" s="84">
        <f t="shared" ca="1" si="45"/>
        <v>0.63490853951737336</v>
      </c>
      <c r="D1010" s="93" cm="1">
        <f t="array" aca="1" ref="D1010" ca="1">_xlfn.SWITCH($B$4,"Normal MLE",EXP(_xlfn.NORM.INV(B1010,LN($C$9),$E$9/$C$9)),"Uniforme",$B$9+($D$9-$B$9)*B1010,"Triangular",IF(B1010&lt;=($C$9-$B$9)/($D$9-$B$9),$B$9+SQRT(B1010*($D$9-$B$9)*($C$9-$B$9)),$D$9-SQRT((1-B1010)*($D$9-$B$9)*($D$9-$C$9))),"PERT",_xlfn.BETA.INV(B1010,1+$B$6*($C$9-$B$9)/($D$9-$B$9),1+$B$6*($D$9-$C$9)/($D$9-$B$9),$B$9,$D$9))</f>
        <v>1.9470766131354622</v>
      </c>
      <c r="E1010" s="94" cm="1">
        <f t="array" aca="1" ref="E1010" ca="1">_xlfn.SWITCH($B$4,"Normal MLE",EXP(_xlfn.NORM.INV(C1010,LN($C$10),$E$10/$C$10)),"Uniforme",$B$10+($D$10-$B$10)*C1010,"Triangular",IF(C1010&lt;=($C$10-$B$10)/($D$10-$B$10),$B$10+SQRT(C1010*($D$10-$B$10)*($C$10-$B$10)),$D$10-SQRT((1-C1010)*($D$10-$B$10)*($D$10-$C$10))),"PERT",_xlfn.BETA.INV(C1010,1+$B$6*($C$10-$B$10)/($D$10-$B$10),1+$B$6*($D$10-$C$10)/($D$10-$B$10),$B$10,$D$10))</f>
        <v>5182.2818228907163</v>
      </c>
      <c r="F1010" s="88">
        <f t="shared" ca="1" si="46"/>
        <v>0.54662624110803404</v>
      </c>
      <c r="G1010" s="89">
        <f t="shared" ca="1" si="47"/>
        <v>1.6071013756019574E-4</v>
      </c>
    </row>
    <row r="1011" spans="1:7" x14ac:dyDescent="0.35">
      <c r="A1011" s="84">
        <v>996</v>
      </c>
      <c r="B1011" s="84">
        <f t="shared" ca="1" si="45"/>
        <v>0.46852091313452282</v>
      </c>
      <c r="C1011" s="84">
        <f t="shared" ca="1" si="45"/>
        <v>0.43657909493127434</v>
      </c>
      <c r="D1011" s="93" cm="1">
        <f t="array" aca="1" ref="D1011" ca="1">_xlfn.SWITCH($B$4,"Normal MLE",EXP(_xlfn.NORM.INV(B1011,LN($C$9),$E$9/$C$9)),"Uniforme",$B$9+($D$9-$B$9)*B1011,"Triangular",IF(B1011&lt;=($C$9-$B$9)/($D$9-$B$9),$B$9+SQRT(B1011*($D$9-$B$9)*($C$9-$B$9)),$D$9-SQRT((1-B1011)*($D$9-$B$9)*($D$9-$C$9))),"PERT",_xlfn.BETA.INV(B1011,1+$B$6*($C$9-$B$9)/($D$9-$B$9),1+$B$6*($D$9-$C$9)/($D$9-$B$9),$B$9,$D$9))</f>
        <v>1.9368722801117366</v>
      </c>
      <c r="E1011" s="94" cm="1">
        <f t="array" aca="1" ref="E1011" ca="1">_xlfn.SWITCH($B$4,"Normal MLE",EXP(_xlfn.NORM.INV(C1011,LN($C$10),$E$10/$C$10)),"Uniforme",$B$10+($D$10-$B$10)*C1011,"Triangular",IF(C1011&lt;=($C$10-$B$10)/($D$10-$B$10),$B$10+SQRT(C1011*($D$10-$B$10)*($C$10-$B$10)),$D$10-SQRT((1-C1011)*($D$10-$B$10)*($D$10-$C$10))),"PERT",_xlfn.BETA.INV(C1011,1+$B$6*($C$10-$B$10)/($D$10-$B$10),1+$B$6*($D$10-$C$10)/($D$10-$B$10),$B$10,$D$10))</f>
        <v>5062.0295296777431</v>
      </c>
      <c r="F1011" s="88">
        <f t="shared" ca="1" si="46"/>
        <v>0.53059181945467182</v>
      </c>
      <c r="G1011" s="89">
        <f t="shared" ca="1" si="47"/>
        <v>1.6282755909163453E-4</v>
      </c>
    </row>
    <row r="1012" spans="1:7" x14ac:dyDescent="0.35">
      <c r="A1012" s="84">
        <v>997</v>
      </c>
      <c r="B1012" s="84">
        <f t="shared" ca="1" si="45"/>
        <v>0.39819850202570606</v>
      </c>
      <c r="C1012" s="84">
        <f t="shared" ca="1" si="45"/>
        <v>0.59337117030718844</v>
      </c>
      <c r="D1012" s="93" cm="1">
        <f t="array" aca="1" ref="D1012" ca="1">_xlfn.SWITCH($B$4,"Normal MLE",EXP(_xlfn.NORM.INV(B1012,LN($C$9),$E$9/$C$9)),"Uniforme",$B$9+($D$9-$B$9)*B1012,"Triangular",IF(B1012&lt;=($C$9-$B$9)/($D$9-$B$9),$B$9+SQRT(B1012*($D$9-$B$9)*($C$9-$B$9)),$D$9-SQRT((1-B1012)*($D$9-$B$9)*($D$9-$C$9))),"PERT",_xlfn.BETA.INV(B1012,1+$B$6*($C$9-$B$9)/($D$9-$B$9),1+$B$6*($D$9-$C$9)/($D$9-$B$9),$B$9,$D$9))</f>
        <v>1.9126077802624601</v>
      </c>
      <c r="E1012" s="94" cm="1">
        <f t="array" aca="1" ref="E1012" ca="1">_xlfn.SWITCH($B$4,"Normal MLE",EXP(_xlfn.NORM.INV(C1012,LN($C$10),$E$10/$C$10)),"Uniforme",$B$10+($D$10-$B$10)*C1012,"Triangular",IF(C1012&lt;=($C$10-$B$10)/($D$10-$B$10),$B$10+SQRT(C1012*($D$10-$B$10)*($C$10-$B$10)),$D$10-SQRT((1-C1012)*($D$10-$B$10)*($D$10-$C$10))),"PERT",_xlfn.BETA.INV(C1012,1+$B$6*($C$10-$B$10)/($D$10-$B$10),1+$B$6*($D$10-$C$10)/($D$10-$B$10),$B$10,$D$10))</f>
        <v>5156.1449812993933</v>
      </c>
      <c r="F1012" s="88">
        <f t="shared" ca="1" si="46"/>
        <v>0.54046407011780873</v>
      </c>
      <c r="G1012" s="89">
        <f t="shared" ca="1" si="47"/>
        <v>1.5901526249557037E-4</v>
      </c>
    </row>
    <row r="1013" spans="1:7" x14ac:dyDescent="0.35">
      <c r="A1013" s="84">
        <v>998</v>
      </c>
      <c r="B1013" s="84">
        <f t="shared" ca="1" si="45"/>
        <v>0.94570359441112128</v>
      </c>
      <c r="C1013" s="84">
        <f t="shared" ca="1" si="45"/>
        <v>0.10276120824466628</v>
      </c>
      <c r="D1013" s="93" cm="1">
        <f t="array" aca="1" ref="D1013" ca="1">_xlfn.SWITCH($B$4,"Normal MLE",EXP(_xlfn.NORM.INV(B1013,LN($C$9),$E$9/$C$9)),"Uniforme",$B$9+($D$9-$B$9)*B1013,"Triangular",IF(B1013&lt;=($C$9-$B$9)/($D$9-$B$9),$B$9+SQRT(B1013*($D$9-$B$9)*($C$9-$B$9)),$D$9-SQRT((1-B1013)*($D$9-$B$9)*($D$9-$C$9))),"PERT",_xlfn.BETA.INV(B1013,1+$B$6*($C$9-$B$9)/($D$9-$B$9),1+$B$6*($D$9-$C$9)/($D$9-$B$9),$B$9,$D$9))</f>
        <v>2.1806616885952641</v>
      </c>
      <c r="E1013" s="94" cm="1">
        <f t="array" aca="1" ref="E1013" ca="1">_xlfn.SWITCH($B$4,"Normal MLE",EXP(_xlfn.NORM.INV(C1013,LN($C$10),$E$10/$C$10)),"Uniforme",$B$10+($D$10-$B$10)*C1013,"Triangular",IF(C1013&lt;=($C$10-$B$10)/($D$10-$B$10),$B$10+SQRT(C1013*($D$10-$B$10)*($C$10-$B$10)),$D$10-SQRT((1-C1013)*($D$10-$B$10)*($D$10-$C$10))),"PERT",_xlfn.BETA.INV(C1013,1+$B$6*($C$10-$B$10)/($D$10-$B$10),1+$B$6*($D$10-$C$10)/($D$10-$B$10),$B$10,$D$10))</f>
        <v>4808.0202325219834</v>
      </c>
      <c r="F1013" s="88">
        <f t="shared" ca="1" si="46"/>
        <v>0.5119638473001169</v>
      </c>
      <c r="G1013" s="89">
        <f t="shared" ca="1" si="47"/>
        <v>1.8686114243079185E-4</v>
      </c>
    </row>
    <row r="1014" spans="1:7" x14ac:dyDescent="0.35">
      <c r="A1014" s="84">
        <v>999</v>
      </c>
      <c r="B1014" s="84">
        <f t="shared" ca="1" si="45"/>
        <v>0.74451364209360071</v>
      </c>
      <c r="C1014" s="84">
        <f t="shared" ca="1" si="45"/>
        <v>0.75495366797737984</v>
      </c>
      <c r="D1014" s="93" cm="1">
        <f t="array" aca="1" ref="D1014" ca="1">_xlfn.SWITCH($B$4,"Normal MLE",EXP(_xlfn.NORM.INV(B1014,LN($C$9),$E$9/$C$9)),"Uniforme",$B$9+($D$9-$B$9)*B1014,"Triangular",IF(B1014&lt;=($C$9-$B$9)/($D$9-$B$9),$B$9+SQRT(B1014*($D$9-$B$9)*($C$9-$B$9)),$D$9-SQRT((1-B1014)*($D$9-$B$9)*($D$9-$C$9))),"PERT",_xlfn.BETA.INV(B1014,1+$B$6*($C$9-$B$9)/($D$9-$B$9),1+$B$6*($D$9-$C$9)/($D$9-$B$9),$B$9,$D$9))</f>
        <v>2.039949736000318</v>
      </c>
      <c r="E1014" s="94" cm="1">
        <f t="array" aca="1" ref="E1014" ca="1">_xlfn.SWITCH($B$4,"Normal MLE",EXP(_xlfn.NORM.INV(C1014,LN($C$10),$E$10/$C$10)),"Uniforme",$B$10+($D$10-$B$10)*C1014,"Triangular",IF(C1014&lt;=($C$10-$B$10)/($D$10-$B$10),$B$10+SQRT(C1014*($D$10-$B$10)*($C$10-$B$10)),$D$10-SQRT((1-C1014)*($D$10-$B$10)*($D$10-$C$10))),"PERT",_xlfn.BETA.INV(C1014,1+$B$6*($C$10-$B$10)/($D$10-$B$10),1+$B$6*($D$10-$C$10)/($D$10-$B$10),$B$10,$D$10))</f>
        <v>5266.2197618589635</v>
      </c>
      <c r="F1014" s="88">
        <f t="shared" ca="1" si="46"/>
        <v>0.56517233718673088</v>
      </c>
      <c r="G1014" s="89">
        <f t="shared" ca="1" si="47"/>
        <v>1.6447157141013364E-4</v>
      </c>
    </row>
    <row r="1015" spans="1:7" x14ac:dyDescent="0.35">
      <c r="A1015" s="84">
        <v>1000</v>
      </c>
      <c r="B1015" s="84">
        <f t="shared" ca="1" si="45"/>
        <v>0.69550316962298597</v>
      </c>
      <c r="C1015" s="84">
        <f t="shared" ca="1" si="45"/>
        <v>0.16090208274539564</v>
      </c>
      <c r="D1015" s="93" cm="1">
        <f t="array" aca="1" ref="D1015" ca="1">_xlfn.SWITCH($B$4,"Normal MLE",EXP(_xlfn.NORM.INV(B1015,LN($C$9),$E$9/$C$9)),"Uniforme",$B$9+($D$9-$B$9)*B1015,"Triangular",IF(B1015&lt;=($C$9-$B$9)/($D$9-$B$9),$B$9+SQRT(B1015*($D$9-$B$9)*($C$9-$B$9)),$D$9-SQRT((1-B1015)*($D$9-$B$9)*($D$9-$C$9))),"PERT",_xlfn.BETA.INV(B1015,1+$B$6*($C$9-$B$9)/($D$9-$B$9),1+$B$6*($D$9-$C$9)/($D$9-$B$9),$B$9,$D$9))</f>
        <v>2.0191104996602309</v>
      </c>
      <c r="E1015" s="94" cm="1">
        <f t="array" aca="1" ref="E1015" ca="1">_xlfn.SWITCH($B$4,"Normal MLE",EXP(_xlfn.NORM.INV(C1015,LN($C$10),$E$10/$C$10)),"Uniforme",$B$10+($D$10-$B$10)*C1015,"Triangular",IF(C1015&lt;=($C$10-$B$10)/($D$10-$B$10),$B$10+SQRT(C1015*($D$10-$B$10)*($C$10-$B$10)),$D$10-SQRT((1-C1015)*($D$10-$B$10)*($D$10-$C$10))),"PERT",_xlfn.BETA.INV(C1015,1+$B$6*($C$10-$B$10)/($D$10-$B$10),1+$B$6*($D$10-$C$10)/($D$10-$B$10),$B$10,$D$10))</f>
        <v>4869.9926304872943</v>
      </c>
      <c r="F1015" s="88">
        <f t="shared" ca="1" si="46"/>
        <v>0.51063816995855793</v>
      </c>
      <c r="G1015" s="89">
        <f t="shared" ca="1" si="47"/>
        <v>1.732380965569465E-4</v>
      </c>
    </row>
  </sheetData>
  <mergeCells count="4">
    <mergeCell ref="A1:W1"/>
    <mergeCell ref="A2:W2"/>
    <mergeCell ref="I9:L9"/>
    <mergeCell ref="A11:G11"/>
  </mergeCells>
  <dataValidations count="1">
    <dataValidation type="list" allowBlank="1" showInputMessage="1" showErrorMessage="1" promptTitle="Distribución" prompt="Normal MLE es la distribución asintótica del estimador. Uniforme es plana por definición." sqref="B4" xr:uid="{A8479A30-1F35-4FE8-8AEC-E6A6F7525092}">
      <formula1>"Normal MLE,Uniforme,Triangular,PERT"</formula1>
    </dataValidation>
  </dataValidations>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E5CF2-67A2-476C-A3EE-84BA9F88DDDA}">
  <sheetPr>
    <tabColor theme="9"/>
  </sheetPr>
  <dimension ref="A1:G201"/>
  <sheetViews>
    <sheetView workbookViewId="0">
      <selection activeCell="G17" sqref="G17"/>
    </sheetView>
  </sheetViews>
  <sheetFormatPr defaultRowHeight="14.5" x14ac:dyDescent="0.35"/>
  <cols>
    <col min="1" max="1" width="4.453125" bestFit="1" customWidth="1"/>
    <col min="2" max="2" width="34.26953125" customWidth="1"/>
    <col min="3" max="3" width="23.81640625" customWidth="1"/>
    <col min="4" max="4" width="18.453125" customWidth="1"/>
    <col min="5" max="5" width="7.1796875" bestFit="1" customWidth="1"/>
    <col min="6" max="6" width="33.26953125" customWidth="1"/>
    <col min="7" max="7" width="24" bestFit="1" customWidth="1"/>
  </cols>
  <sheetData>
    <row r="1" spans="1:7" x14ac:dyDescent="0.35">
      <c r="A1" s="68" t="s">
        <v>4</v>
      </c>
      <c r="B1" s="68" t="s">
        <v>5</v>
      </c>
      <c r="C1" s="68" t="s">
        <v>6</v>
      </c>
      <c r="D1" s="68" t="s">
        <v>7</v>
      </c>
      <c r="E1" s="68" t="s">
        <v>8</v>
      </c>
      <c r="F1" s="68" t="s">
        <v>9</v>
      </c>
      <c r="G1" s="68" t="s">
        <v>285</v>
      </c>
    </row>
    <row r="2" spans="1:7" x14ac:dyDescent="0.35">
      <c r="A2">
        <v>1</v>
      </c>
      <c r="B2" t="s">
        <v>11</v>
      </c>
      <c r="C2" s="54">
        <v>1829.1</v>
      </c>
      <c r="D2">
        <v>1</v>
      </c>
      <c r="E2" s="55">
        <v>7.5115999999999996</v>
      </c>
      <c r="F2" t="s">
        <v>286</v>
      </c>
      <c r="G2" s="56">
        <v>7</v>
      </c>
    </row>
    <row r="3" spans="1:7" x14ac:dyDescent="0.35">
      <c r="A3">
        <v>2</v>
      </c>
      <c r="B3" t="s">
        <v>13</v>
      </c>
      <c r="C3" s="54">
        <v>6000</v>
      </c>
      <c r="D3">
        <v>0</v>
      </c>
      <c r="E3" s="55">
        <v>8.6995000000000005</v>
      </c>
      <c r="F3" t="s">
        <v>287</v>
      </c>
      <c r="G3" s="56"/>
    </row>
    <row r="4" spans="1:7" x14ac:dyDescent="0.35">
      <c r="A4">
        <v>3</v>
      </c>
      <c r="B4" t="s">
        <v>11</v>
      </c>
      <c r="C4" s="54">
        <v>726.7</v>
      </c>
      <c r="D4">
        <v>1</v>
      </c>
      <c r="E4" s="55">
        <v>6.5884999999999998</v>
      </c>
      <c r="F4" t="s">
        <v>286</v>
      </c>
      <c r="G4" s="56">
        <v>4.5999999999999996</v>
      </c>
    </row>
    <row r="5" spans="1:7" x14ac:dyDescent="0.35">
      <c r="A5">
        <v>4</v>
      </c>
      <c r="B5" t="s">
        <v>13</v>
      </c>
      <c r="C5" s="54">
        <v>28</v>
      </c>
      <c r="D5">
        <v>1</v>
      </c>
      <c r="E5" s="55">
        <v>3.3321999999999998</v>
      </c>
      <c r="F5" t="s">
        <v>286</v>
      </c>
      <c r="G5" s="56">
        <v>9.6999999999999993</v>
      </c>
    </row>
    <row r="6" spans="1:7" x14ac:dyDescent="0.35">
      <c r="A6">
        <v>5</v>
      </c>
      <c r="B6" t="s">
        <v>11</v>
      </c>
      <c r="C6" s="54">
        <v>292.39999999999998</v>
      </c>
      <c r="D6">
        <v>1</v>
      </c>
      <c r="E6" s="55">
        <v>5.6780999999999997</v>
      </c>
      <c r="F6" t="s">
        <v>286</v>
      </c>
      <c r="G6" s="56">
        <v>7.8</v>
      </c>
    </row>
    <row r="7" spans="1:7" x14ac:dyDescent="0.35">
      <c r="A7">
        <v>6</v>
      </c>
      <c r="B7" t="s">
        <v>21</v>
      </c>
      <c r="C7" s="54">
        <v>6000</v>
      </c>
      <c r="D7">
        <v>0</v>
      </c>
      <c r="E7" s="55">
        <v>8.6995000000000005</v>
      </c>
      <c r="F7" t="s">
        <v>287</v>
      </c>
      <c r="G7" s="56"/>
    </row>
    <row r="8" spans="1:7" x14ac:dyDescent="0.35">
      <c r="A8">
        <v>7</v>
      </c>
      <c r="B8" t="s">
        <v>17</v>
      </c>
      <c r="C8" s="54">
        <v>6000</v>
      </c>
      <c r="D8">
        <v>0</v>
      </c>
      <c r="E8" s="55">
        <v>8.6995000000000005</v>
      </c>
      <c r="F8" t="s">
        <v>287</v>
      </c>
      <c r="G8" s="56"/>
    </row>
    <row r="9" spans="1:7" x14ac:dyDescent="0.35">
      <c r="A9">
        <v>8</v>
      </c>
      <c r="B9" t="s">
        <v>17</v>
      </c>
      <c r="C9" s="54">
        <v>50.8</v>
      </c>
      <c r="D9">
        <v>1</v>
      </c>
      <c r="E9" s="55">
        <v>3.9279000000000002</v>
      </c>
      <c r="F9" t="s">
        <v>286</v>
      </c>
      <c r="G9" s="56">
        <v>11.9</v>
      </c>
    </row>
    <row r="10" spans="1:7" x14ac:dyDescent="0.35">
      <c r="A10">
        <v>9</v>
      </c>
      <c r="B10" t="s">
        <v>21</v>
      </c>
      <c r="C10" s="54">
        <v>771.4</v>
      </c>
      <c r="D10">
        <v>1</v>
      </c>
      <c r="E10" s="55">
        <v>6.6482000000000001</v>
      </c>
      <c r="F10" t="s">
        <v>286</v>
      </c>
      <c r="G10" s="56">
        <v>4.3</v>
      </c>
    </row>
    <row r="11" spans="1:7" x14ac:dyDescent="0.35">
      <c r="A11">
        <v>10</v>
      </c>
      <c r="B11" t="s">
        <v>22</v>
      </c>
      <c r="C11" s="54">
        <v>6000</v>
      </c>
      <c r="D11">
        <v>0</v>
      </c>
      <c r="E11" s="55">
        <v>8.6995000000000005</v>
      </c>
      <c r="F11" t="s">
        <v>287</v>
      </c>
      <c r="G11" s="56"/>
    </row>
    <row r="12" spans="1:7" x14ac:dyDescent="0.35">
      <c r="A12">
        <v>11</v>
      </c>
      <c r="B12" t="s">
        <v>21</v>
      </c>
      <c r="C12" s="54">
        <v>5.9</v>
      </c>
      <c r="D12">
        <v>1</v>
      </c>
      <c r="E12" s="55">
        <v>1.7749999999999999</v>
      </c>
      <c r="F12" t="s">
        <v>286</v>
      </c>
      <c r="G12" s="56">
        <v>6.7</v>
      </c>
    </row>
    <row r="13" spans="1:7" x14ac:dyDescent="0.35">
      <c r="A13">
        <v>12</v>
      </c>
      <c r="B13" t="s">
        <v>11</v>
      </c>
      <c r="C13" s="54">
        <v>6000</v>
      </c>
      <c r="D13">
        <v>0</v>
      </c>
      <c r="E13" s="55">
        <v>8.6995000000000005</v>
      </c>
      <c r="F13" t="s">
        <v>287</v>
      </c>
      <c r="G13" s="56"/>
    </row>
    <row r="14" spans="1:7" x14ac:dyDescent="0.35">
      <c r="A14">
        <v>13</v>
      </c>
      <c r="B14" t="s">
        <v>13</v>
      </c>
      <c r="C14" s="54">
        <v>117.8</v>
      </c>
      <c r="D14">
        <v>1</v>
      </c>
      <c r="E14" s="55">
        <v>4.7690000000000001</v>
      </c>
      <c r="F14" t="s">
        <v>286</v>
      </c>
      <c r="G14" s="56">
        <v>17.5</v>
      </c>
    </row>
    <row r="15" spans="1:7" x14ac:dyDescent="0.35">
      <c r="A15">
        <v>14</v>
      </c>
      <c r="B15" t="s">
        <v>22</v>
      </c>
      <c r="C15" s="54">
        <v>2727.6</v>
      </c>
      <c r="D15">
        <v>1</v>
      </c>
      <c r="E15" s="55">
        <v>7.9112</v>
      </c>
      <c r="F15" t="s">
        <v>286</v>
      </c>
      <c r="G15" s="56">
        <v>5.5</v>
      </c>
    </row>
    <row r="16" spans="1:7" x14ac:dyDescent="0.35">
      <c r="A16">
        <v>15</v>
      </c>
      <c r="B16" t="s">
        <v>17</v>
      </c>
      <c r="C16" s="54">
        <v>3635.7</v>
      </c>
      <c r="D16">
        <v>1</v>
      </c>
      <c r="E16" s="55">
        <v>8.1986000000000008</v>
      </c>
      <c r="F16" t="s">
        <v>286</v>
      </c>
      <c r="G16" s="56">
        <v>5.5</v>
      </c>
    </row>
    <row r="17" spans="1:7" x14ac:dyDescent="0.35">
      <c r="A17">
        <v>16</v>
      </c>
      <c r="B17" t="s">
        <v>11</v>
      </c>
      <c r="C17" s="54">
        <v>1529.1</v>
      </c>
      <c r="D17">
        <v>1</v>
      </c>
      <c r="E17" s="55">
        <v>7.3323999999999998</v>
      </c>
      <c r="F17" t="s">
        <v>286</v>
      </c>
      <c r="G17" s="56">
        <v>7.5</v>
      </c>
    </row>
    <row r="18" spans="1:7" x14ac:dyDescent="0.35">
      <c r="A18">
        <v>17</v>
      </c>
      <c r="B18" t="s">
        <v>17</v>
      </c>
      <c r="C18" s="54">
        <v>415.7</v>
      </c>
      <c r="D18">
        <v>1</v>
      </c>
      <c r="E18" s="55">
        <v>6.03</v>
      </c>
      <c r="F18" t="s">
        <v>286</v>
      </c>
      <c r="G18" s="56">
        <v>9</v>
      </c>
    </row>
    <row r="19" spans="1:7" x14ac:dyDescent="0.35">
      <c r="A19">
        <v>18</v>
      </c>
      <c r="B19" t="s">
        <v>11</v>
      </c>
      <c r="C19" s="54">
        <v>450.9</v>
      </c>
      <c r="D19">
        <v>1</v>
      </c>
      <c r="E19" s="55">
        <v>6.1112000000000002</v>
      </c>
      <c r="F19" t="s">
        <v>286</v>
      </c>
      <c r="G19" s="56">
        <v>5.4</v>
      </c>
    </row>
    <row r="20" spans="1:7" x14ac:dyDescent="0.35">
      <c r="A20">
        <v>19</v>
      </c>
      <c r="B20" t="s">
        <v>21</v>
      </c>
      <c r="C20" s="54">
        <v>2001.8</v>
      </c>
      <c r="D20">
        <v>1</v>
      </c>
      <c r="E20" s="55">
        <v>7.6017999999999999</v>
      </c>
      <c r="F20" t="s">
        <v>286</v>
      </c>
      <c r="G20" s="56">
        <v>6.5</v>
      </c>
    </row>
    <row r="21" spans="1:7" x14ac:dyDescent="0.35">
      <c r="A21">
        <v>20</v>
      </c>
      <c r="B21" t="s">
        <v>17</v>
      </c>
      <c r="C21" s="54">
        <v>1378</v>
      </c>
      <c r="D21">
        <v>1</v>
      </c>
      <c r="E21" s="55">
        <v>7.2283999999999997</v>
      </c>
      <c r="F21" t="s">
        <v>286</v>
      </c>
      <c r="G21" s="56">
        <v>15.5</v>
      </c>
    </row>
    <row r="22" spans="1:7" x14ac:dyDescent="0.35">
      <c r="A22">
        <v>21</v>
      </c>
      <c r="B22" t="s">
        <v>22</v>
      </c>
      <c r="C22" s="54">
        <v>6000</v>
      </c>
      <c r="D22">
        <v>0</v>
      </c>
      <c r="E22" s="55">
        <v>8.6995000000000005</v>
      </c>
      <c r="F22" t="s">
        <v>287</v>
      </c>
      <c r="G22" s="56"/>
    </row>
    <row r="23" spans="1:7" x14ac:dyDescent="0.35">
      <c r="A23">
        <v>22</v>
      </c>
      <c r="B23" t="s">
        <v>22</v>
      </c>
      <c r="C23" s="54">
        <v>3265.6</v>
      </c>
      <c r="D23">
        <v>1</v>
      </c>
      <c r="E23" s="55">
        <v>8.0912000000000006</v>
      </c>
      <c r="F23" t="s">
        <v>286</v>
      </c>
      <c r="G23" s="56">
        <v>8.3000000000000007</v>
      </c>
    </row>
    <row r="24" spans="1:7" x14ac:dyDescent="0.35">
      <c r="A24">
        <v>23</v>
      </c>
      <c r="B24" t="s">
        <v>17</v>
      </c>
      <c r="C24" s="54">
        <v>926.7</v>
      </c>
      <c r="D24">
        <v>1</v>
      </c>
      <c r="E24" s="55">
        <v>6.8315999999999999</v>
      </c>
      <c r="F24" t="s">
        <v>286</v>
      </c>
      <c r="G24" s="56">
        <v>12.9</v>
      </c>
    </row>
    <row r="25" spans="1:7" x14ac:dyDescent="0.35">
      <c r="A25">
        <v>24</v>
      </c>
      <c r="B25" t="s">
        <v>13</v>
      </c>
      <c r="C25" s="54">
        <v>6000</v>
      </c>
      <c r="D25">
        <v>0</v>
      </c>
      <c r="E25" s="55">
        <v>8.6995000000000005</v>
      </c>
      <c r="F25" t="s">
        <v>287</v>
      </c>
      <c r="G25" s="56"/>
    </row>
    <row r="26" spans="1:7" x14ac:dyDescent="0.35">
      <c r="A26">
        <v>25</v>
      </c>
      <c r="B26" t="s">
        <v>11</v>
      </c>
      <c r="C26" s="54">
        <v>5516.4</v>
      </c>
      <c r="D26">
        <v>1</v>
      </c>
      <c r="E26" s="55">
        <v>8.6155000000000008</v>
      </c>
      <c r="F26" t="s">
        <v>286</v>
      </c>
      <c r="G26" s="56">
        <v>13.4</v>
      </c>
    </row>
    <row r="27" spans="1:7" x14ac:dyDescent="0.35">
      <c r="A27">
        <v>26</v>
      </c>
      <c r="B27" t="s">
        <v>22</v>
      </c>
      <c r="C27" s="54">
        <v>5864.5</v>
      </c>
      <c r="D27">
        <v>1</v>
      </c>
      <c r="E27" s="55">
        <v>8.6767000000000003</v>
      </c>
      <c r="F27" t="s">
        <v>286</v>
      </c>
      <c r="G27" s="56">
        <v>3.7</v>
      </c>
    </row>
    <row r="28" spans="1:7" x14ac:dyDescent="0.35">
      <c r="A28">
        <v>27</v>
      </c>
      <c r="B28" t="s">
        <v>17</v>
      </c>
      <c r="C28" s="54">
        <v>1338.6</v>
      </c>
      <c r="D28">
        <v>1</v>
      </c>
      <c r="E28" s="55">
        <v>7.1993999999999998</v>
      </c>
      <c r="F28" t="s">
        <v>286</v>
      </c>
      <c r="G28" s="56">
        <v>3.9</v>
      </c>
    </row>
    <row r="29" spans="1:7" x14ac:dyDescent="0.35">
      <c r="A29">
        <v>28</v>
      </c>
      <c r="B29" t="s">
        <v>17</v>
      </c>
      <c r="C29" s="54">
        <v>1460.3</v>
      </c>
      <c r="D29">
        <v>1</v>
      </c>
      <c r="E29" s="55">
        <v>7.2864000000000004</v>
      </c>
      <c r="F29" t="s">
        <v>286</v>
      </c>
      <c r="G29" s="56">
        <v>7.7</v>
      </c>
    </row>
    <row r="30" spans="1:7" x14ac:dyDescent="0.35">
      <c r="A30">
        <v>29</v>
      </c>
      <c r="B30" t="s">
        <v>17</v>
      </c>
      <c r="C30" s="54">
        <v>2698.2</v>
      </c>
      <c r="D30">
        <v>1</v>
      </c>
      <c r="E30" s="55">
        <v>7.9002999999999997</v>
      </c>
      <c r="F30" t="s">
        <v>286</v>
      </c>
      <c r="G30" s="56">
        <v>2.7</v>
      </c>
    </row>
    <row r="31" spans="1:7" x14ac:dyDescent="0.35">
      <c r="A31">
        <v>30</v>
      </c>
      <c r="B31" t="s">
        <v>21</v>
      </c>
      <c r="C31" s="54">
        <v>6000</v>
      </c>
      <c r="D31">
        <v>0</v>
      </c>
      <c r="E31" s="55">
        <v>8.6995000000000005</v>
      </c>
      <c r="F31" t="s">
        <v>287</v>
      </c>
      <c r="G31" s="56"/>
    </row>
    <row r="32" spans="1:7" x14ac:dyDescent="0.35">
      <c r="A32">
        <v>31</v>
      </c>
      <c r="B32" t="s">
        <v>22</v>
      </c>
      <c r="C32" s="54">
        <v>4859.8</v>
      </c>
      <c r="D32">
        <v>1</v>
      </c>
      <c r="E32" s="55">
        <v>8.4887999999999995</v>
      </c>
      <c r="F32" t="s">
        <v>286</v>
      </c>
      <c r="G32" s="56">
        <v>6.3</v>
      </c>
    </row>
    <row r="33" spans="1:7" x14ac:dyDescent="0.35">
      <c r="A33">
        <v>32</v>
      </c>
      <c r="B33" t="s">
        <v>17</v>
      </c>
      <c r="C33" s="54">
        <v>2958.2</v>
      </c>
      <c r="D33">
        <v>1</v>
      </c>
      <c r="E33" s="55">
        <v>7.9923000000000002</v>
      </c>
      <c r="F33" t="s">
        <v>286</v>
      </c>
      <c r="G33" s="56">
        <v>16.2</v>
      </c>
    </row>
    <row r="34" spans="1:7" x14ac:dyDescent="0.35">
      <c r="A34">
        <v>33</v>
      </c>
      <c r="B34" t="s">
        <v>17</v>
      </c>
      <c r="C34" s="54">
        <v>3268.2</v>
      </c>
      <c r="D34">
        <v>1</v>
      </c>
      <c r="E34" s="55">
        <v>8.0920000000000005</v>
      </c>
      <c r="F34" t="s">
        <v>286</v>
      </c>
      <c r="G34" s="56">
        <v>7.1</v>
      </c>
    </row>
    <row r="35" spans="1:7" x14ac:dyDescent="0.35">
      <c r="A35">
        <v>34</v>
      </c>
      <c r="B35" t="s">
        <v>11</v>
      </c>
      <c r="C35" s="54">
        <v>1505</v>
      </c>
      <c r="D35">
        <v>1</v>
      </c>
      <c r="E35" s="55">
        <v>7.3164999999999996</v>
      </c>
      <c r="F35" t="s">
        <v>286</v>
      </c>
      <c r="G35" s="56">
        <v>7.4</v>
      </c>
    </row>
    <row r="36" spans="1:7" x14ac:dyDescent="0.35">
      <c r="A36">
        <v>35</v>
      </c>
      <c r="B36" t="s">
        <v>21</v>
      </c>
      <c r="C36" s="54">
        <v>6000</v>
      </c>
      <c r="D36">
        <v>0</v>
      </c>
      <c r="E36" s="55">
        <v>8.6995000000000005</v>
      </c>
      <c r="F36" t="s">
        <v>287</v>
      </c>
      <c r="G36" s="56"/>
    </row>
    <row r="37" spans="1:7" x14ac:dyDescent="0.35">
      <c r="A37">
        <v>36</v>
      </c>
      <c r="B37" t="s">
        <v>13</v>
      </c>
      <c r="C37" s="54">
        <v>6000</v>
      </c>
      <c r="D37">
        <v>0</v>
      </c>
      <c r="E37" s="55">
        <v>8.6995000000000005</v>
      </c>
      <c r="F37" t="s">
        <v>287</v>
      </c>
      <c r="G37" s="56"/>
    </row>
    <row r="38" spans="1:7" x14ac:dyDescent="0.35">
      <c r="A38">
        <v>37</v>
      </c>
      <c r="B38" t="s">
        <v>22</v>
      </c>
      <c r="C38" s="54">
        <v>6000</v>
      </c>
      <c r="D38">
        <v>0</v>
      </c>
      <c r="E38" s="55">
        <v>8.6995000000000005</v>
      </c>
      <c r="F38" t="s">
        <v>287</v>
      </c>
      <c r="G38" s="56"/>
    </row>
    <row r="39" spans="1:7" x14ac:dyDescent="0.35">
      <c r="A39">
        <v>38</v>
      </c>
      <c r="B39" t="s">
        <v>11</v>
      </c>
      <c r="C39" s="54">
        <v>598.5</v>
      </c>
      <c r="D39">
        <v>1</v>
      </c>
      <c r="E39" s="55">
        <v>6.3944000000000001</v>
      </c>
      <c r="F39" t="s">
        <v>286</v>
      </c>
      <c r="G39" s="56">
        <v>10.5</v>
      </c>
    </row>
    <row r="40" spans="1:7" x14ac:dyDescent="0.35">
      <c r="A40">
        <v>39</v>
      </c>
      <c r="B40" t="s">
        <v>21</v>
      </c>
      <c r="C40" s="54">
        <v>2597</v>
      </c>
      <c r="D40">
        <v>1</v>
      </c>
      <c r="E40" s="55">
        <v>7.8620999999999999</v>
      </c>
      <c r="F40" t="s">
        <v>286</v>
      </c>
      <c r="G40" s="56">
        <v>20.2</v>
      </c>
    </row>
    <row r="41" spans="1:7" x14ac:dyDescent="0.35">
      <c r="A41">
        <v>40</v>
      </c>
      <c r="B41" t="s">
        <v>13</v>
      </c>
      <c r="C41" s="54">
        <v>925.2</v>
      </c>
      <c r="D41">
        <v>1</v>
      </c>
      <c r="E41" s="55">
        <v>6.83</v>
      </c>
      <c r="F41" t="s">
        <v>286</v>
      </c>
      <c r="G41" s="56">
        <v>14.9</v>
      </c>
    </row>
    <row r="42" spans="1:7" x14ac:dyDescent="0.35">
      <c r="A42">
        <v>41</v>
      </c>
      <c r="B42" t="s">
        <v>21</v>
      </c>
      <c r="C42" s="54">
        <v>4140.5</v>
      </c>
      <c r="D42">
        <v>1</v>
      </c>
      <c r="E42" s="55">
        <v>8.3285999999999998</v>
      </c>
      <c r="F42" t="s">
        <v>286</v>
      </c>
      <c r="G42" s="56">
        <v>5.0999999999999996</v>
      </c>
    </row>
    <row r="43" spans="1:7" x14ac:dyDescent="0.35">
      <c r="A43">
        <v>42</v>
      </c>
      <c r="B43" t="s">
        <v>22</v>
      </c>
      <c r="C43" s="54">
        <v>5555.6</v>
      </c>
      <c r="D43">
        <v>1</v>
      </c>
      <c r="E43" s="55">
        <v>8.6226000000000003</v>
      </c>
      <c r="F43" t="s">
        <v>286</v>
      </c>
      <c r="G43" s="56">
        <v>4.5999999999999996</v>
      </c>
    </row>
    <row r="44" spans="1:7" x14ac:dyDescent="0.35">
      <c r="A44">
        <v>43</v>
      </c>
      <c r="B44" t="s">
        <v>21</v>
      </c>
      <c r="C44" s="54">
        <v>1831.1</v>
      </c>
      <c r="D44">
        <v>1</v>
      </c>
      <c r="E44" s="55">
        <v>7.5126999999999997</v>
      </c>
      <c r="F44" t="s">
        <v>286</v>
      </c>
      <c r="G44" s="56">
        <v>7</v>
      </c>
    </row>
    <row r="45" spans="1:7" x14ac:dyDescent="0.35">
      <c r="A45">
        <v>44</v>
      </c>
      <c r="B45" t="s">
        <v>17</v>
      </c>
      <c r="C45" s="54">
        <v>1.9</v>
      </c>
      <c r="D45">
        <v>1</v>
      </c>
      <c r="E45" s="55">
        <v>0.64190000000000003</v>
      </c>
      <c r="F45" t="s">
        <v>286</v>
      </c>
      <c r="G45" s="56">
        <v>10.1</v>
      </c>
    </row>
    <row r="46" spans="1:7" x14ac:dyDescent="0.35">
      <c r="A46">
        <v>45</v>
      </c>
      <c r="B46" t="s">
        <v>11</v>
      </c>
      <c r="C46" s="54">
        <v>3292.1</v>
      </c>
      <c r="D46">
        <v>1</v>
      </c>
      <c r="E46" s="55">
        <v>8.0992999999999995</v>
      </c>
      <c r="F46" t="s">
        <v>286</v>
      </c>
      <c r="G46" s="56">
        <v>5.3</v>
      </c>
    </row>
    <row r="47" spans="1:7" x14ac:dyDescent="0.35">
      <c r="A47">
        <v>46</v>
      </c>
      <c r="B47" t="s">
        <v>17</v>
      </c>
      <c r="C47" s="54">
        <v>1696.7</v>
      </c>
      <c r="D47">
        <v>1</v>
      </c>
      <c r="E47" s="55">
        <v>7.4363999999999999</v>
      </c>
      <c r="F47" t="s">
        <v>286</v>
      </c>
      <c r="G47" s="56">
        <v>6.1</v>
      </c>
    </row>
    <row r="48" spans="1:7" x14ac:dyDescent="0.35">
      <c r="A48">
        <v>47</v>
      </c>
      <c r="B48" t="s">
        <v>13</v>
      </c>
      <c r="C48" s="54">
        <v>6000</v>
      </c>
      <c r="D48">
        <v>0</v>
      </c>
      <c r="E48" s="55">
        <v>8.6995000000000005</v>
      </c>
      <c r="F48" t="s">
        <v>287</v>
      </c>
      <c r="G48" s="56"/>
    </row>
    <row r="49" spans="1:7" x14ac:dyDescent="0.35">
      <c r="A49">
        <v>48</v>
      </c>
      <c r="B49" t="s">
        <v>11</v>
      </c>
      <c r="C49" s="54">
        <v>2450.1999999999998</v>
      </c>
      <c r="D49">
        <v>1</v>
      </c>
      <c r="E49" s="55">
        <v>7.8038999999999996</v>
      </c>
      <c r="F49" t="s">
        <v>286</v>
      </c>
      <c r="G49" s="56">
        <v>7.9</v>
      </c>
    </row>
    <row r="50" spans="1:7" x14ac:dyDescent="0.35">
      <c r="A50">
        <v>49</v>
      </c>
      <c r="B50" t="s">
        <v>21</v>
      </c>
      <c r="C50" s="54">
        <v>142.30000000000001</v>
      </c>
      <c r="D50">
        <v>1</v>
      </c>
      <c r="E50" s="55">
        <v>4.9579000000000004</v>
      </c>
      <c r="F50" t="s">
        <v>286</v>
      </c>
      <c r="G50" s="56">
        <v>3.8</v>
      </c>
    </row>
    <row r="51" spans="1:7" x14ac:dyDescent="0.35">
      <c r="A51">
        <v>50</v>
      </c>
      <c r="B51" t="s">
        <v>21</v>
      </c>
      <c r="C51" s="54">
        <v>790.4</v>
      </c>
      <c r="D51">
        <v>1</v>
      </c>
      <c r="E51" s="55">
        <v>6.6725000000000003</v>
      </c>
      <c r="F51" t="s">
        <v>286</v>
      </c>
      <c r="G51" s="56">
        <v>5.3</v>
      </c>
    </row>
    <row r="52" spans="1:7" x14ac:dyDescent="0.35">
      <c r="A52">
        <v>51</v>
      </c>
      <c r="B52" t="s">
        <v>17</v>
      </c>
      <c r="C52" s="54">
        <v>450.9</v>
      </c>
      <c r="D52">
        <v>1</v>
      </c>
      <c r="E52" s="55">
        <v>6.1112000000000002</v>
      </c>
      <c r="F52" t="s">
        <v>286</v>
      </c>
      <c r="G52" s="56">
        <v>6.8</v>
      </c>
    </row>
    <row r="53" spans="1:7" x14ac:dyDescent="0.35">
      <c r="A53">
        <v>52</v>
      </c>
      <c r="B53" t="s">
        <v>17</v>
      </c>
      <c r="C53" s="54">
        <v>5680.9</v>
      </c>
      <c r="D53">
        <v>1</v>
      </c>
      <c r="E53" s="55">
        <v>8.6448999999999998</v>
      </c>
      <c r="F53" t="s">
        <v>286</v>
      </c>
      <c r="G53" s="56">
        <v>15.2</v>
      </c>
    </row>
    <row r="54" spans="1:7" x14ac:dyDescent="0.35">
      <c r="A54">
        <v>53</v>
      </c>
      <c r="B54" t="s">
        <v>22</v>
      </c>
      <c r="C54" s="54">
        <v>6000</v>
      </c>
      <c r="D54">
        <v>0</v>
      </c>
      <c r="E54" s="55">
        <v>8.6995000000000005</v>
      </c>
      <c r="F54" t="s">
        <v>287</v>
      </c>
      <c r="G54" s="56"/>
    </row>
    <row r="55" spans="1:7" x14ac:dyDescent="0.35">
      <c r="A55">
        <v>54</v>
      </c>
      <c r="B55" t="s">
        <v>22</v>
      </c>
      <c r="C55" s="54">
        <v>33.1</v>
      </c>
      <c r="D55">
        <v>1</v>
      </c>
      <c r="E55" s="55">
        <v>3.4994999999999998</v>
      </c>
      <c r="F55" t="s">
        <v>286</v>
      </c>
      <c r="G55" s="56">
        <v>9.5</v>
      </c>
    </row>
    <row r="56" spans="1:7" x14ac:dyDescent="0.35">
      <c r="A56">
        <v>55</v>
      </c>
      <c r="B56" t="s">
        <v>22</v>
      </c>
      <c r="C56" s="54">
        <v>6000</v>
      </c>
      <c r="D56">
        <v>0</v>
      </c>
      <c r="E56" s="55">
        <v>8.6995000000000005</v>
      </c>
      <c r="F56" t="s">
        <v>287</v>
      </c>
      <c r="G56" s="56"/>
    </row>
    <row r="57" spans="1:7" x14ac:dyDescent="0.35">
      <c r="A57">
        <v>56</v>
      </c>
      <c r="B57" t="s">
        <v>22</v>
      </c>
      <c r="C57" s="54">
        <v>3987.4</v>
      </c>
      <c r="D57">
        <v>1</v>
      </c>
      <c r="E57" s="55">
        <v>8.2909000000000006</v>
      </c>
      <c r="F57" t="s">
        <v>286</v>
      </c>
      <c r="G57" s="56">
        <v>6</v>
      </c>
    </row>
    <row r="58" spans="1:7" x14ac:dyDescent="0.35">
      <c r="A58">
        <v>57</v>
      </c>
      <c r="B58" t="s">
        <v>21</v>
      </c>
      <c r="C58" s="54">
        <v>1610.8</v>
      </c>
      <c r="D58">
        <v>1</v>
      </c>
      <c r="E58" s="55">
        <v>7.3845000000000001</v>
      </c>
      <c r="F58" t="s">
        <v>286</v>
      </c>
      <c r="G58" s="56">
        <v>6</v>
      </c>
    </row>
    <row r="59" spans="1:7" x14ac:dyDescent="0.35">
      <c r="A59">
        <v>58</v>
      </c>
      <c r="B59" t="s">
        <v>11</v>
      </c>
      <c r="C59" s="54">
        <v>1053.9000000000001</v>
      </c>
      <c r="D59">
        <v>1</v>
      </c>
      <c r="E59" s="55">
        <v>6.9603000000000002</v>
      </c>
      <c r="F59" t="s">
        <v>286</v>
      </c>
      <c r="G59" s="56">
        <v>7.7</v>
      </c>
    </row>
    <row r="60" spans="1:7" x14ac:dyDescent="0.35">
      <c r="A60">
        <v>59</v>
      </c>
      <c r="B60" t="s">
        <v>13</v>
      </c>
      <c r="C60" s="54">
        <v>6000</v>
      </c>
      <c r="D60">
        <v>0</v>
      </c>
      <c r="E60" s="55">
        <v>8.6995000000000005</v>
      </c>
      <c r="F60" t="s">
        <v>287</v>
      </c>
      <c r="G60" s="56"/>
    </row>
    <row r="61" spans="1:7" x14ac:dyDescent="0.35">
      <c r="A61">
        <v>60</v>
      </c>
      <c r="B61" t="s">
        <v>11</v>
      </c>
      <c r="C61" s="54">
        <v>6000</v>
      </c>
      <c r="D61">
        <v>0</v>
      </c>
      <c r="E61" s="55">
        <v>8.6995000000000005</v>
      </c>
      <c r="F61" t="s">
        <v>287</v>
      </c>
      <c r="G61" s="56"/>
    </row>
    <row r="62" spans="1:7" x14ac:dyDescent="0.35">
      <c r="A62">
        <v>61</v>
      </c>
      <c r="B62" t="s">
        <v>17</v>
      </c>
      <c r="C62" s="54">
        <v>117.8</v>
      </c>
      <c r="D62">
        <v>1</v>
      </c>
      <c r="E62" s="55">
        <v>4.7690000000000001</v>
      </c>
      <c r="F62" t="s">
        <v>286</v>
      </c>
      <c r="G62" s="56">
        <v>15.7</v>
      </c>
    </row>
    <row r="63" spans="1:7" x14ac:dyDescent="0.35">
      <c r="A63">
        <v>62</v>
      </c>
      <c r="B63" t="s">
        <v>11</v>
      </c>
      <c r="C63" s="54">
        <v>1723.2</v>
      </c>
      <c r="D63">
        <v>1</v>
      </c>
      <c r="E63" s="55">
        <v>7.4519000000000002</v>
      </c>
      <c r="F63" t="s">
        <v>286</v>
      </c>
      <c r="G63" s="56">
        <v>7.1</v>
      </c>
    </row>
    <row r="64" spans="1:7" x14ac:dyDescent="0.35">
      <c r="A64">
        <v>63</v>
      </c>
      <c r="B64" t="s">
        <v>21</v>
      </c>
      <c r="C64" s="54">
        <v>332.4</v>
      </c>
      <c r="D64">
        <v>1</v>
      </c>
      <c r="E64" s="55">
        <v>5.8063000000000002</v>
      </c>
      <c r="F64" t="s">
        <v>286</v>
      </c>
      <c r="G64" s="56">
        <v>9.6</v>
      </c>
    </row>
    <row r="65" spans="1:7" x14ac:dyDescent="0.35">
      <c r="A65">
        <v>64</v>
      </c>
      <c r="B65" t="s">
        <v>22</v>
      </c>
      <c r="C65" s="54">
        <v>2457.4</v>
      </c>
      <c r="D65">
        <v>1</v>
      </c>
      <c r="E65" s="55">
        <v>7.8068999999999997</v>
      </c>
      <c r="F65" t="s">
        <v>286</v>
      </c>
      <c r="G65" s="56">
        <v>23.1</v>
      </c>
    </row>
    <row r="66" spans="1:7" x14ac:dyDescent="0.35">
      <c r="A66">
        <v>65</v>
      </c>
      <c r="B66" t="s">
        <v>22</v>
      </c>
      <c r="C66" s="54">
        <v>1710.1</v>
      </c>
      <c r="D66">
        <v>1</v>
      </c>
      <c r="E66" s="55">
        <v>7.4443000000000001</v>
      </c>
      <c r="F66" t="s">
        <v>286</v>
      </c>
      <c r="G66" s="56">
        <v>5.5</v>
      </c>
    </row>
    <row r="67" spans="1:7" x14ac:dyDescent="0.35">
      <c r="A67">
        <v>66</v>
      </c>
      <c r="B67" t="s">
        <v>21</v>
      </c>
      <c r="C67" s="54">
        <v>1679</v>
      </c>
      <c r="D67">
        <v>1</v>
      </c>
      <c r="E67" s="55">
        <v>7.4260000000000002</v>
      </c>
      <c r="F67" t="s">
        <v>286</v>
      </c>
      <c r="G67" s="56">
        <v>3.6</v>
      </c>
    </row>
    <row r="68" spans="1:7" x14ac:dyDescent="0.35">
      <c r="A68">
        <v>67</v>
      </c>
      <c r="B68" t="s">
        <v>11</v>
      </c>
      <c r="C68" s="54">
        <v>6000</v>
      </c>
      <c r="D68">
        <v>0</v>
      </c>
      <c r="E68" s="55">
        <v>8.6995000000000005</v>
      </c>
      <c r="F68" t="s">
        <v>287</v>
      </c>
      <c r="G68" s="56"/>
    </row>
    <row r="69" spans="1:7" x14ac:dyDescent="0.35">
      <c r="A69">
        <v>68</v>
      </c>
      <c r="B69" t="s">
        <v>11</v>
      </c>
      <c r="C69" s="54">
        <v>4267.8999999999996</v>
      </c>
      <c r="D69">
        <v>1</v>
      </c>
      <c r="E69" s="55">
        <v>8.3589000000000002</v>
      </c>
      <c r="F69" t="s">
        <v>286</v>
      </c>
      <c r="G69" s="56">
        <v>13.5</v>
      </c>
    </row>
    <row r="70" spans="1:7" x14ac:dyDescent="0.35">
      <c r="A70">
        <v>69</v>
      </c>
      <c r="B70" t="s">
        <v>21</v>
      </c>
      <c r="C70" s="54">
        <v>6000</v>
      </c>
      <c r="D70">
        <v>0</v>
      </c>
      <c r="E70" s="55">
        <v>8.6995000000000005</v>
      </c>
      <c r="F70" t="s">
        <v>287</v>
      </c>
      <c r="G70" s="56"/>
    </row>
    <row r="71" spans="1:7" x14ac:dyDescent="0.35">
      <c r="A71">
        <v>70</v>
      </c>
      <c r="B71" t="s">
        <v>13</v>
      </c>
      <c r="C71" s="54">
        <v>455.6</v>
      </c>
      <c r="D71">
        <v>1</v>
      </c>
      <c r="E71" s="55">
        <v>6.1215999999999999</v>
      </c>
      <c r="F71" t="s">
        <v>286</v>
      </c>
      <c r="G71" s="56">
        <v>8.3000000000000007</v>
      </c>
    </row>
    <row r="72" spans="1:7" x14ac:dyDescent="0.35">
      <c r="A72">
        <v>71</v>
      </c>
      <c r="B72" t="s">
        <v>22</v>
      </c>
      <c r="C72" s="54">
        <v>53.5</v>
      </c>
      <c r="D72">
        <v>1</v>
      </c>
      <c r="E72" s="55">
        <v>3.9796999999999998</v>
      </c>
      <c r="F72" t="s">
        <v>286</v>
      </c>
      <c r="G72" s="56">
        <v>5.0999999999999996</v>
      </c>
    </row>
    <row r="73" spans="1:7" x14ac:dyDescent="0.35">
      <c r="A73">
        <v>72</v>
      </c>
      <c r="B73" t="s">
        <v>13</v>
      </c>
      <c r="C73" s="54">
        <v>1573.6</v>
      </c>
      <c r="D73">
        <v>1</v>
      </c>
      <c r="E73" s="55">
        <v>7.3611000000000004</v>
      </c>
      <c r="F73" t="s">
        <v>286</v>
      </c>
      <c r="G73" s="56">
        <v>12.4</v>
      </c>
    </row>
    <row r="74" spans="1:7" x14ac:dyDescent="0.35">
      <c r="A74">
        <v>73</v>
      </c>
      <c r="B74" t="s">
        <v>13</v>
      </c>
      <c r="C74" s="54">
        <v>765.7</v>
      </c>
      <c r="D74">
        <v>1</v>
      </c>
      <c r="E74" s="55">
        <v>6.6407999999999996</v>
      </c>
      <c r="F74" t="s">
        <v>286</v>
      </c>
      <c r="G74" s="56">
        <v>4.4000000000000004</v>
      </c>
    </row>
    <row r="75" spans="1:7" x14ac:dyDescent="0.35">
      <c r="A75">
        <v>74</v>
      </c>
      <c r="B75" t="s">
        <v>21</v>
      </c>
      <c r="C75" s="54">
        <v>5209.8999999999996</v>
      </c>
      <c r="D75">
        <v>1</v>
      </c>
      <c r="E75" s="55">
        <v>8.5582999999999991</v>
      </c>
      <c r="F75" t="s">
        <v>286</v>
      </c>
      <c r="G75" s="56">
        <v>3.6</v>
      </c>
    </row>
    <row r="76" spans="1:7" x14ac:dyDescent="0.35">
      <c r="A76">
        <v>75</v>
      </c>
      <c r="B76" t="s">
        <v>11</v>
      </c>
      <c r="C76" s="54">
        <v>5850.6</v>
      </c>
      <c r="D76">
        <v>1</v>
      </c>
      <c r="E76" s="55">
        <v>8.6743000000000006</v>
      </c>
      <c r="F76" t="s">
        <v>286</v>
      </c>
      <c r="G76" s="56">
        <v>4.3</v>
      </c>
    </row>
    <row r="77" spans="1:7" x14ac:dyDescent="0.35">
      <c r="A77">
        <v>76</v>
      </c>
      <c r="B77" t="s">
        <v>13</v>
      </c>
      <c r="C77" s="54">
        <v>6000</v>
      </c>
      <c r="D77">
        <v>0</v>
      </c>
      <c r="E77" s="55">
        <v>8.6995000000000005</v>
      </c>
      <c r="F77" t="s">
        <v>287</v>
      </c>
      <c r="G77" s="56"/>
    </row>
    <row r="78" spans="1:7" x14ac:dyDescent="0.35">
      <c r="A78">
        <v>77</v>
      </c>
      <c r="B78" t="s">
        <v>13</v>
      </c>
      <c r="C78" s="54">
        <v>1730</v>
      </c>
      <c r="D78">
        <v>1</v>
      </c>
      <c r="E78" s="55">
        <v>7.4558999999999997</v>
      </c>
      <c r="F78" t="s">
        <v>286</v>
      </c>
      <c r="G78" s="56">
        <v>9.8000000000000007</v>
      </c>
    </row>
    <row r="79" spans="1:7" x14ac:dyDescent="0.35">
      <c r="A79">
        <v>78</v>
      </c>
      <c r="B79" t="s">
        <v>13</v>
      </c>
      <c r="C79" s="54">
        <v>6000</v>
      </c>
      <c r="D79">
        <v>0</v>
      </c>
      <c r="E79" s="55">
        <v>8.6995000000000005</v>
      </c>
      <c r="F79" t="s">
        <v>287</v>
      </c>
      <c r="G79" s="56"/>
    </row>
    <row r="80" spans="1:7" x14ac:dyDescent="0.35">
      <c r="A80">
        <v>79</v>
      </c>
      <c r="B80" t="s">
        <v>22</v>
      </c>
      <c r="C80" s="54">
        <v>6000</v>
      </c>
      <c r="D80">
        <v>0</v>
      </c>
      <c r="E80" s="55">
        <v>8.6995000000000005</v>
      </c>
      <c r="F80" t="s">
        <v>287</v>
      </c>
      <c r="G80" s="56"/>
    </row>
    <row r="81" spans="1:7" x14ac:dyDescent="0.35">
      <c r="A81">
        <v>80</v>
      </c>
      <c r="B81" t="s">
        <v>17</v>
      </c>
      <c r="C81" s="54">
        <v>6000</v>
      </c>
      <c r="D81">
        <v>0</v>
      </c>
      <c r="E81" s="55">
        <v>8.6995000000000005</v>
      </c>
      <c r="F81" t="s">
        <v>287</v>
      </c>
      <c r="G81" s="56"/>
    </row>
    <row r="82" spans="1:7" x14ac:dyDescent="0.35">
      <c r="A82">
        <v>81</v>
      </c>
      <c r="B82" t="s">
        <v>13</v>
      </c>
      <c r="C82" s="54">
        <v>6000</v>
      </c>
      <c r="D82">
        <v>0</v>
      </c>
      <c r="E82" s="55">
        <v>8.6995000000000005</v>
      </c>
      <c r="F82" t="s">
        <v>287</v>
      </c>
      <c r="G82" s="56"/>
    </row>
    <row r="83" spans="1:7" x14ac:dyDescent="0.35">
      <c r="A83">
        <v>82</v>
      </c>
      <c r="B83" t="s">
        <v>11</v>
      </c>
      <c r="C83" s="54">
        <v>6000</v>
      </c>
      <c r="D83">
        <v>0</v>
      </c>
      <c r="E83" s="55">
        <v>8.6995000000000005</v>
      </c>
      <c r="F83" t="s">
        <v>287</v>
      </c>
      <c r="G83" s="56"/>
    </row>
    <row r="84" spans="1:7" x14ac:dyDescent="0.35">
      <c r="A84">
        <v>83</v>
      </c>
      <c r="B84" t="s">
        <v>13</v>
      </c>
      <c r="C84" s="54">
        <v>2240.4</v>
      </c>
      <c r="D84">
        <v>1</v>
      </c>
      <c r="E84" s="55">
        <v>7.7144000000000004</v>
      </c>
      <c r="F84" t="s">
        <v>286</v>
      </c>
      <c r="G84" s="56">
        <v>5.3</v>
      </c>
    </row>
    <row r="85" spans="1:7" x14ac:dyDescent="0.35">
      <c r="A85">
        <v>84</v>
      </c>
      <c r="B85" t="s">
        <v>17</v>
      </c>
      <c r="C85" s="54">
        <v>4582.2</v>
      </c>
      <c r="D85">
        <v>1</v>
      </c>
      <c r="E85" s="55">
        <v>8.4298999999999999</v>
      </c>
      <c r="F85" t="s">
        <v>286</v>
      </c>
      <c r="G85" s="56">
        <v>3.6</v>
      </c>
    </row>
    <row r="86" spans="1:7" x14ac:dyDescent="0.35">
      <c r="A86">
        <v>85</v>
      </c>
      <c r="B86" t="s">
        <v>21</v>
      </c>
      <c r="C86" s="54">
        <v>469.1</v>
      </c>
      <c r="D86">
        <v>1</v>
      </c>
      <c r="E86" s="55">
        <v>6.1508000000000003</v>
      </c>
      <c r="F86" t="s">
        <v>286</v>
      </c>
      <c r="G86" s="56">
        <v>10</v>
      </c>
    </row>
    <row r="87" spans="1:7" x14ac:dyDescent="0.35">
      <c r="A87">
        <v>86</v>
      </c>
      <c r="B87" t="s">
        <v>21</v>
      </c>
      <c r="C87" s="54">
        <v>6000</v>
      </c>
      <c r="D87">
        <v>0</v>
      </c>
      <c r="E87" s="55">
        <v>8.6995000000000005</v>
      </c>
      <c r="F87" t="s">
        <v>287</v>
      </c>
      <c r="G87" s="56"/>
    </row>
    <row r="88" spans="1:7" x14ac:dyDescent="0.35">
      <c r="A88">
        <v>87</v>
      </c>
      <c r="B88" t="s">
        <v>17</v>
      </c>
      <c r="C88" s="54">
        <v>6000</v>
      </c>
      <c r="D88">
        <v>0</v>
      </c>
      <c r="E88" s="55">
        <v>8.6995000000000005</v>
      </c>
      <c r="F88" t="s">
        <v>287</v>
      </c>
      <c r="G88" s="56"/>
    </row>
    <row r="89" spans="1:7" x14ac:dyDescent="0.35">
      <c r="A89">
        <v>88</v>
      </c>
      <c r="B89" t="s">
        <v>11</v>
      </c>
      <c r="C89" s="54">
        <v>3517.5</v>
      </c>
      <c r="D89">
        <v>1</v>
      </c>
      <c r="E89" s="55">
        <v>8.1654999999999998</v>
      </c>
      <c r="F89" t="s">
        <v>286</v>
      </c>
      <c r="G89" s="56">
        <v>10.6</v>
      </c>
    </row>
    <row r="90" spans="1:7" x14ac:dyDescent="0.35">
      <c r="A90">
        <v>89</v>
      </c>
      <c r="B90" t="s">
        <v>22</v>
      </c>
      <c r="C90" s="54">
        <v>1175.5</v>
      </c>
      <c r="D90">
        <v>1</v>
      </c>
      <c r="E90" s="55">
        <v>7.0693999999999999</v>
      </c>
      <c r="F90" t="s">
        <v>286</v>
      </c>
      <c r="G90" s="56">
        <v>8.6999999999999993</v>
      </c>
    </row>
    <row r="91" spans="1:7" x14ac:dyDescent="0.35">
      <c r="A91">
        <v>90</v>
      </c>
      <c r="B91" t="s">
        <v>11</v>
      </c>
      <c r="C91" s="54">
        <v>559.20000000000005</v>
      </c>
      <c r="D91">
        <v>1</v>
      </c>
      <c r="E91" s="55">
        <v>6.3265000000000002</v>
      </c>
      <c r="F91" t="s">
        <v>286</v>
      </c>
      <c r="G91" s="56">
        <v>3.9</v>
      </c>
    </row>
    <row r="92" spans="1:7" x14ac:dyDescent="0.35">
      <c r="A92">
        <v>91</v>
      </c>
      <c r="B92" t="s">
        <v>17</v>
      </c>
      <c r="C92" s="54">
        <v>6000</v>
      </c>
      <c r="D92">
        <v>0</v>
      </c>
      <c r="E92" s="55">
        <v>8.6995000000000005</v>
      </c>
      <c r="F92" t="s">
        <v>287</v>
      </c>
      <c r="G92" s="56"/>
    </row>
    <row r="93" spans="1:7" x14ac:dyDescent="0.35">
      <c r="A93">
        <v>92</v>
      </c>
      <c r="B93" t="s">
        <v>11</v>
      </c>
      <c r="C93" s="54">
        <v>6000</v>
      </c>
      <c r="D93">
        <v>0</v>
      </c>
      <c r="E93" s="55">
        <v>8.6995000000000005</v>
      </c>
      <c r="F93" t="s">
        <v>287</v>
      </c>
      <c r="G93" s="56"/>
    </row>
    <row r="94" spans="1:7" x14ac:dyDescent="0.35">
      <c r="A94">
        <v>93</v>
      </c>
      <c r="B94" t="s">
        <v>21</v>
      </c>
      <c r="C94" s="54">
        <v>186</v>
      </c>
      <c r="D94">
        <v>1</v>
      </c>
      <c r="E94" s="55">
        <v>5.2256999999999998</v>
      </c>
      <c r="F94" t="s">
        <v>286</v>
      </c>
      <c r="G94" s="56">
        <v>7.7</v>
      </c>
    </row>
    <row r="95" spans="1:7" x14ac:dyDescent="0.35">
      <c r="A95">
        <v>94</v>
      </c>
      <c r="B95" t="s">
        <v>11</v>
      </c>
      <c r="C95" s="54">
        <v>1444.3</v>
      </c>
      <c r="D95">
        <v>1</v>
      </c>
      <c r="E95" s="55">
        <v>7.2754000000000003</v>
      </c>
      <c r="F95" t="s">
        <v>286</v>
      </c>
      <c r="G95" s="56">
        <v>12.7</v>
      </c>
    </row>
    <row r="96" spans="1:7" x14ac:dyDescent="0.35">
      <c r="A96">
        <v>95</v>
      </c>
      <c r="B96" t="s">
        <v>11</v>
      </c>
      <c r="C96" s="54">
        <v>2214.5</v>
      </c>
      <c r="D96">
        <v>1</v>
      </c>
      <c r="E96" s="55">
        <v>7.7027999999999999</v>
      </c>
      <c r="F96" t="s">
        <v>286</v>
      </c>
      <c r="G96" s="56">
        <v>12.8</v>
      </c>
    </row>
    <row r="97" spans="1:7" x14ac:dyDescent="0.35">
      <c r="A97">
        <v>96</v>
      </c>
      <c r="B97" t="s">
        <v>21</v>
      </c>
      <c r="C97" s="54">
        <v>6000</v>
      </c>
      <c r="D97">
        <v>0</v>
      </c>
      <c r="E97" s="55">
        <v>8.6995000000000005</v>
      </c>
      <c r="F97" t="s">
        <v>287</v>
      </c>
      <c r="G97" s="56"/>
    </row>
    <row r="98" spans="1:7" x14ac:dyDescent="0.35">
      <c r="A98">
        <v>97</v>
      </c>
      <c r="B98" t="s">
        <v>11</v>
      </c>
      <c r="C98" s="54">
        <v>6000</v>
      </c>
      <c r="D98">
        <v>0</v>
      </c>
      <c r="E98" s="55">
        <v>8.6995000000000005</v>
      </c>
      <c r="F98" t="s">
        <v>287</v>
      </c>
      <c r="G98" s="56"/>
    </row>
    <row r="99" spans="1:7" x14ac:dyDescent="0.35">
      <c r="A99">
        <v>98</v>
      </c>
      <c r="B99" t="s">
        <v>22</v>
      </c>
      <c r="C99" s="54">
        <v>9.1999999999999993</v>
      </c>
      <c r="D99">
        <v>1</v>
      </c>
      <c r="E99" s="55">
        <v>2.2191999999999998</v>
      </c>
      <c r="F99" t="s">
        <v>286</v>
      </c>
      <c r="G99" s="56">
        <v>6</v>
      </c>
    </row>
    <row r="100" spans="1:7" x14ac:dyDescent="0.35">
      <c r="A100">
        <v>99</v>
      </c>
      <c r="B100" t="s">
        <v>22</v>
      </c>
      <c r="C100" s="54">
        <v>6000</v>
      </c>
      <c r="D100">
        <v>0</v>
      </c>
      <c r="E100" s="55">
        <v>8.6995000000000005</v>
      </c>
      <c r="F100" t="s">
        <v>287</v>
      </c>
      <c r="G100" s="56"/>
    </row>
    <row r="101" spans="1:7" x14ac:dyDescent="0.35">
      <c r="A101">
        <v>100</v>
      </c>
      <c r="B101" t="s">
        <v>21</v>
      </c>
      <c r="C101" s="54">
        <v>4304.3999999999996</v>
      </c>
      <c r="D101">
        <v>1</v>
      </c>
      <c r="E101" s="55">
        <v>8.3673999999999999</v>
      </c>
      <c r="F101" t="s">
        <v>286</v>
      </c>
      <c r="G101" s="56">
        <v>10.7</v>
      </c>
    </row>
    <row r="102" spans="1:7" x14ac:dyDescent="0.35">
      <c r="A102">
        <v>101</v>
      </c>
      <c r="B102" t="s">
        <v>11</v>
      </c>
      <c r="C102" s="54">
        <v>4127</v>
      </c>
      <c r="D102">
        <v>1</v>
      </c>
      <c r="E102" s="55">
        <v>8.3253000000000004</v>
      </c>
      <c r="F102" t="s">
        <v>286</v>
      </c>
      <c r="G102" s="56">
        <v>7.4</v>
      </c>
    </row>
    <row r="103" spans="1:7" x14ac:dyDescent="0.35">
      <c r="A103">
        <v>102</v>
      </c>
      <c r="B103" t="s">
        <v>11</v>
      </c>
      <c r="C103" s="54">
        <v>2126</v>
      </c>
      <c r="D103">
        <v>1</v>
      </c>
      <c r="E103" s="55">
        <v>7.6619999999999999</v>
      </c>
      <c r="F103" t="s">
        <v>286</v>
      </c>
      <c r="G103" s="56">
        <v>15.7</v>
      </c>
    </row>
    <row r="104" spans="1:7" x14ac:dyDescent="0.35">
      <c r="A104">
        <v>103</v>
      </c>
      <c r="B104" t="s">
        <v>11</v>
      </c>
      <c r="C104" s="54">
        <v>621.20000000000005</v>
      </c>
      <c r="D104">
        <v>1</v>
      </c>
      <c r="E104" s="55">
        <v>6.4317000000000002</v>
      </c>
      <c r="F104" t="s">
        <v>286</v>
      </c>
      <c r="G104" s="56">
        <v>6.8</v>
      </c>
    </row>
    <row r="105" spans="1:7" x14ac:dyDescent="0.35">
      <c r="A105">
        <v>104</v>
      </c>
      <c r="B105" t="s">
        <v>22</v>
      </c>
      <c r="C105" s="54">
        <v>649.20000000000005</v>
      </c>
      <c r="D105">
        <v>1</v>
      </c>
      <c r="E105" s="55">
        <v>6.4756999999999998</v>
      </c>
      <c r="F105" t="s">
        <v>286</v>
      </c>
      <c r="G105" s="56">
        <v>14</v>
      </c>
    </row>
    <row r="106" spans="1:7" x14ac:dyDescent="0.35">
      <c r="A106">
        <v>105</v>
      </c>
      <c r="B106" t="s">
        <v>11</v>
      </c>
      <c r="C106" s="54">
        <v>4083.1</v>
      </c>
      <c r="D106">
        <v>1</v>
      </c>
      <c r="E106" s="55">
        <v>8.3146000000000004</v>
      </c>
      <c r="F106" t="s">
        <v>286</v>
      </c>
      <c r="G106" s="56">
        <v>4.0999999999999996</v>
      </c>
    </row>
    <row r="107" spans="1:7" x14ac:dyDescent="0.35">
      <c r="A107">
        <v>106</v>
      </c>
      <c r="B107" t="s">
        <v>13</v>
      </c>
      <c r="C107" s="54">
        <v>112.6</v>
      </c>
      <c r="D107">
        <v>1</v>
      </c>
      <c r="E107" s="55">
        <v>4.7237999999999998</v>
      </c>
      <c r="F107" t="s">
        <v>286</v>
      </c>
      <c r="G107" s="56">
        <v>8.1999999999999993</v>
      </c>
    </row>
    <row r="108" spans="1:7" x14ac:dyDescent="0.35">
      <c r="A108">
        <v>107</v>
      </c>
      <c r="B108" t="s">
        <v>22</v>
      </c>
      <c r="C108" s="54">
        <v>275.2</v>
      </c>
      <c r="D108">
        <v>1</v>
      </c>
      <c r="E108" s="55">
        <v>5.6174999999999997</v>
      </c>
      <c r="F108" t="s">
        <v>286</v>
      </c>
      <c r="G108" s="56">
        <v>8.6</v>
      </c>
    </row>
    <row r="109" spans="1:7" x14ac:dyDescent="0.35">
      <c r="A109">
        <v>108</v>
      </c>
      <c r="B109" t="s">
        <v>17</v>
      </c>
      <c r="C109" s="54">
        <v>579.9</v>
      </c>
      <c r="D109">
        <v>1</v>
      </c>
      <c r="E109" s="55">
        <v>6.3628999999999998</v>
      </c>
      <c r="F109" t="s">
        <v>286</v>
      </c>
      <c r="G109" s="56">
        <v>9.9</v>
      </c>
    </row>
    <row r="110" spans="1:7" x14ac:dyDescent="0.35">
      <c r="A110">
        <v>109</v>
      </c>
      <c r="B110" t="s">
        <v>22</v>
      </c>
      <c r="C110" s="54">
        <v>842.9</v>
      </c>
      <c r="D110">
        <v>1</v>
      </c>
      <c r="E110" s="55">
        <v>6.7367999999999997</v>
      </c>
      <c r="F110" t="s">
        <v>286</v>
      </c>
      <c r="G110" s="56">
        <v>13.3</v>
      </c>
    </row>
    <row r="111" spans="1:7" x14ac:dyDescent="0.35">
      <c r="A111">
        <v>110</v>
      </c>
      <c r="B111" t="s">
        <v>21</v>
      </c>
      <c r="C111" s="54">
        <v>1098.3</v>
      </c>
      <c r="D111">
        <v>1</v>
      </c>
      <c r="E111" s="55">
        <v>7.0015000000000001</v>
      </c>
      <c r="F111" t="s">
        <v>286</v>
      </c>
      <c r="G111" s="56">
        <v>9.6999999999999993</v>
      </c>
    </row>
    <row r="112" spans="1:7" x14ac:dyDescent="0.35">
      <c r="A112">
        <v>111</v>
      </c>
      <c r="B112" t="s">
        <v>11</v>
      </c>
      <c r="C112" s="54">
        <v>183</v>
      </c>
      <c r="D112">
        <v>1</v>
      </c>
      <c r="E112" s="55">
        <v>5.2095000000000002</v>
      </c>
      <c r="F112" t="s">
        <v>286</v>
      </c>
      <c r="G112" s="56">
        <v>6.8</v>
      </c>
    </row>
    <row r="113" spans="1:7" x14ac:dyDescent="0.35">
      <c r="A113">
        <v>112</v>
      </c>
      <c r="B113" t="s">
        <v>11</v>
      </c>
      <c r="C113" s="54">
        <v>6000</v>
      </c>
      <c r="D113">
        <v>0</v>
      </c>
      <c r="E113" s="55">
        <v>8.6995000000000005</v>
      </c>
      <c r="F113" t="s">
        <v>287</v>
      </c>
      <c r="G113" s="56"/>
    </row>
    <row r="114" spans="1:7" x14ac:dyDescent="0.35">
      <c r="A114">
        <v>113</v>
      </c>
      <c r="B114" t="s">
        <v>11</v>
      </c>
      <c r="C114" s="54">
        <v>1048.9000000000001</v>
      </c>
      <c r="D114">
        <v>1</v>
      </c>
      <c r="E114" s="55">
        <v>6.9554999999999998</v>
      </c>
      <c r="F114" t="s">
        <v>286</v>
      </c>
      <c r="G114" s="56">
        <v>3.1</v>
      </c>
    </row>
    <row r="115" spans="1:7" x14ac:dyDescent="0.35">
      <c r="A115">
        <v>114</v>
      </c>
      <c r="B115" t="s">
        <v>13</v>
      </c>
      <c r="C115" s="54">
        <v>264.3</v>
      </c>
      <c r="D115">
        <v>1</v>
      </c>
      <c r="E115" s="55">
        <v>5.5770999999999997</v>
      </c>
      <c r="F115" t="s">
        <v>286</v>
      </c>
      <c r="G115" s="56">
        <v>11</v>
      </c>
    </row>
    <row r="116" spans="1:7" x14ac:dyDescent="0.35">
      <c r="A116">
        <v>115</v>
      </c>
      <c r="B116" t="s">
        <v>13</v>
      </c>
      <c r="C116" s="54">
        <v>155.6</v>
      </c>
      <c r="D116">
        <v>1</v>
      </c>
      <c r="E116" s="55">
        <v>5.0472999999999999</v>
      </c>
      <c r="F116" t="s">
        <v>286</v>
      </c>
      <c r="G116" s="56">
        <v>8.3000000000000007</v>
      </c>
    </row>
    <row r="117" spans="1:7" x14ac:dyDescent="0.35">
      <c r="A117">
        <v>116</v>
      </c>
      <c r="B117" t="s">
        <v>11</v>
      </c>
      <c r="C117" s="54">
        <v>489.7</v>
      </c>
      <c r="D117">
        <v>1</v>
      </c>
      <c r="E117" s="55">
        <v>6.1938000000000004</v>
      </c>
      <c r="F117" t="s">
        <v>286</v>
      </c>
      <c r="G117" s="56">
        <v>4.7</v>
      </c>
    </row>
    <row r="118" spans="1:7" x14ac:dyDescent="0.35">
      <c r="A118">
        <v>117</v>
      </c>
      <c r="B118" t="s">
        <v>21</v>
      </c>
      <c r="C118" s="54">
        <v>4123.6000000000004</v>
      </c>
      <c r="D118">
        <v>1</v>
      </c>
      <c r="E118" s="55">
        <v>8.3245000000000005</v>
      </c>
      <c r="F118" t="s">
        <v>286</v>
      </c>
      <c r="G118" s="56">
        <v>5.9</v>
      </c>
    </row>
    <row r="119" spans="1:7" x14ac:dyDescent="0.35">
      <c r="A119">
        <v>118</v>
      </c>
      <c r="B119" t="s">
        <v>13</v>
      </c>
      <c r="C119" s="54">
        <v>29.2</v>
      </c>
      <c r="D119">
        <v>1</v>
      </c>
      <c r="E119" s="55">
        <v>3.3742000000000001</v>
      </c>
      <c r="F119" t="s">
        <v>286</v>
      </c>
      <c r="G119" s="56">
        <v>7.8</v>
      </c>
    </row>
    <row r="120" spans="1:7" x14ac:dyDescent="0.35">
      <c r="A120">
        <v>119</v>
      </c>
      <c r="B120" t="s">
        <v>22</v>
      </c>
      <c r="C120" s="54">
        <v>111.6</v>
      </c>
      <c r="D120">
        <v>1</v>
      </c>
      <c r="E120" s="55">
        <v>4.7149000000000001</v>
      </c>
      <c r="F120" t="s">
        <v>286</v>
      </c>
      <c r="G120" s="56">
        <v>7.9</v>
      </c>
    </row>
    <row r="121" spans="1:7" x14ac:dyDescent="0.35">
      <c r="A121">
        <v>120</v>
      </c>
      <c r="B121" t="s">
        <v>17</v>
      </c>
      <c r="C121" s="54">
        <v>6000</v>
      </c>
      <c r="D121">
        <v>0</v>
      </c>
      <c r="E121" s="55">
        <v>8.6995000000000005</v>
      </c>
      <c r="F121" t="s">
        <v>287</v>
      </c>
      <c r="G121" s="56"/>
    </row>
    <row r="122" spans="1:7" x14ac:dyDescent="0.35">
      <c r="A122">
        <v>121</v>
      </c>
      <c r="B122" t="s">
        <v>11</v>
      </c>
      <c r="C122" s="54">
        <v>6000</v>
      </c>
      <c r="D122">
        <v>0</v>
      </c>
      <c r="E122" s="55">
        <v>8.6995000000000005</v>
      </c>
      <c r="F122" t="s">
        <v>287</v>
      </c>
      <c r="G122" s="56"/>
    </row>
    <row r="123" spans="1:7" x14ac:dyDescent="0.35">
      <c r="A123">
        <v>122</v>
      </c>
      <c r="B123" t="s">
        <v>22</v>
      </c>
      <c r="C123" s="54">
        <v>6000</v>
      </c>
      <c r="D123">
        <v>0</v>
      </c>
      <c r="E123" s="55">
        <v>8.6995000000000005</v>
      </c>
      <c r="F123" t="s">
        <v>287</v>
      </c>
      <c r="G123" s="56"/>
    </row>
    <row r="124" spans="1:7" x14ac:dyDescent="0.35">
      <c r="A124">
        <v>123</v>
      </c>
      <c r="B124" t="s">
        <v>17</v>
      </c>
      <c r="C124" s="54">
        <v>670.6</v>
      </c>
      <c r="D124">
        <v>1</v>
      </c>
      <c r="E124" s="55">
        <v>6.5082000000000004</v>
      </c>
      <c r="F124" t="s">
        <v>286</v>
      </c>
      <c r="G124" s="56">
        <v>15.5</v>
      </c>
    </row>
    <row r="125" spans="1:7" x14ac:dyDescent="0.35">
      <c r="A125">
        <v>124</v>
      </c>
      <c r="B125" t="s">
        <v>22</v>
      </c>
      <c r="C125" s="54">
        <v>1335</v>
      </c>
      <c r="D125">
        <v>1</v>
      </c>
      <c r="E125" s="55">
        <v>7.1966999999999999</v>
      </c>
      <c r="F125" t="s">
        <v>286</v>
      </c>
      <c r="G125" s="56">
        <v>7.1</v>
      </c>
    </row>
    <row r="126" spans="1:7" x14ac:dyDescent="0.35">
      <c r="A126">
        <v>125</v>
      </c>
      <c r="B126" t="s">
        <v>11</v>
      </c>
      <c r="C126" s="54">
        <v>1007.7</v>
      </c>
      <c r="D126">
        <v>1</v>
      </c>
      <c r="E126" s="55">
        <v>6.9154</v>
      </c>
      <c r="F126" t="s">
        <v>286</v>
      </c>
      <c r="G126" s="56">
        <v>3.6</v>
      </c>
    </row>
    <row r="127" spans="1:7" x14ac:dyDescent="0.35">
      <c r="A127">
        <v>126</v>
      </c>
      <c r="B127" t="s">
        <v>17</v>
      </c>
      <c r="C127" s="54">
        <v>4262.8999999999996</v>
      </c>
      <c r="D127">
        <v>1</v>
      </c>
      <c r="E127" s="55">
        <v>8.3576999999999995</v>
      </c>
      <c r="F127" t="s">
        <v>286</v>
      </c>
      <c r="G127" s="56">
        <v>5.3</v>
      </c>
    </row>
    <row r="128" spans="1:7" x14ac:dyDescent="0.35">
      <c r="A128">
        <v>127</v>
      </c>
      <c r="B128" t="s">
        <v>21</v>
      </c>
      <c r="C128" s="54">
        <v>6000</v>
      </c>
      <c r="D128">
        <v>0</v>
      </c>
      <c r="E128" s="55">
        <v>8.6995000000000005</v>
      </c>
      <c r="F128" t="s">
        <v>287</v>
      </c>
      <c r="G128" s="56"/>
    </row>
    <row r="129" spans="1:7" x14ac:dyDescent="0.35">
      <c r="A129">
        <v>128</v>
      </c>
      <c r="B129" t="s">
        <v>17</v>
      </c>
      <c r="C129" s="54">
        <v>5352.2</v>
      </c>
      <c r="D129">
        <v>1</v>
      </c>
      <c r="E129" s="55">
        <v>8.5853000000000002</v>
      </c>
      <c r="F129" t="s">
        <v>286</v>
      </c>
      <c r="G129" s="56">
        <v>3.4</v>
      </c>
    </row>
    <row r="130" spans="1:7" x14ac:dyDescent="0.35">
      <c r="A130">
        <v>129</v>
      </c>
      <c r="B130" t="s">
        <v>21</v>
      </c>
      <c r="C130" s="54">
        <v>4404.8</v>
      </c>
      <c r="D130">
        <v>1</v>
      </c>
      <c r="E130" s="55">
        <v>8.3904999999999994</v>
      </c>
      <c r="F130" t="s">
        <v>286</v>
      </c>
      <c r="G130" s="56">
        <v>5</v>
      </c>
    </row>
    <row r="131" spans="1:7" x14ac:dyDescent="0.35">
      <c r="A131">
        <v>130</v>
      </c>
      <c r="B131" t="s">
        <v>13</v>
      </c>
      <c r="C131" s="54">
        <v>6000</v>
      </c>
      <c r="D131">
        <v>0</v>
      </c>
      <c r="E131" s="55">
        <v>8.6995000000000005</v>
      </c>
      <c r="F131" t="s">
        <v>287</v>
      </c>
      <c r="G131" s="56"/>
    </row>
    <row r="132" spans="1:7" x14ac:dyDescent="0.35">
      <c r="A132">
        <v>131</v>
      </c>
      <c r="B132" t="s">
        <v>22</v>
      </c>
      <c r="C132" s="54">
        <v>25.4</v>
      </c>
      <c r="D132">
        <v>1</v>
      </c>
      <c r="E132" s="55">
        <v>3.2347000000000001</v>
      </c>
      <c r="F132" t="s">
        <v>286</v>
      </c>
      <c r="G132" s="56">
        <v>5.5</v>
      </c>
    </row>
    <row r="133" spans="1:7" x14ac:dyDescent="0.35">
      <c r="A133">
        <v>132</v>
      </c>
      <c r="B133" t="s">
        <v>13</v>
      </c>
      <c r="C133" s="54">
        <v>6000</v>
      </c>
      <c r="D133">
        <v>0</v>
      </c>
      <c r="E133" s="55">
        <v>8.6995000000000005</v>
      </c>
      <c r="F133" t="s">
        <v>287</v>
      </c>
      <c r="G133" s="56"/>
    </row>
    <row r="134" spans="1:7" x14ac:dyDescent="0.35">
      <c r="A134">
        <v>133</v>
      </c>
      <c r="B134" t="s">
        <v>21</v>
      </c>
      <c r="C134" s="54">
        <v>78.3</v>
      </c>
      <c r="D134">
        <v>1</v>
      </c>
      <c r="E134" s="55">
        <v>4.3605</v>
      </c>
      <c r="F134" t="s">
        <v>286</v>
      </c>
      <c r="G134" s="56">
        <v>4.3</v>
      </c>
    </row>
    <row r="135" spans="1:7" x14ac:dyDescent="0.35">
      <c r="A135">
        <v>134</v>
      </c>
      <c r="B135" t="s">
        <v>22</v>
      </c>
      <c r="C135" s="54">
        <v>6000</v>
      </c>
      <c r="D135">
        <v>0</v>
      </c>
      <c r="E135" s="55">
        <v>8.6995000000000005</v>
      </c>
      <c r="F135" t="s">
        <v>287</v>
      </c>
      <c r="G135" s="56"/>
    </row>
    <row r="136" spans="1:7" x14ac:dyDescent="0.35">
      <c r="A136">
        <v>135</v>
      </c>
      <c r="B136" t="s">
        <v>13</v>
      </c>
      <c r="C136" s="54">
        <v>6000</v>
      </c>
      <c r="D136">
        <v>0</v>
      </c>
      <c r="E136" s="55">
        <v>8.6995000000000005</v>
      </c>
      <c r="F136" t="s">
        <v>287</v>
      </c>
      <c r="G136" s="56"/>
    </row>
    <row r="137" spans="1:7" x14ac:dyDescent="0.35">
      <c r="A137">
        <v>136</v>
      </c>
      <c r="B137" t="s">
        <v>21</v>
      </c>
      <c r="C137" s="54">
        <v>5.6</v>
      </c>
      <c r="D137">
        <v>1</v>
      </c>
      <c r="E137" s="55">
        <v>1.7228000000000001</v>
      </c>
      <c r="F137" t="s">
        <v>286</v>
      </c>
      <c r="G137" s="56">
        <v>10.1</v>
      </c>
    </row>
    <row r="138" spans="1:7" x14ac:dyDescent="0.35">
      <c r="A138">
        <v>137</v>
      </c>
      <c r="B138" t="s">
        <v>22</v>
      </c>
      <c r="C138" s="54">
        <v>281.2</v>
      </c>
      <c r="D138">
        <v>1</v>
      </c>
      <c r="E138" s="55">
        <v>5.6391</v>
      </c>
      <c r="F138" t="s">
        <v>286</v>
      </c>
      <c r="G138" s="56">
        <v>5.6</v>
      </c>
    </row>
    <row r="139" spans="1:7" x14ac:dyDescent="0.35">
      <c r="A139">
        <v>138</v>
      </c>
      <c r="B139" t="s">
        <v>13</v>
      </c>
      <c r="C139" s="54">
        <v>3156.5</v>
      </c>
      <c r="D139">
        <v>1</v>
      </c>
      <c r="E139" s="55">
        <v>8.0571999999999999</v>
      </c>
      <c r="F139" t="s">
        <v>286</v>
      </c>
      <c r="G139" s="56">
        <v>9.3000000000000007</v>
      </c>
    </row>
    <row r="140" spans="1:7" x14ac:dyDescent="0.35">
      <c r="A140">
        <v>139</v>
      </c>
      <c r="B140" t="s">
        <v>13</v>
      </c>
      <c r="C140" s="54">
        <v>1837.7</v>
      </c>
      <c r="D140">
        <v>1</v>
      </c>
      <c r="E140" s="55">
        <v>7.5163000000000002</v>
      </c>
      <c r="F140" t="s">
        <v>286</v>
      </c>
      <c r="G140" s="56">
        <v>6.1</v>
      </c>
    </row>
    <row r="141" spans="1:7" x14ac:dyDescent="0.35">
      <c r="A141">
        <v>140</v>
      </c>
      <c r="B141" t="s">
        <v>21</v>
      </c>
      <c r="C141" s="54">
        <v>722.9</v>
      </c>
      <c r="D141">
        <v>1</v>
      </c>
      <c r="E141" s="55">
        <v>6.5833000000000004</v>
      </c>
      <c r="F141" t="s">
        <v>286</v>
      </c>
      <c r="G141" s="56">
        <v>7.3</v>
      </c>
    </row>
    <row r="142" spans="1:7" x14ac:dyDescent="0.35">
      <c r="A142">
        <v>141</v>
      </c>
      <c r="B142" t="s">
        <v>17</v>
      </c>
      <c r="C142" s="54">
        <v>5.4</v>
      </c>
      <c r="D142">
        <v>1</v>
      </c>
      <c r="E142" s="55">
        <v>1.6863999999999999</v>
      </c>
      <c r="F142" t="s">
        <v>286</v>
      </c>
      <c r="G142" s="56">
        <v>5.5</v>
      </c>
    </row>
    <row r="143" spans="1:7" x14ac:dyDescent="0.35">
      <c r="A143">
        <v>142</v>
      </c>
      <c r="B143" t="s">
        <v>13</v>
      </c>
      <c r="C143" s="54">
        <v>687.1</v>
      </c>
      <c r="D143">
        <v>1</v>
      </c>
      <c r="E143" s="55">
        <v>6.5324999999999998</v>
      </c>
      <c r="F143" t="s">
        <v>286</v>
      </c>
      <c r="G143" s="56">
        <v>5.2</v>
      </c>
    </row>
    <row r="144" spans="1:7" x14ac:dyDescent="0.35">
      <c r="A144">
        <v>143</v>
      </c>
      <c r="B144" t="s">
        <v>11</v>
      </c>
      <c r="C144" s="54">
        <v>6000</v>
      </c>
      <c r="D144">
        <v>0</v>
      </c>
      <c r="E144" s="55">
        <v>8.6995000000000005</v>
      </c>
      <c r="F144" t="s">
        <v>287</v>
      </c>
      <c r="G144" s="56"/>
    </row>
    <row r="145" spans="1:7" x14ac:dyDescent="0.35">
      <c r="A145">
        <v>144</v>
      </c>
      <c r="B145" t="s">
        <v>13</v>
      </c>
      <c r="C145" s="54">
        <v>2851.6</v>
      </c>
      <c r="D145">
        <v>1</v>
      </c>
      <c r="E145" s="55">
        <v>7.9555999999999996</v>
      </c>
      <c r="F145" t="s">
        <v>286</v>
      </c>
      <c r="G145" s="56">
        <v>7.8</v>
      </c>
    </row>
    <row r="146" spans="1:7" x14ac:dyDescent="0.35">
      <c r="A146">
        <v>145</v>
      </c>
      <c r="B146" t="s">
        <v>13</v>
      </c>
      <c r="C146" s="54">
        <v>4698.8999999999996</v>
      </c>
      <c r="D146">
        <v>1</v>
      </c>
      <c r="E146" s="55">
        <v>8.4550999999999998</v>
      </c>
      <c r="F146" t="s">
        <v>286</v>
      </c>
      <c r="G146" s="56">
        <v>6.4</v>
      </c>
    </row>
    <row r="147" spans="1:7" x14ac:dyDescent="0.35">
      <c r="A147">
        <v>146</v>
      </c>
      <c r="B147" t="s">
        <v>11</v>
      </c>
      <c r="C147" s="54">
        <v>6000</v>
      </c>
      <c r="D147">
        <v>0</v>
      </c>
      <c r="E147" s="55">
        <v>8.6995000000000005</v>
      </c>
      <c r="F147" t="s">
        <v>287</v>
      </c>
      <c r="G147" s="56"/>
    </row>
    <row r="148" spans="1:7" x14ac:dyDescent="0.35">
      <c r="A148">
        <v>147</v>
      </c>
      <c r="B148" t="s">
        <v>22</v>
      </c>
      <c r="C148" s="54">
        <v>986.9</v>
      </c>
      <c r="D148">
        <v>1</v>
      </c>
      <c r="E148" s="55">
        <v>6.8945999999999996</v>
      </c>
      <c r="F148" t="s">
        <v>286</v>
      </c>
      <c r="G148" s="56">
        <v>8.6</v>
      </c>
    </row>
    <row r="149" spans="1:7" x14ac:dyDescent="0.35">
      <c r="A149">
        <v>148</v>
      </c>
      <c r="B149" t="s">
        <v>22</v>
      </c>
      <c r="C149" s="54">
        <v>5966.6</v>
      </c>
      <c r="D149">
        <v>1</v>
      </c>
      <c r="E149" s="55">
        <v>8.6938999999999993</v>
      </c>
      <c r="F149" t="s">
        <v>286</v>
      </c>
      <c r="G149" s="56">
        <v>8.5</v>
      </c>
    </row>
    <row r="150" spans="1:7" x14ac:dyDescent="0.35">
      <c r="A150">
        <v>149</v>
      </c>
      <c r="B150" t="s">
        <v>22</v>
      </c>
      <c r="C150" s="54">
        <v>934</v>
      </c>
      <c r="D150">
        <v>1</v>
      </c>
      <c r="E150" s="55">
        <v>6.8395000000000001</v>
      </c>
      <c r="F150" t="s">
        <v>286</v>
      </c>
      <c r="G150" s="56">
        <v>3.2</v>
      </c>
    </row>
    <row r="151" spans="1:7" x14ac:dyDescent="0.35">
      <c r="A151">
        <v>150</v>
      </c>
      <c r="B151" t="s">
        <v>11</v>
      </c>
      <c r="C151" s="54">
        <v>3673.8</v>
      </c>
      <c r="D151">
        <v>1</v>
      </c>
      <c r="E151" s="55">
        <v>8.2089999999999996</v>
      </c>
      <c r="F151" t="s">
        <v>286</v>
      </c>
      <c r="G151" s="56">
        <v>15.9</v>
      </c>
    </row>
    <row r="152" spans="1:7" x14ac:dyDescent="0.35">
      <c r="A152">
        <v>151</v>
      </c>
      <c r="B152" t="s">
        <v>21</v>
      </c>
      <c r="C152" s="54">
        <v>2884.2</v>
      </c>
      <c r="D152">
        <v>1</v>
      </c>
      <c r="E152" s="55">
        <v>7.9669999999999996</v>
      </c>
      <c r="F152" t="s">
        <v>286</v>
      </c>
      <c r="G152" s="56">
        <v>5.5</v>
      </c>
    </row>
    <row r="153" spans="1:7" x14ac:dyDescent="0.35">
      <c r="A153">
        <v>152</v>
      </c>
      <c r="B153" t="s">
        <v>21</v>
      </c>
      <c r="C153" s="54">
        <v>6000</v>
      </c>
      <c r="D153">
        <v>0</v>
      </c>
      <c r="E153" s="55">
        <v>8.6995000000000005</v>
      </c>
      <c r="F153" t="s">
        <v>287</v>
      </c>
      <c r="G153" s="56"/>
    </row>
    <row r="154" spans="1:7" x14ac:dyDescent="0.35">
      <c r="A154">
        <v>153</v>
      </c>
      <c r="B154" t="s">
        <v>22</v>
      </c>
      <c r="C154" s="54">
        <v>6000</v>
      </c>
      <c r="D154">
        <v>0</v>
      </c>
      <c r="E154" s="55">
        <v>8.6995000000000005</v>
      </c>
      <c r="F154" t="s">
        <v>287</v>
      </c>
      <c r="G154" s="56"/>
    </row>
    <row r="155" spans="1:7" x14ac:dyDescent="0.35">
      <c r="A155">
        <v>154</v>
      </c>
      <c r="B155" t="s">
        <v>21</v>
      </c>
      <c r="C155" s="54">
        <v>6000</v>
      </c>
      <c r="D155">
        <v>0</v>
      </c>
      <c r="E155" s="55">
        <v>8.6995000000000005</v>
      </c>
      <c r="F155" t="s">
        <v>287</v>
      </c>
      <c r="G155" s="56"/>
    </row>
    <row r="156" spans="1:7" x14ac:dyDescent="0.35">
      <c r="A156">
        <v>155</v>
      </c>
      <c r="B156" t="s">
        <v>13</v>
      </c>
      <c r="C156" s="54">
        <v>490.4</v>
      </c>
      <c r="D156">
        <v>1</v>
      </c>
      <c r="E156" s="55">
        <v>6.1951999999999998</v>
      </c>
      <c r="F156" t="s">
        <v>286</v>
      </c>
      <c r="G156" s="56">
        <v>10</v>
      </c>
    </row>
    <row r="157" spans="1:7" x14ac:dyDescent="0.35">
      <c r="A157">
        <v>156</v>
      </c>
      <c r="B157" t="s">
        <v>11</v>
      </c>
      <c r="C157" s="54">
        <v>6000</v>
      </c>
      <c r="D157">
        <v>0</v>
      </c>
      <c r="E157" s="55">
        <v>8.6995000000000005</v>
      </c>
      <c r="F157" t="s">
        <v>287</v>
      </c>
      <c r="G157" s="56"/>
    </row>
    <row r="158" spans="1:7" x14ac:dyDescent="0.35">
      <c r="A158">
        <v>157</v>
      </c>
      <c r="B158" t="s">
        <v>21</v>
      </c>
      <c r="C158" s="54">
        <v>4764.1000000000004</v>
      </c>
      <c r="D158">
        <v>1</v>
      </c>
      <c r="E158" s="55">
        <v>8.4688999999999997</v>
      </c>
      <c r="F158" t="s">
        <v>286</v>
      </c>
      <c r="G158" s="56">
        <v>15.3</v>
      </c>
    </row>
    <row r="159" spans="1:7" x14ac:dyDescent="0.35">
      <c r="A159">
        <v>158</v>
      </c>
      <c r="B159" t="s">
        <v>17</v>
      </c>
      <c r="C159" s="54">
        <v>1025.3</v>
      </c>
      <c r="D159">
        <v>1</v>
      </c>
      <c r="E159" s="55">
        <v>6.9326999999999996</v>
      </c>
      <c r="F159" t="s">
        <v>286</v>
      </c>
      <c r="G159" s="56">
        <v>11.2</v>
      </c>
    </row>
    <row r="160" spans="1:7" x14ac:dyDescent="0.35">
      <c r="A160">
        <v>159</v>
      </c>
      <c r="B160" t="s">
        <v>11</v>
      </c>
      <c r="C160" s="54">
        <v>2937.3</v>
      </c>
      <c r="D160">
        <v>1</v>
      </c>
      <c r="E160" s="55">
        <v>7.9851999999999999</v>
      </c>
      <c r="F160" t="s">
        <v>286</v>
      </c>
      <c r="G160" s="56">
        <v>4.5</v>
      </c>
    </row>
    <row r="161" spans="1:7" x14ac:dyDescent="0.35">
      <c r="A161">
        <v>160</v>
      </c>
      <c r="B161" t="s">
        <v>13</v>
      </c>
      <c r="C161" s="54">
        <v>1088.0999999999999</v>
      </c>
      <c r="D161">
        <v>1</v>
      </c>
      <c r="E161" s="55">
        <v>6.9922000000000004</v>
      </c>
      <c r="F161" t="s">
        <v>286</v>
      </c>
      <c r="G161" s="56">
        <v>9.1</v>
      </c>
    </row>
    <row r="162" spans="1:7" x14ac:dyDescent="0.35">
      <c r="A162">
        <v>161</v>
      </c>
      <c r="B162" t="s">
        <v>11</v>
      </c>
      <c r="C162" s="54">
        <v>580.20000000000005</v>
      </c>
      <c r="D162">
        <v>1</v>
      </c>
      <c r="E162" s="55">
        <v>6.3634000000000004</v>
      </c>
      <c r="F162" t="s">
        <v>286</v>
      </c>
      <c r="G162" s="56">
        <v>6.7</v>
      </c>
    </row>
    <row r="163" spans="1:7" x14ac:dyDescent="0.35">
      <c r="A163">
        <v>162</v>
      </c>
      <c r="B163" t="s">
        <v>11</v>
      </c>
      <c r="C163" s="54">
        <v>929.3</v>
      </c>
      <c r="D163">
        <v>1</v>
      </c>
      <c r="E163" s="55">
        <v>6.8343999999999996</v>
      </c>
      <c r="F163" t="s">
        <v>286</v>
      </c>
      <c r="G163" s="56">
        <v>15</v>
      </c>
    </row>
    <row r="164" spans="1:7" x14ac:dyDescent="0.35">
      <c r="A164">
        <v>163</v>
      </c>
      <c r="B164" t="s">
        <v>13</v>
      </c>
      <c r="C164" s="54">
        <v>6000</v>
      </c>
      <c r="D164">
        <v>0</v>
      </c>
      <c r="E164" s="55">
        <v>8.6995000000000005</v>
      </c>
      <c r="F164" t="s">
        <v>287</v>
      </c>
      <c r="G164" s="56"/>
    </row>
    <row r="165" spans="1:7" x14ac:dyDescent="0.35">
      <c r="A165">
        <v>164</v>
      </c>
      <c r="B165" t="s">
        <v>13</v>
      </c>
      <c r="C165" s="54">
        <v>5955.6</v>
      </c>
      <c r="D165">
        <v>1</v>
      </c>
      <c r="E165" s="55">
        <v>8.6920999999999999</v>
      </c>
      <c r="F165" t="s">
        <v>286</v>
      </c>
      <c r="G165" s="56">
        <v>8.6999999999999993</v>
      </c>
    </row>
    <row r="166" spans="1:7" x14ac:dyDescent="0.35">
      <c r="A166">
        <v>165</v>
      </c>
      <c r="B166" t="s">
        <v>21</v>
      </c>
      <c r="C166" s="54">
        <v>6000</v>
      </c>
      <c r="D166">
        <v>0</v>
      </c>
      <c r="E166" s="55">
        <v>8.6995000000000005</v>
      </c>
      <c r="F166" t="s">
        <v>287</v>
      </c>
      <c r="G166" s="56"/>
    </row>
    <row r="167" spans="1:7" x14ac:dyDescent="0.35">
      <c r="A167">
        <v>166</v>
      </c>
      <c r="B167" t="s">
        <v>22</v>
      </c>
      <c r="C167" s="54">
        <v>115.3</v>
      </c>
      <c r="D167">
        <v>1</v>
      </c>
      <c r="E167" s="55">
        <v>4.7474999999999996</v>
      </c>
      <c r="F167" t="s">
        <v>286</v>
      </c>
      <c r="G167" s="56">
        <v>9</v>
      </c>
    </row>
    <row r="168" spans="1:7" x14ac:dyDescent="0.35">
      <c r="A168">
        <v>167</v>
      </c>
      <c r="B168" t="s">
        <v>13</v>
      </c>
      <c r="C168" s="54">
        <v>6000</v>
      </c>
      <c r="D168">
        <v>0</v>
      </c>
      <c r="E168" s="55">
        <v>8.6995000000000005</v>
      </c>
      <c r="F168" t="s">
        <v>287</v>
      </c>
      <c r="G168" s="56"/>
    </row>
    <row r="169" spans="1:7" x14ac:dyDescent="0.35">
      <c r="A169">
        <v>168</v>
      </c>
      <c r="B169" t="s">
        <v>13</v>
      </c>
      <c r="C169" s="54">
        <v>212.2</v>
      </c>
      <c r="D169">
        <v>1</v>
      </c>
      <c r="E169" s="55">
        <v>5.3574999999999999</v>
      </c>
      <c r="F169" t="s">
        <v>286</v>
      </c>
      <c r="G169" s="56">
        <v>7.8</v>
      </c>
    </row>
    <row r="170" spans="1:7" x14ac:dyDescent="0.35">
      <c r="A170">
        <v>169</v>
      </c>
      <c r="B170" t="s">
        <v>11</v>
      </c>
      <c r="C170" s="54">
        <v>6000</v>
      </c>
      <c r="D170">
        <v>0</v>
      </c>
      <c r="E170" s="55">
        <v>8.6995000000000005</v>
      </c>
      <c r="F170" t="s">
        <v>287</v>
      </c>
      <c r="G170" s="56"/>
    </row>
    <row r="171" spans="1:7" x14ac:dyDescent="0.35">
      <c r="A171">
        <v>170</v>
      </c>
      <c r="B171" t="s">
        <v>21</v>
      </c>
      <c r="C171" s="54">
        <v>6000</v>
      </c>
      <c r="D171">
        <v>0</v>
      </c>
      <c r="E171" s="55">
        <v>8.6995000000000005</v>
      </c>
      <c r="F171" t="s">
        <v>287</v>
      </c>
      <c r="G171" s="56"/>
    </row>
    <row r="172" spans="1:7" x14ac:dyDescent="0.35">
      <c r="A172">
        <v>171</v>
      </c>
      <c r="B172" t="s">
        <v>21</v>
      </c>
      <c r="C172" s="54">
        <v>1045.0999999999999</v>
      </c>
      <c r="D172">
        <v>1</v>
      </c>
      <c r="E172" s="55">
        <v>6.9519000000000002</v>
      </c>
      <c r="F172" t="s">
        <v>286</v>
      </c>
      <c r="G172" s="56">
        <v>5</v>
      </c>
    </row>
    <row r="173" spans="1:7" x14ac:dyDescent="0.35">
      <c r="A173">
        <v>172</v>
      </c>
      <c r="B173" t="s">
        <v>11</v>
      </c>
      <c r="C173" s="54">
        <v>1719.2</v>
      </c>
      <c r="D173">
        <v>1</v>
      </c>
      <c r="E173" s="55">
        <v>7.4496000000000002</v>
      </c>
      <c r="F173" t="s">
        <v>286</v>
      </c>
      <c r="G173" s="56">
        <v>23.8</v>
      </c>
    </row>
    <row r="174" spans="1:7" x14ac:dyDescent="0.35">
      <c r="A174">
        <v>173</v>
      </c>
      <c r="B174" t="s">
        <v>11</v>
      </c>
      <c r="C174" s="54">
        <v>6000</v>
      </c>
      <c r="D174">
        <v>0</v>
      </c>
      <c r="E174" s="55">
        <v>8.6995000000000005</v>
      </c>
      <c r="F174" t="s">
        <v>287</v>
      </c>
      <c r="G174" s="56"/>
    </row>
    <row r="175" spans="1:7" x14ac:dyDescent="0.35">
      <c r="A175">
        <v>174</v>
      </c>
      <c r="B175" t="s">
        <v>17</v>
      </c>
      <c r="C175" s="54">
        <v>6000</v>
      </c>
      <c r="D175">
        <v>0</v>
      </c>
      <c r="E175" s="55">
        <v>8.6995000000000005</v>
      </c>
      <c r="F175" t="s">
        <v>287</v>
      </c>
      <c r="G175" s="56"/>
    </row>
    <row r="176" spans="1:7" x14ac:dyDescent="0.35">
      <c r="A176">
        <v>175</v>
      </c>
      <c r="B176" t="s">
        <v>21</v>
      </c>
      <c r="C176" s="54">
        <v>4354.6000000000004</v>
      </c>
      <c r="D176">
        <v>1</v>
      </c>
      <c r="E176" s="55">
        <v>8.3789999999999996</v>
      </c>
      <c r="F176" t="s">
        <v>286</v>
      </c>
      <c r="G176" s="56">
        <v>4</v>
      </c>
    </row>
    <row r="177" spans="1:7" x14ac:dyDescent="0.35">
      <c r="A177">
        <v>176</v>
      </c>
      <c r="B177" t="s">
        <v>21</v>
      </c>
      <c r="C177" s="54">
        <v>337.1</v>
      </c>
      <c r="D177">
        <v>1</v>
      </c>
      <c r="E177" s="55">
        <v>5.8204000000000002</v>
      </c>
      <c r="F177" t="s">
        <v>286</v>
      </c>
      <c r="G177" s="56">
        <v>7.4</v>
      </c>
    </row>
    <row r="178" spans="1:7" x14ac:dyDescent="0.35">
      <c r="A178">
        <v>177</v>
      </c>
      <c r="B178" t="s">
        <v>21</v>
      </c>
      <c r="C178" s="54">
        <v>356.8</v>
      </c>
      <c r="D178">
        <v>1</v>
      </c>
      <c r="E178" s="55">
        <v>5.8772000000000002</v>
      </c>
      <c r="F178" t="s">
        <v>286</v>
      </c>
      <c r="G178" s="56">
        <v>9.1999999999999993</v>
      </c>
    </row>
    <row r="179" spans="1:7" x14ac:dyDescent="0.35">
      <c r="A179">
        <v>178</v>
      </c>
      <c r="B179" t="s">
        <v>11</v>
      </c>
      <c r="C179" s="54">
        <v>6000</v>
      </c>
      <c r="D179">
        <v>0</v>
      </c>
      <c r="E179" s="55">
        <v>8.6995000000000005</v>
      </c>
      <c r="F179" t="s">
        <v>287</v>
      </c>
      <c r="G179" s="56"/>
    </row>
    <row r="180" spans="1:7" x14ac:dyDescent="0.35">
      <c r="A180">
        <v>179</v>
      </c>
      <c r="B180" t="s">
        <v>22</v>
      </c>
      <c r="C180" s="54">
        <v>2068.3000000000002</v>
      </c>
      <c r="D180">
        <v>1</v>
      </c>
      <c r="E180" s="55">
        <v>7.6345000000000001</v>
      </c>
      <c r="F180" t="s">
        <v>286</v>
      </c>
      <c r="G180" s="56">
        <v>8.6</v>
      </c>
    </row>
    <row r="181" spans="1:7" x14ac:dyDescent="0.35">
      <c r="A181">
        <v>180</v>
      </c>
      <c r="B181" t="s">
        <v>11</v>
      </c>
      <c r="C181" s="54">
        <v>3397.3</v>
      </c>
      <c r="D181">
        <v>1</v>
      </c>
      <c r="E181" s="55">
        <v>8.1306999999999992</v>
      </c>
      <c r="F181" t="s">
        <v>286</v>
      </c>
      <c r="G181" s="56">
        <v>11.2</v>
      </c>
    </row>
    <row r="182" spans="1:7" x14ac:dyDescent="0.35">
      <c r="A182">
        <v>181</v>
      </c>
      <c r="B182" t="s">
        <v>13</v>
      </c>
      <c r="C182" s="54">
        <v>6000</v>
      </c>
      <c r="D182">
        <v>0</v>
      </c>
      <c r="E182" s="55">
        <v>8.6995000000000005</v>
      </c>
      <c r="F182" t="s">
        <v>287</v>
      </c>
      <c r="G182" s="56"/>
    </row>
    <row r="183" spans="1:7" x14ac:dyDescent="0.35">
      <c r="A183">
        <v>182</v>
      </c>
      <c r="B183" t="s">
        <v>21</v>
      </c>
      <c r="C183" s="54">
        <v>6000</v>
      </c>
      <c r="D183">
        <v>0</v>
      </c>
      <c r="E183" s="55">
        <v>8.6995000000000005</v>
      </c>
      <c r="F183" t="s">
        <v>287</v>
      </c>
      <c r="G183" s="56"/>
    </row>
    <row r="184" spans="1:7" x14ac:dyDescent="0.35">
      <c r="A184">
        <v>183</v>
      </c>
      <c r="B184" t="s">
        <v>21</v>
      </c>
      <c r="C184" s="54">
        <v>804.4</v>
      </c>
      <c r="D184">
        <v>1</v>
      </c>
      <c r="E184" s="55">
        <v>6.6901000000000002</v>
      </c>
      <c r="F184" t="s">
        <v>286</v>
      </c>
      <c r="G184" s="56">
        <v>10.4</v>
      </c>
    </row>
    <row r="185" spans="1:7" x14ac:dyDescent="0.35">
      <c r="A185">
        <v>184</v>
      </c>
      <c r="B185" t="s">
        <v>22</v>
      </c>
      <c r="C185" s="54">
        <v>6000</v>
      </c>
      <c r="D185">
        <v>0</v>
      </c>
      <c r="E185" s="55">
        <v>8.6995000000000005</v>
      </c>
      <c r="F185" t="s">
        <v>287</v>
      </c>
      <c r="G185" s="56"/>
    </row>
    <row r="186" spans="1:7" x14ac:dyDescent="0.35">
      <c r="A186">
        <v>185</v>
      </c>
      <c r="B186" t="s">
        <v>11</v>
      </c>
      <c r="C186" s="54">
        <v>374.8</v>
      </c>
      <c r="D186">
        <v>1</v>
      </c>
      <c r="E186" s="55">
        <v>5.9264000000000001</v>
      </c>
      <c r="F186" t="s">
        <v>286</v>
      </c>
      <c r="G186" s="56">
        <v>5.6</v>
      </c>
    </row>
    <row r="187" spans="1:7" x14ac:dyDescent="0.35">
      <c r="A187">
        <v>186</v>
      </c>
      <c r="B187" t="s">
        <v>11</v>
      </c>
      <c r="C187" s="54">
        <v>84.6</v>
      </c>
      <c r="D187">
        <v>1</v>
      </c>
      <c r="E187" s="55">
        <v>4.4379</v>
      </c>
      <c r="F187" t="s">
        <v>286</v>
      </c>
      <c r="G187" s="56">
        <v>7.7</v>
      </c>
    </row>
    <row r="188" spans="1:7" x14ac:dyDescent="0.35">
      <c r="A188">
        <v>187</v>
      </c>
      <c r="B188" t="s">
        <v>13</v>
      </c>
      <c r="C188" s="54">
        <v>3579.8</v>
      </c>
      <c r="D188">
        <v>1</v>
      </c>
      <c r="E188" s="55">
        <v>8.1830999999999996</v>
      </c>
      <c r="F188" t="s">
        <v>286</v>
      </c>
      <c r="G188" s="56">
        <v>2.1</v>
      </c>
    </row>
    <row r="189" spans="1:7" x14ac:dyDescent="0.35">
      <c r="A189">
        <v>188</v>
      </c>
      <c r="B189" t="s">
        <v>13</v>
      </c>
      <c r="C189" s="54">
        <v>3673.7</v>
      </c>
      <c r="D189">
        <v>1</v>
      </c>
      <c r="E189" s="55">
        <v>8.2089999999999996</v>
      </c>
      <c r="F189" t="s">
        <v>286</v>
      </c>
      <c r="G189" s="56">
        <v>10.5</v>
      </c>
    </row>
    <row r="190" spans="1:7" x14ac:dyDescent="0.35">
      <c r="A190">
        <v>189</v>
      </c>
      <c r="B190" t="s">
        <v>13</v>
      </c>
      <c r="C190" s="54">
        <v>1074.2</v>
      </c>
      <c r="D190">
        <v>1</v>
      </c>
      <c r="E190" s="55">
        <v>6.9793000000000003</v>
      </c>
      <c r="F190" t="s">
        <v>286</v>
      </c>
      <c r="G190" s="56">
        <v>8.3000000000000007</v>
      </c>
    </row>
    <row r="191" spans="1:7" x14ac:dyDescent="0.35">
      <c r="A191">
        <v>190</v>
      </c>
      <c r="B191" t="s">
        <v>17</v>
      </c>
      <c r="C191" s="54">
        <v>6000</v>
      </c>
      <c r="D191">
        <v>0</v>
      </c>
      <c r="E191" s="55">
        <v>8.6995000000000005</v>
      </c>
      <c r="F191" t="s">
        <v>287</v>
      </c>
      <c r="G191" s="56"/>
    </row>
    <row r="192" spans="1:7" x14ac:dyDescent="0.35">
      <c r="A192">
        <v>191</v>
      </c>
      <c r="B192" t="s">
        <v>22</v>
      </c>
      <c r="C192" s="54">
        <v>3083.8</v>
      </c>
      <c r="D192">
        <v>1</v>
      </c>
      <c r="E192" s="55">
        <v>8.0338999999999992</v>
      </c>
      <c r="F192" t="s">
        <v>286</v>
      </c>
      <c r="G192" s="56">
        <v>16.899999999999999</v>
      </c>
    </row>
    <row r="193" spans="1:7" x14ac:dyDescent="0.35">
      <c r="A193">
        <v>192</v>
      </c>
      <c r="B193" t="s">
        <v>13</v>
      </c>
      <c r="C193" s="54">
        <v>1738.6</v>
      </c>
      <c r="D193">
        <v>1</v>
      </c>
      <c r="E193" s="55">
        <v>7.4607999999999999</v>
      </c>
      <c r="F193" t="s">
        <v>286</v>
      </c>
      <c r="G193" s="56">
        <v>3.9</v>
      </c>
    </row>
    <row r="194" spans="1:7" x14ac:dyDescent="0.35">
      <c r="A194">
        <v>193</v>
      </c>
      <c r="B194" t="s">
        <v>11</v>
      </c>
      <c r="C194" s="54">
        <v>169.4</v>
      </c>
      <c r="D194">
        <v>1</v>
      </c>
      <c r="E194" s="55">
        <v>5.1322999999999999</v>
      </c>
      <c r="F194" t="s">
        <v>286</v>
      </c>
      <c r="G194" s="56">
        <v>16.399999999999999</v>
      </c>
    </row>
    <row r="195" spans="1:7" x14ac:dyDescent="0.35">
      <c r="A195">
        <v>194</v>
      </c>
      <c r="B195" t="s">
        <v>17</v>
      </c>
      <c r="C195" s="54">
        <v>5287.6</v>
      </c>
      <c r="D195">
        <v>1</v>
      </c>
      <c r="E195" s="55">
        <v>8.5731000000000002</v>
      </c>
      <c r="F195" t="s">
        <v>286</v>
      </c>
      <c r="G195" s="56">
        <v>10.7</v>
      </c>
    </row>
    <row r="196" spans="1:7" x14ac:dyDescent="0.35">
      <c r="A196">
        <v>195</v>
      </c>
      <c r="B196" t="s">
        <v>13</v>
      </c>
      <c r="C196" s="54">
        <v>2455.6999999999998</v>
      </c>
      <c r="D196">
        <v>1</v>
      </c>
      <c r="E196" s="55">
        <v>7.8061999999999996</v>
      </c>
      <c r="F196" t="s">
        <v>286</v>
      </c>
      <c r="G196" s="56">
        <v>6.2</v>
      </c>
    </row>
    <row r="197" spans="1:7" x14ac:dyDescent="0.35">
      <c r="A197">
        <v>196</v>
      </c>
      <c r="B197" t="s">
        <v>13</v>
      </c>
      <c r="C197" s="54">
        <v>6000</v>
      </c>
      <c r="D197">
        <v>0</v>
      </c>
      <c r="E197" s="55">
        <v>8.6995000000000005</v>
      </c>
      <c r="F197" t="s">
        <v>287</v>
      </c>
      <c r="G197" s="56"/>
    </row>
    <row r="198" spans="1:7" x14ac:dyDescent="0.35">
      <c r="A198">
        <v>197</v>
      </c>
      <c r="B198" t="s">
        <v>11</v>
      </c>
      <c r="C198" s="54">
        <v>6000</v>
      </c>
      <c r="D198">
        <v>0</v>
      </c>
      <c r="E198" s="55">
        <v>8.6995000000000005</v>
      </c>
      <c r="F198" t="s">
        <v>287</v>
      </c>
      <c r="G198" s="56"/>
    </row>
    <row r="199" spans="1:7" x14ac:dyDescent="0.35">
      <c r="A199">
        <v>198</v>
      </c>
      <c r="B199" t="s">
        <v>11</v>
      </c>
      <c r="C199" s="54">
        <v>819.4</v>
      </c>
      <c r="D199">
        <v>1</v>
      </c>
      <c r="E199" s="55">
        <v>6.7085999999999997</v>
      </c>
      <c r="F199" t="s">
        <v>286</v>
      </c>
      <c r="G199" s="56">
        <v>7</v>
      </c>
    </row>
    <row r="200" spans="1:7" x14ac:dyDescent="0.35">
      <c r="A200">
        <v>199</v>
      </c>
      <c r="B200" t="s">
        <v>11</v>
      </c>
      <c r="C200" s="54">
        <v>6000</v>
      </c>
      <c r="D200">
        <v>0</v>
      </c>
      <c r="E200" s="55">
        <v>8.6995000000000005</v>
      </c>
      <c r="F200" t="s">
        <v>287</v>
      </c>
      <c r="G200" s="56"/>
    </row>
    <row r="201" spans="1:7" x14ac:dyDescent="0.35">
      <c r="A201">
        <v>200</v>
      </c>
      <c r="B201" t="s">
        <v>22</v>
      </c>
      <c r="C201" s="54">
        <v>564.70000000000005</v>
      </c>
      <c r="D201">
        <v>1</v>
      </c>
      <c r="E201" s="55">
        <v>6.3362999999999996</v>
      </c>
      <c r="F201" t="s">
        <v>286</v>
      </c>
      <c r="G201" s="56">
        <v>6.7</v>
      </c>
    </row>
  </sheetData>
  <pageMargins left="0.7" right="0.7" top="0.75" bottom="0.75" header="0.3" footer="0.3"/>
</worksheet>
</file>

<file path=docMetadata/LabelInfo.xml><?xml version="1.0" encoding="utf-8"?>
<clbl:labelList xmlns:clbl="http://schemas.microsoft.com/office/2020/mipLabelMetadata">
  <clbl:label id="{37c58ab2-2ec7-4572-a111-d3a007902d7a}" enabled="1" method="Standard" siteId="{9caa7aa9-c30c-4906-b43b-2d7d5a97aed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Datos</vt:lpstr>
      <vt:lpstr>Metodo_Grafico</vt:lpstr>
      <vt:lpstr>Max_Verosimilitud</vt:lpstr>
      <vt:lpstr>Kaplan_Meier</vt:lpstr>
      <vt:lpstr>Comparacion</vt:lpstr>
      <vt:lpstr>Bayes_Simple</vt:lpstr>
      <vt:lpstr>MonteCarlo_Weibull</vt:lpstr>
      <vt:lpstr>Datos Aplicacion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Gonzalez, Sergio</dc:creator>
  <cp:keywords/>
  <dc:description/>
  <cp:lastModifiedBy>Gonzalez, Sergio</cp:lastModifiedBy>
  <cp:revision>1</cp:revision>
  <dcterms:created xsi:type="dcterms:W3CDTF">2026-09-23T02:29:06Z</dcterms:created>
  <dcterms:modified xsi:type="dcterms:W3CDTF">2026-09-23T14:38:26Z</dcterms:modified>
  <cp:category/>
  <cp:contentStatus/>
</cp:coreProperties>
</file>